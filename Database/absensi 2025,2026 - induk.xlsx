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 Project\Project Pengembangan\Presensi SMPM\"/>
    </mc:Choice>
  </mc:AlternateContent>
  <xr:revisionPtr revIDLastSave="0" documentId="13_ncr:1_{0734C3DB-4353-4B4A-A9BC-CFD9B5C8F87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kapitulasi siswa" sheetId="37" r:id="rId1"/>
    <sheet name="INDUK 7" sheetId="68" r:id="rId2"/>
    <sheet name="induk kls 8" sheetId="61" r:id="rId3"/>
    <sheet name="INDUK 9" sheetId="54" r:id="rId4"/>
    <sheet name="VII A" sheetId="62" r:id="rId5"/>
    <sheet name="VII B" sheetId="63" r:id="rId6"/>
    <sheet name="VII C" sheetId="64" r:id="rId7"/>
    <sheet name="VII D" sheetId="65" r:id="rId8"/>
    <sheet name="VII E" sheetId="66" r:id="rId9"/>
    <sheet name="VII F" sheetId="67" r:id="rId10"/>
    <sheet name="VIIIA" sheetId="55" r:id="rId11"/>
    <sheet name="VIIIB" sheetId="56" r:id="rId12"/>
    <sheet name="VIII C" sheetId="57" r:id="rId13"/>
    <sheet name="VIII D" sheetId="58" r:id="rId14"/>
    <sheet name="VIII E" sheetId="59" r:id="rId15"/>
    <sheet name="VIII F" sheetId="60" r:id="rId16"/>
    <sheet name="XI A" sheetId="46" r:id="rId17"/>
    <sheet name="XI B" sheetId="47" r:id="rId18"/>
    <sheet name="XI C" sheetId="48" r:id="rId19"/>
    <sheet name="XI D" sheetId="49" r:id="rId20"/>
    <sheet name="XI E" sheetId="50" r:id="rId21"/>
    <sheet name="XI F" sheetId="51" r:id="rId22"/>
    <sheet name="9A LULUSAN 2025" sheetId="38" r:id="rId23"/>
    <sheet name="9B LULUSAN 2025" sheetId="39" r:id="rId24"/>
    <sheet name="9C LULS 2025" sheetId="40" r:id="rId25"/>
    <sheet name="9D LUS 2025" sheetId="41" r:id="rId26"/>
    <sheet name="9E LUS 2025" sheetId="42" r:id="rId27"/>
    <sheet name="9F LLS 2025" sheetId="43" r:id="rId28"/>
    <sheet name="9A LULUSAN 2024" sheetId="31" r:id="rId29"/>
    <sheet name="9B LULUSAN 2024" sheetId="32" r:id="rId30"/>
    <sheet name="9C LULUSA 2024" sheetId="33" r:id="rId31"/>
    <sheet name="9D LULUSAN 2024" sheetId="34" r:id="rId32"/>
    <sheet name="9E LULUSAN 2024" sheetId="35" r:id="rId33"/>
    <sheet name=" 9F LULUSAN 2024" sheetId="36" r:id="rId34"/>
    <sheet name="9A LULUSAN 2023" sheetId="1" r:id="rId35"/>
    <sheet name="9B LUKLUSAN 2023" sheetId="2" r:id="rId36"/>
    <sheet name="9C LULUSAN 2023" sheetId="3" r:id="rId37"/>
    <sheet name="9D LULUSAN 2023" sheetId="4" r:id="rId38"/>
    <sheet name="9E LULUSAN 2023" sheetId="5" r:id="rId39"/>
    <sheet name="9F LULUSAN 2023" sheetId="6" r:id="rId40"/>
    <sheet name="9A LULLUSAN 2022" sheetId="8" r:id="rId41"/>
    <sheet name="9B LULUSAN 2022" sheetId="9" r:id="rId42"/>
    <sheet name="9C LULUSAN 2022" sheetId="10" r:id="rId43"/>
    <sheet name="9D LULUSAN 2022" sheetId="11" r:id="rId44"/>
    <sheet name="9E LULUSAN 2022" sheetId="12" r:id="rId45"/>
    <sheet name="9F LULUSAN 2022" sheetId="13" r:id="rId46"/>
    <sheet name="9G ULUSAN 2022" sheetId="14" r:id="rId47"/>
    <sheet name="keluar a" sheetId="15" r:id="rId48"/>
    <sheet name="keluar b" sheetId="16" r:id="rId49"/>
    <sheet name="keluar c" sheetId="17" r:id="rId50"/>
    <sheet name="keluar d" sheetId="18" r:id="rId51"/>
    <sheet name="keluar e" sheetId="19" r:id="rId52"/>
    <sheet name="keluar f" sheetId="20" r:id="rId53"/>
    <sheet name="keluar" sheetId="21" r:id="rId54"/>
  </sheets>
  <definedNames>
    <definedName name="_xlnm._FilterDatabase" localSheetId="3" hidden="1">'INDUK 9'!$A$1:$BN$622</definedName>
    <definedName name="_xlnm._FilterDatabase" localSheetId="2" hidden="1">'induk kls 8'!$A$1:$AI$208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3" i="68" l="1"/>
  <c r="E252" i="68"/>
  <c r="E254" i="68" l="1"/>
  <c r="C48" i="57"/>
  <c r="C49" i="57"/>
  <c r="C56" i="67"/>
  <c r="C55" i="67"/>
  <c r="C56" i="66"/>
  <c r="C55" i="66"/>
  <c r="C57" i="66" s="1"/>
  <c r="C56" i="65"/>
  <c r="C55" i="65"/>
  <c r="C56" i="64"/>
  <c r="C55" i="64"/>
  <c r="C56" i="63"/>
  <c r="C55" i="63"/>
  <c r="C56" i="62"/>
  <c r="C55" i="62"/>
  <c r="O17" i="37"/>
  <c r="P17" i="37"/>
  <c r="A18" i="37"/>
  <c r="C18" i="37"/>
  <c r="E18" i="37"/>
  <c r="G18" i="37"/>
  <c r="I18" i="37"/>
  <c r="K18" i="37"/>
  <c r="M18" i="37"/>
  <c r="O6" i="37"/>
  <c r="P6" i="37"/>
  <c r="A7" i="37"/>
  <c r="C7" i="37"/>
  <c r="E7" i="37"/>
  <c r="G7" i="37"/>
  <c r="I7" i="37"/>
  <c r="K7" i="37"/>
  <c r="M7" i="37"/>
  <c r="O11" i="37"/>
  <c r="P11" i="37"/>
  <c r="A12" i="37"/>
  <c r="C12" i="37"/>
  <c r="E12" i="37"/>
  <c r="G12" i="37"/>
  <c r="I12" i="37"/>
  <c r="K12" i="37"/>
  <c r="M12" i="37"/>
  <c r="C48" i="46"/>
  <c r="C49" i="46"/>
  <c r="C49" i="50"/>
  <c r="C45" i="55"/>
  <c r="C48" i="39"/>
  <c r="C48" i="60"/>
  <c r="C49" i="39"/>
  <c r="C49" i="56"/>
  <c r="C49" i="58"/>
  <c r="C48" i="58"/>
  <c r="C49" i="60"/>
  <c r="C46" i="55"/>
  <c r="C48" i="56"/>
  <c r="C57" i="65" l="1"/>
  <c r="C57" i="63"/>
  <c r="C57" i="67"/>
  <c r="C57" i="64"/>
  <c r="C57" i="62"/>
  <c r="O18" i="37"/>
  <c r="O23" i="37"/>
  <c r="O7" i="37"/>
  <c r="P23" i="37"/>
  <c r="O12" i="37"/>
  <c r="E211" i="61"/>
  <c r="E210" i="61"/>
  <c r="O24" i="37" l="1"/>
  <c r="E212" i="61"/>
  <c r="C48" i="40"/>
  <c r="C47" i="40"/>
  <c r="C49" i="59"/>
  <c r="C48" i="59"/>
  <c r="C50" i="58"/>
  <c r="C50" i="57"/>
  <c r="C49" i="38"/>
  <c r="C50" i="60" l="1"/>
  <c r="C47" i="55"/>
  <c r="C50" i="59"/>
  <c r="C50" i="56"/>
  <c r="C46" i="41"/>
  <c r="C48" i="42"/>
  <c r="C48" i="50"/>
  <c r="C47" i="41"/>
  <c r="L51" i="33"/>
  <c r="E51" i="33"/>
  <c r="U51" i="33" s="1"/>
  <c r="F50" i="31"/>
  <c r="C50" i="31"/>
  <c r="C46" i="48"/>
  <c r="C47" i="49"/>
  <c r="C48" i="49"/>
  <c r="C48" i="38"/>
  <c r="K50" i="32" l="1"/>
  <c r="F50" i="32"/>
  <c r="V50" i="32" s="1"/>
  <c r="C49" i="51"/>
  <c r="C48" i="51"/>
  <c r="C47" i="48"/>
  <c r="C49" i="47"/>
  <c r="C48" i="47"/>
  <c r="C52" i="36"/>
  <c r="C51" i="36"/>
  <c r="C48" i="43"/>
  <c r="C49" i="43"/>
  <c r="C50" i="51" l="1"/>
  <c r="C48" i="48"/>
  <c r="C50" i="47"/>
  <c r="C49" i="49"/>
  <c r="C50" i="50"/>
  <c r="C50" i="46"/>
  <c r="C50" i="43"/>
  <c r="C47" i="5" l="1"/>
  <c r="E51" i="34" l="1"/>
  <c r="K51" i="34"/>
  <c r="C48" i="6"/>
  <c r="C47" i="6"/>
  <c r="C46" i="5"/>
  <c r="C49" i="4"/>
  <c r="C48" i="4"/>
  <c r="C49" i="3"/>
  <c r="C48" i="3"/>
  <c r="C49" i="2"/>
  <c r="C48" i="2"/>
  <c r="C48" i="1"/>
  <c r="C47" i="1"/>
  <c r="H51" i="35"/>
  <c r="U50" i="31" l="1"/>
  <c r="C49" i="42"/>
  <c r="C50" i="42" l="1"/>
  <c r="C50" i="38"/>
  <c r="C49" i="40"/>
  <c r="C48" i="41"/>
  <c r="C50" i="39"/>
  <c r="I52" i="36" l="1"/>
  <c r="C51" i="35"/>
  <c r="Q51" i="35" s="1"/>
  <c r="R51" i="34"/>
  <c r="C49" i="12" l="1"/>
  <c r="C48" i="21" l="1"/>
  <c r="C49" i="21"/>
  <c r="C49" i="20"/>
  <c r="I49" i="20"/>
  <c r="C49" i="19"/>
  <c r="C48" i="19"/>
  <c r="C49" i="18"/>
  <c r="C48" i="18"/>
  <c r="C49" i="17"/>
  <c r="C48" i="17"/>
  <c r="C49" i="16"/>
  <c r="C48" i="16"/>
  <c r="C50" i="16" s="1"/>
  <c r="C49" i="15"/>
  <c r="C48" i="15"/>
  <c r="C49" i="14"/>
  <c r="C48" i="14"/>
  <c r="C49" i="13"/>
  <c r="C48" i="13"/>
  <c r="C48" i="12"/>
  <c r="C49" i="11"/>
  <c r="C48" i="11"/>
  <c r="C50" i="18" l="1"/>
  <c r="C50" i="14"/>
  <c r="C50" i="21"/>
  <c r="C50" i="19"/>
  <c r="C50" i="11"/>
  <c r="C50" i="13"/>
  <c r="C50" i="12"/>
  <c r="C50" i="17"/>
  <c r="C50" i="15"/>
  <c r="C49" i="10" l="1"/>
  <c r="C48" i="10"/>
  <c r="C47" i="9"/>
  <c r="C46" i="9"/>
  <c r="C49" i="8"/>
  <c r="C48" i="8"/>
  <c r="C49" i="6"/>
  <c r="C50" i="4"/>
  <c r="C49" i="1"/>
  <c r="C50" i="10" l="1"/>
  <c r="C48" i="5"/>
  <c r="C48" i="9"/>
  <c r="C50" i="8"/>
  <c r="C50" i="3"/>
  <c r="C50" i="2"/>
</calcChain>
</file>

<file path=xl/sharedStrings.xml><?xml version="1.0" encoding="utf-8"?>
<sst xmlns="http://schemas.openxmlformats.org/spreadsheetml/2006/main" count="34290" uniqueCount="11008">
  <si>
    <t>DAFTAR ABSENSI SISWA</t>
  </si>
  <si>
    <t>K e l a s</t>
  </si>
  <si>
    <t>Mata Pelajaran</t>
  </si>
  <si>
    <t>:…………………………………….</t>
  </si>
  <si>
    <t>Rev.16</t>
  </si>
  <si>
    <t>NO</t>
  </si>
  <si>
    <t>NAMA SISWA</t>
  </si>
  <si>
    <t>INDUK</t>
  </si>
  <si>
    <t>L/P</t>
  </si>
  <si>
    <t>PERTEMUAN KE</t>
  </si>
  <si>
    <t>KEHADIRAN</t>
  </si>
  <si>
    <t>S</t>
  </si>
  <si>
    <t>I</t>
  </si>
  <si>
    <t>A</t>
  </si>
  <si>
    <t>Abdul Wahab</t>
  </si>
  <si>
    <t>Anisa Nurpalihah</t>
  </si>
  <si>
    <t>Dena Nabawiyah</t>
  </si>
  <si>
    <t>Diana Safitri</t>
  </si>
  <si>
    <t>Gilang Jaka Permana</t>
  </si>
  <si>
    <t>Hana Laila Khoirun Nisa</t>
  </si>
  <si>
    <t>Indah Agustina</t>
  </si>
  <si>
    <t>Sinta Melani Putri</t>
  </si>
  <si>
    <t>Siti Agustiani</t>
  </si>
  <si>
    <t>Siti Sofiatul Anjaniah</t>
  </si>
  <si>
    <t>Sri Rahayu</t>
  </si>
  <si>
    <t>20.21.07.001</t>
  </si>
  <si>
    <t>20.21.07.002</t>
  </si>
  <si>
    <t>20.21.07.003</t>
  </si>
  <si>
    <t>20.21.07.004</t>
  </si>
  <si>
    <t>20.21.07.005</t>
  </si>
  <si>
    <t>20.21.07.007</t>
  </si>
  <si>
    <t>20.21.07.008</t>
  </si>
  <si>
    <t>20.21.07.009</t>
  </si>
  <si>
    <t>20.21.07.010</t>
  </si>
  <si>
    <t>20.21.07.011</t>
  </si>
  <si>
    <t>20.21.07.012</t>
  </si>
  <si>
    <t>20.21.07.013</t>
  </si>
  <si>
    <t>20.21.07.014</t>
  </si>
  <si>
    <t>20.21.07.017</t>
  </si>
  <si>
    <t>20.21.07.021</t>
  </si>
  <si>
    <t>20.21.07.022</t>
  </si>
  <si>
    <t>20.21.07.023</t>
  </si>
  <si>
    <t>20.21.07.024</t>
  </si>
  <si>
    <t>20.21.07.025</t>
  </si>
  <si>
    <t>20.21.07.026</t>
  </si>
  <si>
    <t>20.21.07.027</t>
  </si>
  <si>
    <t>20.21.07.028</t>
  </si>
  <si>
    <t>20.21.07.029</t>
  </si>
  <si>
    <t>20.21.07.030</t>
  </si>
  <si>
    <t>20.21.07.031</t>
  </si>
  <si>
    <t>20.21.07.032</t>
  </si>
  <si>
    <t>20.21.07.033</t>
  </si>
  <si>
    <t>L</t>
  </si>
  <si>
    <t>P</t>
  </si>
  <si>
    <t>TAHUN PELAJARAN 2020 / 2021</t>
  </si>
  <si>
    <t>Ahmad Sujana</t>
  </si>
  <si>
    <t>Akbar Maulana</t>
  </si>
  <si>
    <t>Eka Dwi Wahyuni</t>
  </si>
  <si>
    <t>Eva Yunita</t>
  </si>
  <si>
    <t>Nanjar Fikrian</t>
  </si>
  <si>
    <t>Siti Isma Aulia Nisfah</t>
  </si>
  <si>
    <t>Sri Sulastri</t>
  </si>
  <si>
    <t>Tesa Listiani</t>
  </si>
  <si>
    <t>Zazkia Anandita</t>
  </si>
  <si>
    <t>20.21.07.035</t>
  </si>
  <si>
    <t>20.21.07.036</t>
  </si>
  <si>
    <t>20.21.07.037</t>
  </si>
  <si>
    <t>20.21.07.038</t>
  </si>
  <si>
    <t>20.21.07.039</t>
  </si>
  <si>
    <t>20.21.07.041</t>
  </si>
  <si>
    <t>20.21.07.044</t>
  </si>
  <si>
    <t>20.21.07.045</t>
  </si>
  <si>
    <t>20.21.07.046</t>
  </si>
  <si>
    <t>20.21.07.047</t>
  </si>
  <si>
    <t>20.21.07.048</t>
  </si>
  <si>
    <t>20.21.07.050</t>
  </si>
  <si>
    <t>20.21.07.051</t>
  </si>
  <si>
    <t>20.21.07.052</t>
  </si>
  <si>
    <t>20.21.07.053</t>
  </si>
  <si>
    <t>20.21.07.054</t>
  </si>
  <si>
    <t>20.21.07.055</t>
  </si>
  <si>
    <t>20.21.07.056</t>
  </si>
  <si>
    <t>20.21.07.057</t>
  </si>
  <si>
    <t>20.21.07.058</t>
  </si>
  <si>
    <t>20.21.07.061</t>
  </si>
  <si>
    <t>20.21.07.062</t>
  </si>
  <si>
    <t>20.21.07.063</t>
  </si>
  <si>
    <t>20.21.07.064</t>
  </si>
  <si>
    <t>20.21.07.065</t>
  </si>
  <si>
    <t>Aditya Prananda</t>
  </si>
  <si>
    <t>Ahmad Fadilah</t>
  </si>
  <si>
    <t>Ai Rosdiana</t>
  </si>
  <si>
    <t>Aisyah Nur Zahra</t>
  </si>
  <si>
    <t>Dinda Lisa Amanda</t>
  </si>
  <si>
    <t>Erni Nur Azizah</t>
  </si>
  <si>
    <t>Jeni Jalianti</t>
  </si>
  <si>
    <t>Marsha Citra Putri Anggraeni</t>
  </si>
  <si>
    <t>Nenden Mutia Regina</t>
  </si>
  <si>
    <t>Riska Diana</t>
  </si>
  <si>
    <t>Tiara Rahma Nur Azizah</t>
  </si>
  <si>
    <t>20.21.07.066</t>
  </si>
  <si>
    <t>20.21.07.067</t>
  </si>
  <si>
    <t>20.21.07.068</t>
  </si>
  <si>
    <t>20.21.07.069</t>
  </si>
  <si>
    <t>20.21.07.070</t>
  </si>
  <si>
    <t>20.21.07.071</t>
  </si>
  <si>
    <t>20.21.07.072</t>
  </si>
  <si>
    <t>20.21.07.073</t>
  </si>
  <si>
    <t>20.21.07.074</t>
  </si>
  <si>
    <t>20.21.07.075</t>
  </si>
  <si>
    <t>20.21.07.076</t>
  </si>
  <si>
    <t>20.21.07.077</t>
  </si>
  <si>
    <t>20.21.07.078</t>
  </si>
  <si>
    <t>20.21.07.079</t>
  </si>
  <si>
    <t>20.21.07.080</t>
  </si>
  <si>
    <t>20.21.07.082</t>
  </si>
  <si>
    <t>20.21.07.083</t>
  </si>
  <si>
    <t>20.21.07.084</t>
  </si>
  <si>
    <t>20.21.07.086</t>
  </si>
  <si>
    <t>20.21.07.087</t>
  </si>
  <si>
    <t>20.21.07.088</t>
  </si>
  <si>
    <t>20.21.07.089</t>
  </si>
  <si>
    <t>20.21.07.090</t>
  </si>
  <si>
    <t>20.21.07.091</t>
  </si>
  <si>
    <t>20.21.07.092</t>
  </si>
  <si>
    <t>20.21.07.093</t>
  </si>
  <si>
    <t>20.21.07.096</t>
  </si>
  <si>
    <t>20.21.07.098</t>
  </si>
  <si>
    <t>20.21.07.100</t>
  </si>
  <si>
    <t>20.21.07.101</t>
  </si>
  <si>
    <t>Asep Nurzaman</t>
  </si>
  <si>
    <t>Farid Syahdan Satya</t>
  </si>
  <si>
    <t>Ikbal Maulana</t>
  </si>
  <si>
    <t>Jelita Dwi Lestari</t>
  </si>
  <si>
    <t>M Awaludin</t>
  </si>
  <si>
    <t>Nashwa Fajirah Mujib</t>
  </si>
  <si>
    <t>Raisya Rifani</t>
  </si>
  <si>
    <t>Reika Hermayanti Putri</t>
  </si>
  <si>
    <t>Sani Nurazizah</t>
  </si>
  <si>
    <t>Siti Nurazizah</t>
  </si>
  <si>
    <t>Yoga Saputra</t>
  </si>
  <si>
    <t>20.21.07.102</t>
  </si>
  <si>
    <t>20.21.07.103</t>
  </si>
  <si>
    <t>20.21.07.104</t>
  </si>
  <si>
    <t>20.21.07.105</t>
  </si>
  <si>
    <t>20.21.07.107</t>
  </si>
  <si>
    <t>20.21.07.108</t>
  </si>
  <si>
    <t>20.21.07.109</t>
  </si>
  <si>
    <t>20.21.07.110</t>
  </si>
  <si>
    <t>20.21.07.111</t>
  </si>
  <si>
    <t>20.21.07.112</t>
  </si>
  <si>
    <t>20.21.07.113</t>
  </si>
  <si>
    <t>20.21.07.116</t>
  </si>
  <si>
    <t>20.21.07.117</t>
  </si>
  <si>
    <t>20.21.07.118</t>
  </si>
  <si>
    <t>20.21.07.120</t>
  </si>
  <si>
    <t>20.21.07.121</t>
  </si>
  <si>
    <t>20.21.07.122</t>
  </si>
  <si>
    <t>20.21.07.123</t>
  </si>
  <si>
    <t>20.21.07.124</t>
  </si>
  <si>
    <t>20.21.07.125</t>
  </si>
  <si>
    <t>20.21.07.127</t>
  </si>
  <si>
    <t>20.21.07.128</t>
  </si>
  <si>
    <t>20.21.07.129</t>
  </si>
  <si>
    <t>20.21.07.130</t>
  </si>
  <si>
    <t>20.21.07.131</t>
  </si>
  <si>
    <t>20.21.07.132</t>
  </si>
  <si>
    <t>20.21.07.133</t>
  </si>
  <si>
    <t>20.21.07.134</t>
  </si>
  <si>
    <t>20.21.07.135</t>
  </si>
  <si>
    <t>Aprilia Kirani Wijaya Putri</t>
  </si>
  <si>
    <t>Dewi Nur Andini</t>
  </si>
  <si>
    <t>Fajar Yusril</t>
  </si>
  <si>
    <t>Kayla Oktavia</t>
  </si>
  <si>
    <t>Miftah Nurul Fadil</t>
  </si>
  <si>
    <t>Moch Reffan Efendi</t>
  </si>
  <si>
    <t>Muhamad Faiz Torik Ajis</t>
  </si>
  <si>
    <t>Muhamad Rafi</t>
  </si>
  <si>
    <t>Muhammad Sauqi Azki Ardabili</t>
  </si>
  <si>
    <t>Nabila Rahayu</t>
  </si>
  <si>
    <t>Patma Azzahra</t>
  </si>
  <si>
    <t>Rediansyah Dimas Saputra</t>
  </si>
  <si>
    <t>Siti Nai Sarah</t>
  </si>
  <si>
    <t>20.21.07.137</t>
  </si>
  <si>
    <t>20.21.07.138</t>
  </si>
  <si>
    <t>20.21.07.139</t>
  </si>
  <si>
    <t>20.21.07.140</t>
  </si>
  <si>
    <t>20.21.07.141</t>
  </si>
  <si>
    <t>20.21.07.142</t>
  </si>
  <si>
    <t>20.21.07.143</t>
  </si>
  <si>
    <t>20.21.07.144</t>
  </si>
  <si>
    <t>20.21.07.146</t>
  </si>
  <si>
    <t>20.21.07.150</t>
  </si>
  <si>
    <t>20.21.07.151</t>
  </si>
  <si>
    <t>20.21.07.152</t>
  </si>
  <si>
    <t>20.21.07.153</t>
  </si>
  <si>
    <t>20.21.07.154</t>
  </si>
  <si>
    <t>20.21.07.155</t>
  </si>
  <si>
    <t>20.21.07.156</t>
  </si>
  <si>
    <t>20.21.07.157</t>
  </si>
  <si>
    <t>20.21.07.158</t>
  </si>
  <si>
    <t>20.21.07.159</t>
  </si>
  <si>
    <t>20.21.07.160</t>
  </si>
  <si>
    <t>20.21.07.161</t>
  </si>
  <si>
    <t>20.21.07.162</t>
  </si>
  <si>
    <t>20.21.07.163</t>
  </si>
  <si>
    <t>20.21.07.164</t>
  </si>
  <si>
    <t>20.21.07.165</t>
  </si>
  <si>
    <t>20.21.07.166</t>
  </si>
  <si>
    <t>20.21.07.167</t>
  </si>
  <si>
    <t>20.21.07.168</t>
  </si>
  <si>
    <t>20.21.07.169</t>
  </si>
  <si>
    <t>20.21.07.170</t>
  </si>
  <si>
    <t>20.21.07.171</t>
  </si>
  <si>
    <t>20.21.07.172</t>
  </si>
  <si>
    <t>Adiva Maiza Putri Kareemah</t>
  </si>
  <si>
    <t>Amelia Susanti</t>
  </si>
  <si>
    <t>Anisa Salsabila</t>
  </si>
  <si>
    <t>Anwar Nurhakim</t>
  </si>
  <si>
    <t>Iqbal Nurdiansyah</t>
  </si>
  <si>
    <t>Marsa Amanda</t>
  </si>
  <si>
    <t>Muhammad Dapa Maulana</t>
  </si>
  <si>
    <t>Muhammad Rizki Abdillah</t>
  </si>
  <si>
    <t>Putri Maulina</t>
  </si>
  <si>
    <t>Refa Febrianti</t>
  </si>
  <si>
    <t>Satria Arjuna Putra Pratama</t>
  </si>
  <si>
    <t>Suci Romadona</t>
  </si>
  <si>
    <t>Tri Silla Rahmaini</t>
  </si>
  <si>
    <t>Wina Nur Apriana</t>
  </si>
  <si>
    <t>20.21.07.174</t>
  </si>
  <si>
    <t>20.21.07.176</t>
  </si>
  <si>
    <t>20.21.07.177</t>
  </si>
  <si>
    <t>20.21.07.178</t>
  </si>
  <si>
    <t>20.21.07.179</t>
  </si>
  <si>
    <t>20.21.07.181</t>
  </si>
  <si>
    <t>20.21.07.182</t>
  </si>
  <si>
    <t>20.21.07.183</t>
  </si>
  <si>
    <t>20.21.07.184</t>
  </si>
  <si>
    <t>20.21.07.185</t>
  </si>
  <si>
    <t>20.21.07.186</t>
  </si>
  <si>
    <t>20.21.07.187</t>
  </si>
  <si>
    <t>20.21.07.188</t>
  </si>
  <si>
    <t>20.21.07.190</t>
  </si>
  <si>
    <t>20.21.07.191</t>
  </si>
  <si>
    <t>20.21.07.192</t>
  </si>
  <si>
    <t>20.21.07.193</t>
  </si>
  <si>
    <t>20.21.07.194</t>
  </si>
  <si>
    <t>20.21.07.195</t>
  </si>
  <si>
    <t>20.21.07.196</t>
  </si>
  <si>
    <t>20.21.07.197</t>
  </si>
  <si>
    <t>20.21.07.199</t>
  </si>
  <si>
    <t>20.21.07.200</t>
  </si>
  <si>
    <t>20.21.07.201</t>
  </si>
  <si>
    <t>20.21.07.202</t>
  </si>
  <si>
    <t>20.21.07.203</t>
  </si>
  <si>
    <t>Adzani Nurfadiyah</t>
  </si>
  <si>
    <t>Annisa Hijib Syakrani</t>
  </si>
  <si>
    <t>Cinta Dewi Lestari</t>
  </si>
  <si>
    <t>Gugun Pahreza</t>
  </si>
  <si>
    <t>Muhamad Fahrizal</t>
  </si>
  <si>
    <t>Muhammad Revanza Aditya Mulyadi</t>
  </si>
  <si>
    <t>Pendi Setiawan</t>
  </si>
  <si>
    <t>Rahmasari Nur Asyifa</t>
  </si>
  <si>
    <t>Sani Oktavia Cahyani Putri</t>
  </si>
  <si>
    <t>Tiara Zahra</t>
  </si>
  <si>
    <t>20.21.07.204</t>
  </si>
  <si>
    <t>20.21.07.205</t>
  </si>
  <si>
    <t>20.21.07.206</t>
  </si>
  <si>
    <t>20.21.07.207</t>
  </si>
  <si>
    <t>20.21.07.208</t>
  </si>
  <si>
    <t>20.21.07.209</t>
  </si>
  <si>
    <t>20.21.07.212</t>
  </si>
  <si>
    <t>20.21.07.213</t>
  </si>
  <si>
    <t>20.21.07.214</t>
  </si>
  <si>
    <t>20.21.07.216</t>
  </si>
  <si>
    <t>20.21.07.218</t>
  </si>
  <si>
    <t>20.21.07.219</t>
  </si>
  <si>
    <t>20.21.07.220</t>
  </si>
  <si>
    <t>20.21.07.221</t>
  </si>
  <si>
    <t>20.21.07.222</t>
  </si>
  <si>
    <t>20.21.07.224</t>
  </si>
  <si>
    <t>20.21.07.226</t>
  </si>
  <si>
    <t>20.21.07.228</t>
  </si>
  <si>
    <t>20.21.07.229</t>
  </si>
  <si>
    <t>20.21.07.231</t>
  </si>
  <si>
    <t xml:space="preserve">ABDUL MUJIB  </t>
  </si>
  <si>
    <t>ABIZAR</t>
  </si>
  <si>
    <t>AI ADAWIAH</t>
  </si>
  <si>
    <t>ANANDHITA PUTRI WIBHISANA</t>
  </si>
  <si>
    <t>ANDI SAHRUL RAMADANI</t>
  </si>
  <si>
    <t>ANISA NUR PRATIWI</t>
  </si>
  <si>
    <t>BINTANG NURAJABILA PUTRI</t>
  </si>
  <si>
    <t>DELA NURFAUZIAH</t>
  </si>
  <si>
    <t>DELA SRI LESTARI</t>
  </si>
  <si>
    <t>FAUJI RAHMAT RAMDANI</t>
  </si>
  <si>
    <t>GONIYAH HAMIDAH</t>
  </si>
  <si>
    <t>HAFSAH ABIYAH</t>
  </si>
  <si>
    <t>HANA NURHASANAH</t>
  </si>
  <si>
    <t>IHSAN PERMANA PUTRA</t>
  </si>
  <si>
    <t>IRGIYAWAN SUKANDAR</t>
  </si>
  <si>
    <t>M.ZIDAN NURFIZAL</t>
  </si>
  <si>
    <t>MARIA NAZRA</t>
  </si>
  <si>
    <t>MUHAMAD HARIST AL ASATHIN</t>
  </si>
  <si>
    <t>MUHAMAD IRHAM</t>
  </si>
  <si>
    <t>MUSLIH RIZAL ABDILLAH</t>
  </si>
  <si>
    <t xml:space="preserve">NAILA AGNIA RAHMAWATI </t>
  </si>
  <si>
    <t>NAKDAN NURWAHID</t>
  </si>
  <si>
    <t>NAYA FAUZIAH</t>
  </si>
  <si>
    <t>NISWATUL KAMILAH</t>
  </si>
  <si>
    <t>PAUZI RAMDANI</t>
  </si>
  <si>
    <t>REKI MAULANA SUHANDA</t>
  </si>
  <si>
    <t>RIFA SALAMAH</t>
  </si>
  <si>
    <t>RIYAN PURNAMA</t>
  </si>
  <si>
    <t>RIZKI NUGRAHA BAROKAH</t>
  </si>
  <si>
    <t>Rizval Syam Priansyah S</t>
  </si>
  <si>
    <t>SHAFA NAIDA PATIMATU ZAHRA</t>
  </si>
  <si>
    <t>SILPIA NURASYIFAH</t>
  </si>
  <si>
    <t>SILVA OLIVIA</t>
  </si>
  <si>
    <t>SITI RAHMA AMELIA AWALIYAH</t>
  </si>
  <si>
    <t>SIVA HIDAYATUL ISMI</t>
  </si>
  <si>
    <t>Sopik Abdu Azis</t>
  </si>
  <si>
    <t>YULIA YULIANTI</t>
  </si>
  <si>
    <t>APNAN RISKAYANTI</t>
  </si>
  <si>
    <t>19.20.07.001</t>
  </si>
  <si>
    <t>19.20.07.002</t>
  </si>
  <si>
    <t>19.20.07.003</t>
  </si>
  <si>
    <t>19.20.07.004</t>
  </si>
  <si>
    <t>19.20.07.005</t>
  </si>
  <si>
    <t>19.20.07.006</t>
  </si>
  <si>
    <t>19.20.07.007</t>
  </si>
  <si>
    <t>19.20.07.008</t>
  </si>
  <si>
    <t>19.20.07.009</t>
  </si>
  <si>
    <t>19.20.07.011</t>
  </si>
  <si>
    <t>19.20.07.012</t>
  </si>
  <si>
    <t>19.20.07.013</t>
  </si>
  <si>
    <t>19.20.07.014</t>
  </si>
  <si>
    <t>19.20.07.015</t>
  </si>
  <si>
    <t>19.20.07.016</t>
  </si>
  <si>
    <t>19.20.07.018</t>
  </si>
  <si>
    <t>19.20.07.019</t>
  </si>
  <si>
    <t>19.20.07.020</t>
  </si>
  <si>
    <t>19.20.07.021</t>
  </si>
  <si>
    <t>19.20.07.022</t>
  </si>
  <si>
    <t>19.20.07.023</t>
  </si>
  <si>
    <t>19.20.07.024</t>
  </si>
  <si>
    <t>19.20.07.025</t>
  </si>
  <si>
    <t>19.20.07.026</t>
  </si>
  <si>
    <t>19.20.07.027</t>
  </si>
  <si>
    <t>19.20.07.028</t>
  </si>
  <si>
    <t>19.20.07.029</t>
  </si>
  <si>
    <t>19.20.07.030</t>
  </si>
  <si>
    <t>19.20.07.031</t>
  </si>
  <si>
    <t>19.20.07.032</t>
  </si>
  <si>
    <t>19.20.07.033</t>
  </si>
  <si>
    <t>19.20.07.034</t>
  </si>
  <si>
    <t>19.20.07.035</t>
  </si>
  <si>
    <t>19.20.07.036</t>
  </si>
  <si>
    <t>19.20.07.037</t>
  </si>
  <si>
    <t>19.20.07.038</t>
  </si>
  <si>
    <t>19.20.07.039</t>
  </si>
  <si>
    <t>19.20.07.040</t>
  </si>
  <si>
    <t>19.20.07.282</t>
  </si>
  <si>
    <t>8A</t>
  </si>
  <si>
    <t>L+P</t>
  </si>
  <si>
    <t>8B</t>
  </si>
  <si>
    <t>AHMAD FAUZI</t>
  </si>
  <si>
    <t>AI ILFA JAHROTUNNISA</t>
  </si>
  <si>
    <t>ALDI SETIAWAN</t>
  </si>
  <si>
    <t>AMELIA</t>
  </si>
  <si>
    <t>ARINSA NOVELITA</t>
  </si>
  <si>
    <t>ASEP REHAN</t>
  </si>
  <si>
    <t>BEBY NABILA ISABELLA</t>
  </si>
  <si>
    <t>DENI ULPIADI</t>
  </si>
  <si>
    <t>Destra Hadiansyah</t>
  </si>
  <si>
    <t>DINDA CHOERUNNISA</t>
  </si>
  <si>
    <t>DINDA SAPA PELIZA</t>
  </si>
  <si>
    <t>FAHRIZI FADILLAH</t>
  </si>
  <si>
    <t>FIA ROF ATUL AULIA</t>
  </si>
  <si>
    <t>FITRIANI</t>
  </si>
  <si>
    <t>HAIKAL ISMAIL</t>
  </si>
  <si>
    <t>HENDRIK</t>
  </si>
  <si>
    <t>HESTI FAUZIAH</t>
  </si>
  <si>
    <t>IKBAL MAULANA</t>
  </si>
  <si>
    <t>ILMA NAFIAH</t>
  </si>
  <si>
    <t>IRA NURUSAMSI</t>
  </si>
  <si>
    <t xml:space="preserve">M REPAN ILHAMI </t>
  </si>
  <si>
    <t>M. RIZKI MAHMUDI</t>
  </si>
  <si>
    <t>Maulana Yusuf</t>
  </si>
  <si>
    <t>MOH RIPQI HAMDANI</t>
  </si>
  <si>
    <t>MUCHAMAD AL BINE DESTREEAN</t>
  </si>
  <si>
    <t>MUHAMMAD HUSNI ABDUL AZIZ</t>
  </si>
  <si>
    <t>MUHAMMAD ZAKARIA</t>
  </si>
  <si>
    <t>NAZWA PUTRI PADILAH</t>
  </si>
  <si>
    <t>NOVI YULIANTI</t>
  </si>
  <si>
    <t>RIFA RUSDIANTI</t>
  </si>
  <si>
    <t>RISKA SAFITRI</t>
  </si>
  <si>
    <t>SABILA</t>
  </si>
  <si>
    <t>SILVIA M</t>
  </si>
  <si>
    <t>SINTIA ANGGRAENI</t>
  </si>
  <si>
    <t>SUCI MUNAZAH RAMADINA NIRMALA</t>
  </si>
  <si>
    <t>19.20.07.041</t>
  </si>
  <si>
    <t>19.20.07.042</t>
  </si>
  <si>
    <t>19.20.07.043</t>
  </si>
  <si>
    <t>19.20.07.044</t>
  </si>
  <si>
    <t>19.20.07.045</t>
  </si>
  <si>
    <t>19.20.07.046</t>
  </si>
  <si>
    <t>19.20.07.047</t>
  </si>
  <si>
    <t>19.20.07.048</t>
  </si>
  <si>
    <t>19.20.07.049</t>
  </si>
  <si>
    <t>19.20.07.050</t>
  </si>
  <si>
    <t>19.20.07.051</t>
  </si>
  <si>
    <t>19.20.07.052</t>
  </si>
  <si>
    <t>19.20.07.053</t>
  </si>
  <si>
    <t>19.20.07.054</t>
  </si>
  <si>
    <t>19.20.07.055</t>
  </si>
  <si>
    <t>19.20.07.056</t>
  </si>
  <si>
    <t>19.20.07.057</t>
  </si>
  <si>
    <t>19.20.07.059</t>
  </si>
  <si>
    <t>19.20.07.060</t>
  </si>
  <si>
    <t>19.20.07.061</t>
  </si>
  <si>
    <t>19.20.07.062</t>
  </si>
  <si>
    <t>19.20.07.063</t>
  </si>
  <si>
    <t>19.20.07.064</t>
  </si>
  <si>
    <t>19.20.07.065</t>
  </si>
  <si>
    <t>19.20.07.066</t>
  </si>
  <si>
    <t>19.20.07.067</t>
  </si>
  <si>
    <t>19.20.07.068</t>
  </si>
  <si>
    <t>19.20.07.069</t>
  </si>
  <si>
    <t>19.20.07.070</t>
  </si>
  <si>
    <t>19.20.07.071</t>
  </si>
  <si>
    <t>19.20.07.072</t>
  </si>
  <si>
    <t>19.20.07.073</t>
  </si>
  <si>
    <t>19.20.07.074</t>
  </si>
  <si>
    <t>19.20.07.075</t>
  </si>
  <si>
    <t>19.20.07.076</t>
  </si>
  <si>
    <t>19.20.07.077</t>
  </si>
  <si>
    <t>19.20.07.078</t>
  </si>
  <si>
    <t>AANG KURNIAWAN</t>
  </si>
  <si>
    <t>ADAM</t>
  </si>
  <si>
    <t>ADE VINA</t>
  </si>
  <si>
    <t>AFRIZA FAUZI</t>
  </si>
  <si>
    <t>AGISNI SINTIA RAMADANI</t>
  </si>
  <si>
    <t>AHMAD JAYUSMAN</t>
  </si>
  <si>
    <t>ANGGI RAHMA APRINIATI</t>
  </si>
  <si>
    <t>ANI LESTARI</t>
  </si>
  <si>
    <t>ASEP VINDRA AL SYAHBANI</t>
  </si>
  <si>
    <t>DESI FITRIANI</t>
  </si>
  <si>
    <t>DWI PATMA LARASATI</t>
  </si>
  <si>
    <t>FAHMI FAUZI</t>
  </si>
  <si>
    <t>GINA SALSABILA DEVIANI</t>
  </si>
  <si>
    <t>HADI NURMAWAN</t>
  </si>
  <si>
    <t>HILMA NURSALAMAH</t>
  </si>
  <si>
    <t>LIDIA FITRIYANI</t>
  </si>
  <si>
    <t>M RESTU ADITIYA</t>
  </si>
  <si>
    <t>M.PARID AKBAR</t>
  </si>
  <si>
    <t>MELINDA NOVIANTI</t>
  </si>
  <si>
    <t>MOOHAMAD DZAM-DZAM SETIAWAN</t>
  </si>
  <si>
    <t>MUHAMAD HEGAR</t>
  </si>
  <si>
    <t>MUHAMAD. IKHSAN GUNADI</t>
  </si>
  <si>
    <t>NAILA ROSAENI</t>
  </si>
  <si>
    <t>NAYA MOZA RUSMANA</t>
  </si>
  <si>
    <t>NAYLA OTAVIANI</t>
  </si>
  <si>
    <t>NAZWA NAZMIAH</t>
  </si>
  <si>
    <t>NENG DAYANTI</t>
  </si>
  <si>
    <t>PAUZI WIGUNA</t>
  </si>
  <si>
    <t>PUTRI NURAJIJAH</t>
  </si>
  <si>
    <t>RAIHAN HUSNI AL-GIPARI</t>
  </si>
  <si>
    <t>REFA FATMAWATI</t>
  </si>
  <si>
    <t>RENDIYANSAH</t>
  </si>
  <si>
    <t>RESTI</t>
  </si>
  <si>
    <t>RISDA NURDIANY</t>
  </si>
  <si>
    <t>RIYAN SUHENDAR</t>
  </si>
  <si>
    <t>RIZKA SOLEHAH</t>
  </si>
  <si>
    <t>SILSI PAUJIAH</t>
  </si>
  <si>
    <t>SITI SALWA NUR FADILAH</t>
  </si>
  <si>
    <t>ZAENAL IKHSAN</t>
  </si>
  <si>
    <t>AGUS HERMAWAN</t>
  </si>
  <si>
    <t>19.20.07.080</t>
  </si>
  <si>
    <t>19.20.07.081</t>
  </si>
  <si>
    <t>19.20.07.082</t>
  </si>
  <si>
    <t>19.20.07.083</t>
  </si>
  <si>
    <t>19.20.07.084</t>
  </si>
  <si>
    <t>19.20.07.085</t>
  </si>
  <si>
    <t>19.20.07.086</t>
  </si>
  <si>
    <t>19.20.07.087</t>
  </si>
  <si>
    <t>19.20.07.088</t>
  </si>
  <si>
    <t>19.20.07.089</t>
  </si>
  <si>
    <t>19.20.07.090</t>
  </si>
  <si>
    <t>19.20.07.091</t>
  </si>
  <si>
    <t>19.20.07.092</t>
  </si>
  <si>
    <t>19.20.07.093</t>
  </si>
  <si>
    <t>19.20.07.094</t>
  </si>
  <si>
    <t>19.20.07.095</t>
  </si>
  <si>
    <t>19.20.07.096</t>
  </si>
  <si>
    <t>19.20.07.097</t>
  </si>
  <si>
    <t>19.20.07.098</t>
  </si>
  <si>
    <t>19.20.07.099</t>
  </si>
  <si>
    <t>19.20.07.100</t>
  </si>
  <si>
    <t>19.20.07.101</t>
  </si>
  <si>
    <t>19.20.07.102</t>
  </si>
  <si>
    <t>19.20.07.103</t>
  </si>
  <si>
    <t>19.20.07.104</t>
  </si>
  <si>
    <t>19.20.07.105</t>
  </si>
  <si>
    <t>19.20.07.106</t>
  </si>
  <si>
    <t>19.20.07.107</t>
  </si>
  <si>
    <t>19.20.07.108</t>
  </si>
  <si>
    <t>19.20.07.109</t>
  </si>
  <si>
    <t>19.20.07.110</t>
  </si>
  <si>
    <t>19.20.07.111</t>
  </si>
  <si>
    <t>19.20.07.112</t>
  </si>
  <si>
    <t>19.20.07.113</t>
  </si>
  <si>
    <t>19.20.07.114</t>
  </si>
  <si>
    <t>19.20.07.115</t>
  </si>
  <si>
    <t>19.20.07.116</t>
  </si>
  <si>
    <t>19.20.07.117</t>
  </si>
  <si>
    <t>19.20.07.118</t>
  </si>
  <si>
    <t>19.20.07.281</t>
  </si>
  <si>
    <t>8C</t>
  </si>
  <si>
    <t>AL- LIKHA LUTHFIANA PUTRI</t>
  </si>
  <si>
    <t>ALIYA NUR ANISA</t>
  </si>
  <si>
    <t>ARFA HIKMAH KHOERUNNISA</t>
  </si>
  <si>
    <t>DALWA MUTIARA NURL AENI</t>
  </si>
  <si>
    <t>DANDI</t>
  </si>
  <si>
    <t>DINI SAFITRI UMU HABIBAH</t>
  </si>
  <si>
    <t>ERISA SUCI KIRANA</t>
  </si>
  <si>
    <t>EVITA NURUL LATIFA</t>
  </si>
  <si>
    <t>IRWANSYAH LUTPI SANDAWA</t>
  </si>
  <si>
    <t>Linda Nuraini</t>
  </si>
  <si>
    <t>M RIAN HIDAYATULLOH</t>
  </si>
  <si>
    <t>M. ADJI PRAYUDA</t>
  </si>
  <si>
    <t>M. FAHRUL FADILAH</t>
  </si>
  <si>
    <t>M. FEBRI AL- MUKAROM</t>
  </si>
  <si>
    <t>M. MIFTAHUL ANAM</t>
  </si>
  <si>
    <t>M. NAZRIL ADITIANSYAH</t>
  </si>
  <si>
    <t>M.FADILAH AL FIKHI</t>
  </si>
  <si>
    <t>MELINIA</t>
  </si>
  <si>
    <t>MERI ANDINI</t>
  </si>
  <si>
    <t>MOCH ARKARIZA ISMAIL</t>
  </si>
  <si>
    <t>MUHAMAD ALFIAN RAHMAN</t>
  </si>
  <si>
    <t>MUHAMAD ISRO DALLILAH</t>
  </si>
  <si>
    <t>MUHAMAD RAHSYAH</t>
  </si>
  <si>
    <t>MUHAMAD RYAS RASYID</t>
  </si>
  <si>
    <t>MUTIARA RAHAYU</t>
  </si>
  <si>
    <t>Nadira Aurelia Lestari</t>
  </si>
  <si>
    <t>NAILA NURUL PADILAH</t>
  </si>
  <si>
    <t>NAYLA SALSABILA</t>
  </si>
  <si>
    <t>NEZLA AIRUL FIRDASARI</t>
  </si>
  <si>
    <t>PARESA IBNU SALAHUDIN</t>
  </si>
  <si>
    <t>RIANA AMELIA</t>
  </si>
  <si>
    <t>RIPAL PADILAH</t>
  </si>
  <si>
    <t>ROMAT DWI RAGIL SAPUTRO</t>
  </si>
  <si>
    <t>SALSABILA</t>
  </si>
  <si>
    <t>SALWA BUNGA LESTARI</t>
  </si>
  <si>
    <t>SITI NABILA BILQISTIANI</t>
  </si>
  <si>
    <t>SITI RAISA NAYLANI</t>
  </si>
  <si>
    <t>SYIFA FAUZIAH</t>
  </si>
  <si>
    <t>TIARA HANIPA</t>
  </si>
  <si>
    <t>19.20.07.119</t>
  </si>
  <si>
    <t>19.20.07.120</t>
  </si>
  <si>
    <t>19.20.07.121</t>
  </si>
  <si>
    <t>19.20.07.122</t>
  </si>
  <si>
    <t>19.20.07.123</t>
  </si>
  <si>
    <t>19.20.07.124</t>
  </si>
  <si>
    <t>19.20.07.125</t>
  </si>
  <si>
    <t>19.20.07.126</t>
  </si>
  <si>
    <t>19.20.07.127</t>
  </si>
  <si>
    <t>19.20.07.128</t>
  </si>
  <si>
    <t>19.20.07.129</t>
  </si>
  <si>
    <t>19.20.07.130</t>
  </si>
  <si>
    <t>19.20.07.131</t>
  </si>
  <si>
    <t>19.20.07.132</t>
  </si>
  <si>
    <t>19.20.07.133</t>
  </si>
  <si>
    <t>19.20.07.134</t>
  </si>
  <si>
    <t>19.20.07.135</t>
  </si>
  <si>
    <t>19.20.07.136</t>
  </si>
  <si>
    <t>19.20.07.137</t>
  </si>
  <si>
    <t>19.20.07.138</t>
  </si>
  <si>
    <t>19.20.07.139</t>
  </si>
  <si>
    <t>19.20.07.140</t>
  </si>
  <si>
    <t>19.20.07.141</t>
  </si>
  <si>
    <t>19.20.07.142</t>
  </si>
  <si>
    <t>19.20.07.143</t>
  </si>
  <si>
    <t>19.20.07.144</t>
  </si>
  <si>
    <t>19.20.07.145</t>
  </si>
  <si>
    <t>19.20.07.146</t>
  </si>
  <si>
    <t>19.20.07.147</t>
  </si>
  <si>
    <t>19.20.07.148</t>
  </si>
  <si>
    <t>19.20.07.149</t>
  </si>
  <si>
    <t>19.20.07.150</t>
  </si>
  <si>
    <t>19.20.07.151</t>
  </si>
  <si>
    <t>19.20.07.152</t>
  </si>
  <si>
    <t>19.20.07.153</t>
  </si>
  <si>
    <t>19.20.07.154</t>
  </si>
  <si>
    <t>19.20.07.155</t>
  </si>
  <si>
    <t>19.20.07.156</t>
  </si>
  <si>
    <t>19.20.07.157</t>
  </si>
  <si>
    <t>8D</t>
  </si>
  <si>
    <t>ALYA NUR RAMADHANIA</t>
  </si>
  <si>
    <t>AMELIA AGUSTINA</t>
  </si>
  <si>
    <t>ANIDA LIKIANI</t>
  </si>
  <si>
    <t>ARYA AL - FAUJANI</t>
  </si>
  <si>
    <t>CICI PARIDA</t>
  </si>
  <si>
    <t>DEDE RODIAH</t>
  </si>
  <si>
    <t>DINDA SASKIA MATIN</t>
  </si>
  <si>
    <t>FADILAH</t>
  </si>
  <si>
    <t>HAIKAL APANDI</t>
  </si>
  <si>
    <t>JIHADINULOH</t>
  </si>
  <si>
    <t>M. IBNU ASADZILI</t>
  </si>
  <si>
    <t>MOCH. FACHRY FIRDAUS</t>
  </si>
  <si>
    <t>MUHAMAD HAFIDZAN ANWAR</t>
  </si>
  <si>
    <t>MUHAMAD REPHAN</t>
  </si>
  <si>
    <t>MUHAMMAD FATHIR RAHMAN</t>
  </si>
  <si>
    <t>MUTIARA RAHMASARI RAMADHAN</t>
  </si>
  <si>
    <t>NAJLA ALIFA SITI AZRA</t>
  </si>
  <si>
    <t>NAZWA SAKINAH</t>
  </si>
  <si>
    <t>Neng Yulan Sari</t>
  </si>
  <si>
    <t>NURLAELA SARI</t>
  </si>
  <si>
    <t>RAIL MAULANA ELYASA</t>
  </si>
  <si>
    <t>RANTI ELVARIANI</t>
  </si>
  <si>
    <t>RAYSHA NUR SYALWA</t>
  </si>
  <si>
    <t>RIFFAN PURNAMA PUTRA</t>
  </si>
  <si>
    <t>RISMAWATI</t>
  </si>
  <si>
    <t>RISTIANA</t>
  </si>
  <si>
    <t>RIZKI MUHAMAD SAPRULLOH</t>
  </si>
  <si>
    <t>SITI FADILAH</t>
  </si>
  <si>
    <t>SITI HARISA</t>
  </si>
  <si>
    <t>SITI NASWA LUTVIAH</t>
  </si>
  <si>
    <t>SITI NUR PATIMAH</t>
  </si>
  <si>
    <t>Syahrul Ikhsan Al Mubarok</t>
  </si>
  <si>
    <t>WULAN CANTIKA FITRI</t>
  </si>
  <si>
    <t>ZASKIA ROWAINA SADATIL.GINA</t>
  </si>
  <si>
    <t>SAID ABDUL WAHAB</t>
  </si>
  <si>
    <t>MISBAH MUNIR</t>
  </si>
  <si>
    <t>19.20.07.161</t>
  </si>
  <si>
    <t>19.20.07.162</t>
  </si>
  <si>
    <t>19.20.07.163</t>
  </si>
  <si>
    <t>19.20.07.164</t>
  </si>
  <si>
    <t>19.20.07.165</t>
  </si>
  <si>
    <t>19.20.07.166</t>
  </si>
  <si>
    <t>19.20.07.167</t>
  </si>
  <si>
    <t>19.20.07.168</t>
  </si>
  <si>
    <t>19.20.07.169</t>
  </si>
  <si>
    <t>19.20.07.170</t>
  </si>
  <si>
    <t>19.20.07.171</t>
  </si>
  <si>
    <t>19.20.07.172</t>
  </si>
  <si>
    <t>19.20.07.173</t>
  </si>
  <si>
    <t>19.20.07.174</t>
  </si>
  <si>
    <t>19.20.07.175</t>
  </si>
  <si>
    <t>19.20.07.176</t>
  </si>
  <si>
    <t>19.20.07.177</t>
  </si>
  <si>
    <t>19.20.07.178</t>
  </si>
  <si>
    <t>19.20.07.179</t>
  </si>
  <si>
    <t>19.20.07.180</t>
  </si>
  <si>
    <t>19.20.07.181</t>
  </si>
  <si>
    <t>19.20.07.182</t>
  </si>
  <si>
    <t>19.20.07.183</t>
  </si>
  <si>
    <t>19.20.07.184</t>
  </si>
  <si>
    <t>19.20.07.185</t>
  </si>
  <si>
    <t>19.20.07.186</t>
  </si>
  <si>
    <t>19.20.07.187</t>
  </si>
  <si>
    <t>19.20.07.188</t>
  </si>
  <si>
    <t>19.20.07.189</t>
  </si>
  <si>
    <t>19.20.07.190</t>
  </si>
  <si>
    <t>19.20.07.191</t>
  </si>
  <si>
    <t>19.20.07.192</t>
  </si>
  <si>
    <t>19.20.07.193</t>
  </si>
  <si>
    <t>19.20.07.194</t>
  </si>
  <si>
    <t>19.20.07.195</t>
  </si>
  <si>
    <t>19.20.07.197</t>
  </si>
  <si>
    <t>19.20.07.198</t>
  </si>
  <si>
    <t>19.20.07.278</t>
  </si>
  <si>
    <t>8E</t>
  </si>
  <si>
    <t>8F</t>
  </si>
  <si>
    <t>ACEP ABDUL PATAH</t>
  </si>
  <si>
    <t>ARIS ABDURAHMAN</t>
  </si>
  <si>
    <t>DANI MULYANA</t>
  </si>
  <si>
    <t>HILAL PATHUR RAHMAN</t>
  </si>
  <si>
    <t>M FAREN AL FAHRIZI</t>
  </si>
  <si>
    <t>M RAFI SANJANI</t>
  </si>
  <si>
    <t>M. AHNAN FAUZI</t>
  </si>
  <si>
    <t>M. FARHAN RAHMANI</t>
  </si>
  <si>
    <t>M. FATWA RAMADHAN</t>
  </si>
  <si>
    <t>M. LUTFI AKMAL SAPUTRA</t>
  </si>
  <si>
    <t>M. Rafli Aditia</t>
  </si>
  <si>
    <t>MELISA RISA NURLATIPAH</t>
  </si>
  <si>
    <t>MOHAMAD HILMAN</t>
  </si>
  <si>
    <t>MUHAMAD NABIL FAUZI</t>
  </si>
  <si>
    <t>MUHAMAD RAKSA</t>
  </si>
  <si>
    <t>Muhammad Husna Bahrul Ulum</t>
  </si>
  <si>
    <t>MUHAMMAD RIPKI MAULANA</t>
  </si>
  <si>
    <t>NAILA FITRIA</t>
  </si>
  <si>
    <t>PAZRI MAULANA</t>
  </si>
  <si>
    <t>Pitri Amanda Herawati</t>
  </si>
  <si>
    <t>RIADI SATIA NUGRAHA</t>
  </si>
  <si>
    <t>RISA SRIMULYANI</t>
  </si>
  <si>
    <t>RISMA NURIZZATI</t>
  </si>
  <si>
    <t>S WAFIQ NUR AZIZAH</t>
  </si>
  <si>
    <t>SALWA HOERUNNISA</t>
  </si>
  <si>
    <t>SARAH AMELIA AGUSTIN</t>
  </si>
  <si>
    <t>SHELA NURAVIVAH</t>
  </si>
  <si>
    <t>SILVI NURHOVIPAH</t>
  </si>
  <si>
    <t>SITI NUR AJIZAH</t>
  </si>
  <si>
    <t>SITI NUR AZIZIAH</t>
  </si>
  <si>
    <t>SITI NURAISYAH</t>
  </si>
  <si>
    <t>SITI SAOBAH  NURLAELAH</t>
  </si>
  <si>
    <t>SRI WAHYUNI</t>
  </si>
  <si>
    <t>SUCI NURUL AZMI</t>
  </si>
  <si>
    <t>SYIFA ARDIANTI</t>
  </si>
  <si>
    <t>Wanda Septiyani</t>
  </si>
  <si>
    <t>WIDIA NURFADILLAH</t>
  </si>
  <si>
    <t>YARIS RIYADI</t>
  </si>
  <si>
    <t>YOGA RUSTANDI</t>
  </si>
  <si>
    <t>ZAHRA REVA AULIA</t>
  </si>
  <si>
    <t>19.20.07.199</t>
  </si>
  <si>
    <t>19.20.07.200</t>
  </si>
  <si>
    <t>19.20.07.201</t>
  </si>
  <si>
    <t>19.20.07.202</t>
  </si>
  <si>
    <t>19.20.07.203</t>
  </si>
  <si>
    <t>19.20.07.204</t>
  </si>
  <si>
    <t>19.20.07.205</t>
  </si>
  <si>
    <t>19.20.07.206</t>
  </si>
  <si>
    <t>19.20.07.207</t>
  </si>
  <si>
    <t>19.20.07.208</t>
  </si>
  <si>
    <t>19.20.07.209</t>
  </si>
  <si>
    <t>19.20.07.210</t>
  </si>
  <si>
    <t>19.20.07.211</t>
  </si>
  <si>
    <t>19.20.07.212</t>
  </si>
  <si>
    <t>19.20.07.213</t>
  </si>
  <si>
    <t>19.20.07.214</t>
  </si>
  <si>
    <t>19.20.07.215</t>
  </si>
  <si>
    <t>19.20.07.216</t>
  </si>
  <si>
    <t>19.20.07.217</t>
  </si>
  <si>
    <t>19.20.07.218</t>
  </si>
  <si>
    <t>19.20.07.219</t>
  </si>
  <si>
    <t>19.20.07.220</t>
  </si>
  <si>
    <t>19.20.07.221</t>
  </si>
  <si>
    <t>19.20.07.222</t>
  </si>
  <si>
    <t>19.20.07.223</t>
  </si>
  <si>
    <t>19.20.07.224</t>
  </si>
  <si>
    <t>19.20.07.225</t>
  </si>
  <si>
    <t>19.20.07.226</t>
  </si>
  <si>
    <t>19.20.07.227</t>
  </si>
  <si>
    <t>19.20.07.228</t>
  </si>
  <si>
    <t>19.20.07.229</t>
  </si>
  <si>
    <t>19.20.07.230</t>
  </si>
  <si>
    <t>19.20.07.231</t>
  </si>
  <si>
    <t>19.20.07.232</t>
  </si>
  <si>
    <t>19.20.07.233</t>
  </si>
  <si>
    <t>19.20.07.234</t>
  </si>
  <si>
    <t>19.20.07.235</t>
  </si>
  <si>
    <t>19.20.07.236</t>
  </si>
  <si>
    <t>19.20.07.237</t>
  </si>
  <si>
    <t>19.20.07.238</t>
  </si>
  <si>
    <t>ABDUL HOLIK SANDIKA PERMANA</t>
  </si>
  <si>
    <t>AMELIA PUTRI CAHYATI</t>
  </si>
  <si>
    <t>ANWAR</t>
  </si>
  <si>
    <t>AVRILIA NURMAULIDA</t>
  </si>
  <si>
    <t>DIBA FAIZA ABDIANI</t>
  </si>
  <si>
    <t>DINDA INAYAH</t>
  </si>
  <si>
    <t>DINI RAMADANI</t>
  </si>
  <si>
    <t>FITRI NURAPIPAH</t>
  </si>
  <si>
    <t>FITRIAH NUROKTAVIANI</t>
  </si>
  <si>
    <t>HANAPI AL HUSAENI</t>
  </si>
  <si>
    <t>HANIFAH A'YUNI FIKROH</t>
  </si>
  <si>
    <t>Intan Salsabila Al Hauroa</t>
  </si>
  <si>
    <t>M. RIDWAN AL - SIROZY</t>
  </si>
  <si>
    <t>MUHAMAD IMAM ANUGRAH</t>
  </si>
  <si>
    <t>MUHAMAD PASHA PADILLAH</t>
  </si>
  <si>
    <t>MUHAMAD REZA ADITIYA</t>
  </si>
  <si>
    <t>MUHAMAD SANDI SETYAWABN</t>
  </si>
  <si>
    <t>MUHAMMAD FATHIR SIDIQ</t>
  </si>
  <si>
    <t>NAFILA AFIANI RAHAYU</t>
  </si>
  <si>
    <t>RAIZKAL NUR SAMJAL</t>
  </si>
  <si>
    <t xml:space="preserve">RAYHAN NAZAR ISLAMI </t>
  </si>
  <si>
    <t>RENA PITRIA</t>
  </si>
  <si>
    <t>REVAL ERIANGGA</t>
  </si>
  <si>
    <t>REZA RADITIA PRATAMA</t>
  </si>
  <si>
    <t>SENDI PERMANA</t>
  </si>
  <si>
    <t>SHANDI NUGRAHA</t>
  </si>
  <si>
    <t>SINTA NURAENI</t>
  </si>
  <si>
    <t>SITI HARDIANTI UMAYAH</t>
  </si>
  <si>
    <t>SITI LAURA</t>
  </si>
  <si>
    <t>SITI NUR AZIZAH</t>
  </si>
  <si>
    <t>SRI ANDINI</t>
  </si>
  <si>
    <t>SYAKIR AL-KHUARIZMI</t>
  </si>
  <si>
    <t>WINDA AMELIA</t>
  </si>
  <si>
    <t>WITRI NUR ALIFFAH</t>
  </si>
  <si>
    <t>ZAHRA SAPIRA</t>
  </si>
  <si>
    <t>ADIL HAKAM BILLAH</t>
  </si>
  <si>
    <t>AZPA NAUFAL</t>
  </si>
  <si>
    <t>19.20.07.239</t>
  </si>
  <si>
    <t>19.20.07.240</t>
  </si>
  <si>
    <t>19.20.07.241</t>
  </si>
  <si>
    <t>19.20.07.242</t>
  </si>
  <si>
    <t>19.20.07.243</t>
  </si>
  <si>
    <t>19.20.07.244</t>
  </si>
  <si>
    <t>19.20.07.245</t>
  </si>
  <si>
    <t>19.20.07.246</t>
  </si>
  <si>
    <t>19.20.07.247</t>
  </si>
  <si>
    <t>19.20.07.248</t>
  </si>
  <si>
    <t>19.20.07.249</t>
  </si>
  <si>
    <t>19.20.07.250</t>
  </si>
  <si>
    <t>19.20.07.251</t>
  </si>
  <si>
    <t>19.20.07.252</t>
  </si>
  <si>
    <t>19.20.07.253</t>
  </si>
  <si>
    <t>19.20.07.254</t>
  </si>
  <si>
    <t>19.20.07.255</t>
  </si>
  <si>
    <t>19.20.07.256</t>
  </si>
  <si>
    <t>19.20.07.257</t>
  </si>
  <si>
    <t>19.20.07.259</t>
  </si>
  <si>
    <t>19.20.07.260</t>
  </si>
  <si>
    <t>19.20.07.261</t>
  </si>
  <si>
    <t>19.20.07.262</t>
  </si>
  <si>
    <t>19.20.07.263</t>
  </si>
  <si>
    <t>19.20.07.264</t>
  </si>
  <si>
    <t>19.20.07.265</t>
  </si>
  <si>
    <t>19.20.07.266</t>
  </si>
  <si>
    <t>19.20.07.267</t>
  </si>
  <si>
    <t>19.20.07.268</t>
  </si>
  <si>
    <t>19.20.07.269</t>
  </si>
  <si>
    <t>19.20.07.270</t>
  </si>
  <si>
    <t>19.20.07.271</t>
  </si>
  <si>
    <t>19.20.07.272</t>
  </si>
  <si>
    <t>19.20.07.273</t>
  </si>
  <si>
    <t>19.20.07.274</t>
  </si>
  <si>
    <t>19.20.07.275</t>
  </si>
  <si>
    <t>19.20.07.276</t>
  </si>
  <si>
    <t>19.20.07.277</t>
  </si>
  <si>
    <t>19.20.07.279</t>
  </si>
  <si>
    <t>19.20.07.280</t>
  </si>
  <si>
    <t>ADAM SAHLAN</t>
  </si>
  <si>
    <t>ADI GUSTIRA</t>
  </si>
  <si>
    <t>ALKHAD FADLAN MASRURO</t>
  </si>
  <si>
    <t>AMELIA PUTRI INDRIYANI</t>
  </si>
  <si>
    <t>ARMAN SOLEHUDIN</t>
  </si>
  <si>
    <t>BALQIS CAMILLA DEWI</t>
  </si>
  <si>
    <t>ELISA SILVANI</t>
  </si>
  <si>
    <t>INDRI PAUJIAH</t>
  </si>
  <si>
    <t>INTAN MEISYA LUCIANA HASTARI</t>
  </si>
  <si>
    <t>M INDRA ANDRIANSYAH</t>
  </si>
  <si>
    <t>MEIWA ZAHRA</t>
  </si>
  <si>
    <t>MUGNI LABIB</t>
  </si>
  <si>
    <t>MUHAMAD BA'A ABDURAHMAN</t>
  </si>
  <si>
    <t>MUHAMAD DAFFA ARDIANSYAH</t>
  </si>
  <si>
    <t>MUHAMAD FERDIANSYAH</t>
  </si>
  <si>
    <t>MUHAMAD NUR APIFAH</t>
  </si>
  <si>
    <t xml:space="preserve">MUHAMAD PIRMAN ALAMSYAH </t>
  </si>
  <si>
    <t>NAILA PUTRI NUR ALIFAH</t>
  </si>
  <si>
    <t>NAILIS SAADAH</t>
  </si>
  <si>
    <t>NAZWA NABILA DESTIAN</t>
  </si>
  <si>
    <t>NENG SITI KHOIRUNISA</t>
  </si>
  <si>
    <t>NINA NOORMALA</t>
  </si>
  <si>
    <t>PARHAN AZIZI</t>
  </si>
  <si>
    <t>RADZIRAH GHANIYA MEILA</t>
  </si>
  <si>
    <t xml:space="preserve">RAISSYA SRI HARTANTI </t>
  </si>
  <si>
    <t>RIANNUR HUDA</t>
  </si>
  <si>
    <t>RIONALD SEPTIAN ALFARIZI</t>
  </si>
  <si>
    <t>RISKI AGUSTINA NURMALA</t>
  </si>
  <si>
    <t xml:space="preserve">RUSLAN </t>
  </si>
  <si>
    <t>SAGITA ANDINI PUTRI</t>
  </si>
  <si>
    <t>SERLY RAHMAWATI</t>
  </si>
  <si>
    <t>SITI WAPA</t>
  </si>
  <si>
    <t>SITI ZULFA NURAFIFAH</t>
  </si>
  <si>
    <t>SOPHIE FAUZI M</t>
  </si>
  <si>
    <t>SOPI NOPIASARI</t>
  </si>
  <si>
    <t>TRIANI RAHMADANI</t>
  </si>
  <si>
    <t>WILDA NEGSIH</t>
  </si>
  <si>
    <t>ZIQNI HAZAHRA</t>
  </si>
  <si>
    <t>1919.07.002</t>
  </si>
  <si>
    <t>1919.07.003</t>
  </si>
  <si>
    <t>1919.07.004</t>
  </si>
  <si>
    <t>1919.07.006</t>
  </si>
  <si>
    <t>1919.07.007</t>
  </si>
  <si>
    <t>1919.07.009</t>
  </si>
  <si>
    <t>1919.07.010</t>
  </si>
  <si>
    <t>1919.07.011</t>
  </si>
  <si>
    <t>1919.07.013</t>
  </si>
  <si>
    <t>1919.07.014</t>
  </si>
  <si>
    <t>1919.07.015</t>
  </si>
  <si>
    <t>1919.07.016</t>
  </si>
  <si>
    <t>1919.07.017</t>
  </si>
  <si>
    <t>1919.07.019</t>
  </si>
  <si>
    <t>1919.07.020</t>
  </si>
  <si>
    <t>1919.07.021</t>
  </si>
  <si>
    <t>1919.07.022</t>
  </si>
  <si>
    <t>1919.07.024</t>
  </si>
  <si>
    <t>1919.07.025</t>
  </si>
  <si>
    <t>1919.07.026</t>
  </si>
  <si>
    <t>1919.07.027</t>
  </si>
  <si>
    <t>1919.07.029</t>
  </si>
  <si>
    <t>1919.07.030</t>
  </si>
  <si>
    <t>1919.07.031</t>
  </si>
  <si>
    <t>1919.07.032</t>
  </si>
  <si>
    <t>1919.07.033</t>
  </si>
  <si>
    <t>1919.07.034</t>
  </si>
  <si>
    <t>1919.07.035</t>
  </si>
  <si>
    <t>1919.07.036</t>
  </si>
  <si>
    <t>1919.07.037</t>
  </si>
  <si>
    <t>1919.07.039</t>
  </si>
  <si>
    <t>1919.07.040</t>
  </si>
  <si>
    <t>1919.07.041</t>
  </si>
  <si>
    <t>1919.07.042</t>
  </si>
  <si>
    <t>9B</t>
  </si>
  <si>
    <t>ABDILLAH ARRAAFI'O</t>
  </si>
  <si>
    <t>AGUS SUANDI</t>
  </si>
  <si>
    <t>ANISA NURFAUZIAH</t>
  </si>
  <si>
    <t>ARYA WIGUNA PUTRA</t>
  </si>
  <si>
    <t>AZI PIRDAUS</t>
  </si>
  <si>
    <t xml:space="preserve">BASTIAN SAEPUL ZAMZAM </t>
  </si>
  <si>
    <t>DANI IRAWAN</t>
  </si>
  <si>
    <t>DELIS SAFITRI</t>
  </si>
  <si>
    <t>DHEA RAHMA ALIA</t>
  </si>
  <si>
    <t>DINI SRI RAHMAWATI</t>
  </si>
  <si>
    <t>FAHMI MAULIDI MI'RAJ</t>
  </si>
  <si>
    <t>FAUZIA NUR HAQ</t>
  </si>
  <si>
    <t>FIKRI SUKRILLAH</t>
  </si>
  <si>
    <t>LAILA SALWA N</t>
  </si>
  <si>
    <t>M ILHAM FADILAH</t>
  </si>
  <si>
    <t>MUHAMAD LUTFI FIRDAUS</t>
  </si>
  <si>
    <t>MUHAMAD  ADITIYA PRATAMA</t>
  </si>
  <si>
    <t>MUHAMAD RIDWAN ILYAS</t>
  </si>
  <si>
    <t>MUHAMD BAYU SAEPUL ZAMIL</t>
  </si>
  <si>
    <t xml:space="preserve">NABILA RIZKI SUDIRMAN </t>
  </si>
  <si>
    <t>NIZWAN PUTRA SETIAWAN</t>
  </si>
  <si>
    <t xml:space="preserve">NURLITA SARI AJENG </t>
  </si>
  <si>
    <t>PERDIANSYAH SAPUTRA</t>
  </si>
  <si>
    <t>RAHMAH ALYA</t>
  </si>
  <si>
    <t xml:space="preserve">REYHAN GURTIYAWAN </t>
  </si>
  <si>
    <t>RIDWAN MAULANA</t>
  </si>
  <si>
    <t>RINA RUSMIATI</t>
  </si>
  <si>
    <t xml:space="preserve">RIPA SAIMATU HASANAH </t>
  </si>
  <si>
    <t>SAEPUL ZAMIL</t>
  </si>
  <si>
    <t>SIFA AFRILIA</t>
  </si>
  <si>
    <t>SINTA SALBILAH KOSASIH</t>
  </si>
  <si>
    <t>SITI IRA INAYAH</t>
  </si>
  <si>
    <t>SITI NABILA</t>
  </si>
  <si>
    <t>SITI NABILA SAHNA AZAHRA</t>
  </si>
  <si>
    <t>SITI NURUL HAWA</t>
  </si>
  <si>
    <t xml:space="preserve">SITI SOPIAH KARIMAH </t>
  </si>
  <si>
    <t>SOVIA APRILIANTI</t>
  </si>
  <si>
    <t>SYAKIRA NURUL KHOTIMAH</t>
  </si>
  <si>
    <t>YUDA HERMAWAN</t>
  </si>
  <si>
    <t>ZAHWA NURUL QOLBI</t>
  </si>
  <si>
    <t>AGNI NURCAHYANI</t>
  </si>
  <si>
    <t>1919.07.043</t>
  </si>
  <si>
    <t>1919.07.044</t>
  </si>
  <si>
    <t>1919.07.045</t>
  </si>
  <si>
    <t>1919.07.046</t>
  </si>
  <si>
    <t>1919.07.047</t>
  </si>
  <si>
    <t>1919.07.049</t>
  </si>
  <si>
    <t>1919.07.051</t>
  </si>
  <si>
    <t>1919.07.052</t>
  </si>
  <si>
    <t>1919.07.053</t>
  </si>
  <si>
    <t>1919.07.054</t>
  </si>
  <si>
    <t>1919.07.055</t>
  </si>
  <si>
    <t>1919.07.056</t>
  </si>
  <si>
    <t>1919.07.057</t>
  </si>
  <si>
    <t>1919.07.059</t>
  </si>
  <si>
    <t>1919.07.060</t>
  </si>
  <si>
    <t>1919.07.061</t>
  </si>
  <si>
    <t>1919.07.062</t>
  </si>
  <si>
    <t>1919.07.063</t>
  </si>
  <si>
    <t>1919.07.064</t>
  </si>
  <si>
    <t>1919.07.065</t>
  </si>
  <si>
    <t>1919.07.066</t>
  </si>
  <si>
    <t>1919.07.067</t>
  </si>
  <si>
    <t>1919.07.069</t>
  </si>
  <si>
    <t>1919.07.070</t>
  </si>
  <si>
    <t>1919.07.071</t>
  </si>
  <si>
    <t>1919.07.072</t>
  </si>
  <si>
    <t>1919.07.073</t>
  </si>
  <si>
    <t>1919.07.074</t>
  </si>
  <si>
    <t>1919.07.075</t>
  </si>
  <si>
    <t>1919.07.076</t>
  </si>
  <si>
    <t>1919.07.077</t>
  </si>
  <si>
    <t>1919.07.079</t>
  </si>
  <si>
    <t>1919.07.090</t>
  </si>
  <si>
    <t>1919.07.091</t>
  </si>
  <si>
    <t>1919.07.092</t>
  </si>
  <si>
    <t>1919.07.093</t>
  </si>
  <si>
    <t>1919.07.294</t>
  </si>
  <si>
    <t>9A</t>
  </si>
  <si>
    <t>AGUS NUGRAHA</t>
  </si>
  <si>
    <t xml:space="preserve">ALDI HERMAWAN </t>
  </si>
  <si>
    <t>DEVI NOPIYANTI</t>
  </si>
  <si>
    <t xml:space="preserve">DIVA SITI NURJANAH </t>
  </si>
  <si>
    <t>FAID M MUBAROK</t>
  </si>
  <si>
    <t>FERISKA NURFAUZIAH AMELIA</t>
  </si>
  <si>
    <t>GALIH PERMANA</t>
  </si>
  <si>
    <t>GILANG GUMILANG</t>
  </si>
  <si>
    <t>ILHAM NURDIN</t>
  </si>
  <si>
    <t>INE DWI SINTIA</t>
  </si>
  <si>
    <t>LINGGA AGNIA</t>
  </si>
  <si>
    <t>LUSIANA PUTRI</t>
  </si>
  <si>
    <t>M RANGGA SAPUTRA</t>
  </si>
  <si>
    <t>M RIFKI NABAWI</t>
  </si>
  <si>
    <t>M SAHQI PURABAYA</t>
  </si>
  <si>
    <t>MARWAN</t>
  </si>
  <si>
    <t xml:space="preserve">MARWATUL ALIYYAH </t>
  </si>
  <si>
    <t>MIRDA AYUNI</t>
  </si>
  <si>
    <t>MUHAMAD DEDEN RUSLAN</t>
  </si>
  <si>
    <t xml:space="preserve">MUHAMAD PURQON </t>
  </si>
  <si>
    <t>MUHAMAD RIP'AN</t>
  </si>
  <si>
    <t>NADILA AMELIA</t>
  </si>
  <si>
    <t>NADILA HERTIAWATI</t>
  </si>
  <si>
    <t>NAYLA DWI RAMADHANI</t>
  </si>
  <si>
    <t>NIDA SYADIATU ZAHRA</t>
  </si>
  <si>
    <t>RIPALDI</t>
  </si>
  <si>
    <t>RISA DESIANA</t>
  </si>
  <si>
    <t>RIYAN ANDRIYANA</t>
  </si>
  <si>
    <t>ROMY RESTU ALPANDI</t>
  </si>
  <si>
    <t>SHAFIRA NUR AQILA</t>
  </si>
  <si>
    <t>SIFA FAUZIA</t>
  </si>
  <si>
    <t>SITI NURJAMILAH</t>
  </si>
  <si>
    <t>SITI RIPA NURLATIPAH</t>
  </si>
  <si>
    <t>SRI DELI AULIA</t>
  </si>
  <si>
    <t>SYALLIMUL AFIF</t>
  </si>
  <si>
    <t>TEDI FIRMANSYAH</t>
  </si>
  <si>
    <t>ULFA NURLATIFAH</t>
  </si>
  <si>
    <t xml:space="preserve">VIANTI AMELIA ROHMAN </t>
  </si>
  <si>
    <t>Cepi Malik Rizwan</t>
  </si>
  <si>
    <t>1919.07.094</t>
  </si>
  <si>
    <t>1919.07.096</t>
  </si>
  <si>
    <t>1919.07.099</t>
  </si>
  <si>
    <t>1919.07.095</t>
  </si>
  <si>
    <t>1919.07.097</t>
  </si>
  <si>
    <t>1919.07.100</t>
  </si>
  <si>
    <t>1919.07.101</t>
  </si>
  <si>
    <t>1919.07.102</t>
  </si>
  <si>
    <t>1919.07.103</t>
  </si>
  <si>
    <t>1919.07.104</t>
  </si>
  <si>
    <t>1919.07.105</t>
  </si>
  <si>
    <t>1919.07.106</t>
  </si>
  <si>
    <t>1919.07.107</t>
  </si>
  <si>
    <t>1919.07.109</t>
  </si>
  <si>
    <t>1919.07.110</t>
  </si>
  <si>
    <t>1919.07.111</t>
  </si>
  <si>
    <t>1919.07.113</t>
  </si>
  <si>
    <t>1919.07.114</t>
  </si>
  <si>
    <t>1919.07.115</t>
  </si>
  <si>
    <t>1919.07.116</t>
  </si>
  <si>
    <t>1919.07.117</t>
  </si>
  <si>
    <t>1919.07.119</t>
  </si>
  <si>
    <t>1919.07.120</t>
  </si>
  <si>
    <t>1919.07.123</t>
  </si>
  <si>
    <t>1919.07.124</t>
  </si>
  <si>
    <t>1919.07.125</t>
  </si>
  <si>
    <t>1919.07.126</t>
  </si>
  <si>
    <t>1919.07.127</t>
  </si>
  <si>
    <t>1919.07.295</t>
  </si>
  <si>
    <t>9C</t>
  </si>
  <si>
    <t>ABDUL ROUF</t>
  </si>
  <si>
    <t>ADE JULIANTI</t>
  </si>
  <si>
    <t>ADNAN MIMBAR FIRMANSAH</t>
  </si>
  <si>
    <t>ARIS TRISNANDAR</t>
  </si>
  <si>
    <t>BADRIANSAH ABSAN MAULANA</t>
  </si>
  <si>
    <t>GILANG IMAM SAPUTRA</t>
  </si>
  <si>
    <t>HANI SAHARA</t>
  </si>
  <si>
    <t>KAMILAH NURHIKMAH</t>
  </si>
  <si>
    <t>M NABIL ABDALAH S</t>
  </si>
  <si>
    <t>M SIROJUDIN</t>
  </si>
  <si>
    <t>M. RIZKI JUANDA</t>
  </si>
  <si>
    <t>MAULINA SAIDATUL UMAMAH</t>
  </si>
  <si>
    <t>MIA DESTIANA HOFIFAH</t>
  </si>
  <si>
    <t>MIMA RAHMA PUTRI</t>
  </si>
  <si>
    <t>MUHAMAD FAJAR</t>
  </si>
  <si>
    <t>MUHAMAD REFSA DIMAS S</t>
  </si>
  <si>
    <t>MUHAMAD SYAIFUL AZIZ</t>
  </si>
  <si>
    <t>MUTHIO ABDUL MALIK</t>
  </si>
  <si>
    <t>N.RISMA AMELIA PUTRI</t>
  </si>
  <si>
    <t xml:space="preserve">NADIA NAZWA </t>
  </si>
  <si>
    <t>NADYA NURSYIFA</t>
  </si>
  <si>
    <t>RAZIB SABIL RAMDANI</t>
  </si>
  <si>
    <t>RENDI ABDILLAH QUR'TUBI</t>
  </si>
  <si>
    <t>REVA NURSYIFA</t>
  </si>
  <si>
    <t>RINA</t>
  </si>
  <si>
    <t xml:space="preserve">RIZKY SIMPATI </t>
  </si>
  <si>
    <t>SANTI SAFITRI</t>
  </si>
  <si>
    <t>SITA AMELIA</t>
  </si>
  <si>
    <t>SITI ALIATUSSAADAH</t>
  </si>
  <si>
    <t>SITI NUR SAADAH</t>
  </si>
  <si>
    <t xml:space="preserve">SITI NURMRYANM </t>
  </si>
  <si>
    <t>UJANG TAOPIK MUHAMAD R</t>
  </si>
  <si>
    <t>VINA WIDIYANI</t>
  </si>
  <si>
    <t>WINY RAHMAWATI</t>
  </si>
  <si>
    <t xml:space="preserve">WIRANDANI </t>
  </si>
  <si>
    <t>YURI WANDIRA</t>
  </si>
  <si>
    <t xml:space="preserve">YULITA FITRIYANI </t>
  </si>
  <si>
    <t xml:space="preserve">SILVI NURAZIZAH </t>
  </si>
  <si>
    <t>SILVIA AGUSTINA</t>
  </si>
  <si>
    <t>1919.07.129</t>
  </si>
  <si>
    <t>1919.07.130</t>
  </si>
  <si>
    <t>1919.07.131</t>
  </si>
  <si>
    <t>1919.07.132</t>
  </si>
  <si>
    <t>1919.07.134</t>
  </si>
  <si>
    <t>1919.07.135</t>
  </si>
  <si>
    <t>1919.07.137</t>
  </si>
  <si>
    <t>1919.07.139</t>
  </si>
  <si>
    <t>1919.07.140</t>
  </si>
  <si>
    <t>1919.07.141</t>
  </si>
  <si>
    <t>1919.07.142</t>
  </si>
  <si>
    <t>1919.07.143</t>
  </si>
  <si>
    <t>1919.07.144</t>
  </si>
  <si>
    <t>1919.07.145</t>
  </si>
  <si>
    <t>1919.07.147</t>
  </si>
  <si>
    <t>1919.07.149</t>
  </si>
  <si>
    <t>1919.07.150</t>
  </si>
  <si>
    <t>1919.07.151</t>
  </si>
  <si>
    <t>1919.07.152</t>
  </si>
  <si>
    <t>1919.07.153</t>
  </si>
  <si>
    <t>1919.07.154</t>
  </si>
  <si>
    <t>1919.07.155</t>
  </si>
  <si>
    <t>1919.07.156</t>
  </si>
  <si>
    <t>1919.07.157</t>
  </si>
  <si>
    <t>1919.07.159</t>
  </si>
  <si>
    <t>1919.07.160</t>
  </si>
  <si>
    <t>1919.07.161</t>
  </si>
  <si>
    <t>1919.07.162</t>
  </si>
  <si>
    <t>1919.07.163</t>
  </si>
  <si>
    <t>1919.07.164</t>
  </si>
  <si>
    <t>1919.07.165</t>
  </si>
  <si>
    <t>1919.07.166</t>
  </si>
  <si>
    <t>1919.07.167</t>
  </si>
  <si>
    <t>1919.07.169</t>
  </si>
  <si>
    <t>p</t>
  </si>
  <si>
    <t>9D</t>
  </si>
  <si>
    <t>ABDUL AZIS MAULANA</t>
  </si>
  <si>
    <t>ABDUL RAYA PERMANA</t>
  </si>
  <si>
    <t>ADI RISNA SUGANDI</t>
  </si>
  <si>
    <t xml:space="preserve">ALAN HERDIANSYAH </t>
  </si>
  <si>
    <t>ANISA OKTAVIANI</t>
  </si>
  <si>
    <t>DESTI AMELIA PUTRI</t>
  </si>
  <si>
    <t xml:space="preserve">DEVRIO ABDUL AZIZ </t>
  </si>
  <si>
    <t>DIMAS GILANG PERMANA</t>
  </si>
  <si>
    <t>GILANG HIZRIANSYAH</t>
  </si>
  <si>
    <t>HAFIDZ FADILLAH</t>
  </si>
  <si>
    <t>M ILHAM NURPADILAH</t>
  </si>
  <si>
    <t>HUSNI ALIATUL ROHMAH</t>
  </si>
  <si>
    <t>IKBAL KURNIAWAN</t>
  </si>
  <si>
    <t>IMAM MULYANA</t>
  </si>
  <si>
    <t>INDAH</t>
  </si>
  <si>
    <t>JULFIKAR</t>
  </si>
  <si>
    <t>KELPIN OOY ALFARIZI</t>
  </si>
  <si>
    <t>M BENI  SAEPUL ANWAR</t>
  </si>
  <si>
    <t>M ZIDAN RAMDHANI</t>
  </si>
  <si>
    <t>M.ALPAZRI</t>
  </si>
  <si>
    <t>MUHAMAD HISYAM AL-BARAQ</t>
  </si>
  <si>
    <t>MUHAMAD RIZQI PRIATNA</t>
  </si>
  <si>
    <t>N SITI HAWA TIMI</t>
  </si>
  <si>
    <t>NANDO ADITYA</t>
  </si>
  <si>
    <t>NENG NITASARIM</t>
  </si>
  <si>
    <t>SANDI</t>
  </si>
  <si>
    <t>SEPTIA DESTRIANI</t>
  </si>
  <si>
    <t xml:space="preserve">SILFIA ESA MAULANA </t>
  </si>
  <si>
    <t>SITI EPA HANDAYANI</t>
  </si>
  <si>
    <t>SITI KANIA SEPTI AZAHRA</t>
  </si>
  <si>
    <t>SITI NURAIDAH ZAHRA</t>
  </si>
  <si>
    <t>SIVA RAHMAWATI</t>
  </si>
  <si>
    <t xml:space="preserve">SUCI RAHMAWATI </t>
  </si>
  <si>
    <t>TIKA AGUS TINA</t>
  </si>
  <si>
    <t>YESHA KHOIRUNISA PADILAH</t>
  </si>
  <si>
    <t>YUNI RIZKI LUTFIANI</t>
  </si>
  <si>
    <t>ZAHRA DWI AZKIA</t>
  </si>
  <si>
    <t>NURUL AZIZAH</t>
  </si>
  <si>
    <t>1919.07.170</t>
  </si>
  <si>
    <t>1919.07.171</t>
  </si>
  <si>
    <t>1919.07.172</t>
  </si>
  <si>
    <t>1919.07.173</t>
  </si>
  <si>
    <t>1919.07.174</t>
  </si>
  <si>
    <t>1919.07.176</t>
  </si>
  <si>
    <t>1919.07.177</t>
  </si>
  <si>
    <t>1919.07.179</t>
  </si>
  <si>
    <t>1919.07.190</t>
  </si>
  <si>
    <t>1919.07.191</t>
  </si>
  <si>
    <t>1919.07.192</t>
  </si>
  <si>
    <t>1919.07.193</t>
  </si>
  <si>
    <t>1919.07.194</t>
  </si>
  <si>
    <t>1919.07.195</t>
  </si>
  <si>
    <t>1919.07.196</t>
  </si>
  <si>
    <t>1919.07.197</t>
  </si>
  <si>
    <t>1919.07.199</t>
  </si>
  <si>
    <t>1919.07.200</t>
  </si>
  <si>
    <t>1919.07.201</t>
  </si>
  <si>
    <t>1919.07.202</t>
  </si>
  <si>
    <t>1919.07.203</t>
  </si>
  <si>
    <t>1919.07.204</t>
  </si>
  <si>
    <t>1919.07.205</t>
  </si>
  <si>
    <t>1919.07.206</t>
  </si>
  <si>
    <t>1919.07.207</t>
  </si>
  <si>
    <t>1919.07.209</t>
  </si>
  <si>
    <t>1919.07.297</t>
  </si>
  <si>
    <t>9E</t>
  </si>
  <si>
    <t>AHMAD JUMADI</t>
  </si>
  <si>
    <t>AI ROHIMATU NAZAH</t>
  </si>
  <si>
    <t>ANISA TIARA RAMADINA</t>
  </si>
  <si>
    <t>AZI MUBAROK</t>
  </si>
  <si>
    <t>AZIS MUSTAPA</t>
  </si>
  <si>
    <t>DEAN ADI RANGGA</t>
  </si>
  <si>
    <t>EGA SUKMANA</t>
  </si>
  <si>
    <t>EVA APRILIANTI</t>
  </si>
  <si>
    <t>FAIZA AKMALIA</t>
  </si>
  <si>
    <t>FANI INDRIYANI</t>
  </si>
  <si>
    <t>GALIH IBRAHIM P P</t>
  </si>
  <si>
    <t>ILHAM MUNAJAR</t>
  </si>
  <si>
    <t>JUWITA SARI</t>
  </si>
  <si>
    <t>LUTHFIANI NABILA</t>
  </si>
  <si>
    <t>M FAJAR S</t>
  </si>
  <si>
    <t>M FIKRI SAPUTRA</t>
  </si>
  <si>
    <t>M IMRON FAUZI</t>
  </si>
  <si>
    <t>M RIFQI MAULANA</t>
  </si>
  <si>
    <t>MEGA AULIA RAMADAN</t>
  </si>
  <si>
    <t>MH AKMAL PARID</t>
  </si>
  <si>
    <t>MOH FIKRI NURSYIHAB</t>
  </si>
  <si>
    <t>MUHAMAD ALWAN SAIDI</t>
  </si>
  <si>
    <t>MUHAMAD ARIFIN SAPUTRA</t>
  </si>
  <si>
    <t>MUHAMMAD RANGGA GUMILAR</t>
  </si>
  <si>
    <t>MUHAMMAD YUSRI FAHMI S</t>
  </si>
  <si>
    <t>NISA AMELIA</t>
  </si>
  <si>
    <t xml:space="preserve">NISYA NURUL RAHMAN </t>
  </si>
  <si>
    <t>RAHMA HERLINDYA</t>
  </si>
  <si>
    <t xml:space="preserve">RESTI ANDRIANI </t>
  </si>
  <si>
    <t xml:space="preserve">REZA NURIZKI SETIAJI </t>
  </si>
  <si>
    <t>RIDA LEGIANTINA</t>
  </si>
  <si>
    <t>SINTYA DEBI</t>
  </si>
  <si>
    <t xml:space="preserve">SITI HAJAR </t>
  </si>
  <si>
    <t>SITI NURHALIMAH</t>
  </si>
  <si>
    <t>SITI SAYYIDATURRAHMI</t>
  </si>
  <si>
    <t>TIARA</t>
  </si>
  <si>
    <t>WARDAH RAUDATUL JANNAH</t>
  </si>
  <si>
    <t>ZAMZAM JALILAH</t>
  </si>
  <si>
    <t>ZASKIA AMELIA</t>
  </si>
  <si>
    <t>M NURFADILAH</t>
  </si>
  <si>
    <t>MUHAMMAD ZALFA PIKRIANSYAH</t>
  </si>
  <si>
    <t>NENG AYU PUTRI ANSYAH</t>
  </si>
  <si>
    <t>1919.07.210</t>
  </si>
  <si>
    <t>1919.07.212</t>
  </si>
  <si>
    <t>1919.07.213</t>
  </si>
  <si>
    <t>1919.07.214</t>
  </si>
  <si>
    <t>1919.07.215</t>
  </si>
  <si>
    <t>1919.07.216</t>
  </si>
  <si>
    <t>1919.07.217</t>
  </si>
  <si>
    <t>1919.07.219</t>
  </si>
  <si>
    <t>1919.07.220</t>
  </si>
  <si>
    <t>1919.07.221</t>
  </si>
  <si>
    <t>1919.07.222</t>
  </si>
  <si>
    <t>1919.07.223</t>
  </si>
  <si>
    <t>1919.07.224</t>
  </si>
  <si>
    <t>1919.07.225</t>
  </si>
  <si>
    <t>1919.07.226</t>
  </si>
  <si>
    <t>1919.07.227</t>
  </si>
  <si>
    <t>1919.07.229</t>
  </si>
  <si>
    <t>1919.07.230</t>
  </si>
  <si>
    <t>1919.07.231</t>
  </si>
  <si>
    <t>1919.07.232</t>
  </si>
  <si>
    <t>1919.07.233</t>
  </si>
  <si>
    <t>1919.07.234</t>
  </si>
  <si>
    <t>1919.07.236</t>
  </si>
  <si>
    <t>1919.07.237</t>
  </si>
  <si>
    <t>1919.07.239</t>
  </si>
  <si>
    <t>1919.07.240</t>
  </si>
  <si>
    <t>1919.07.241</t>
  </si>
  <si>
    <t>1919.07.243</t>
  </si>
  <si>
    <t>1919.07.244</t>
  </si>
  <si>
    <t>1919.07.245</t>
  </si>
  <si>
    <t>1919.07.246</t>
  </si>
  <si>
    <t>1919.07.247</t>
  </si>
  <si>
    <t>1919.07.249</t>
  </si>
  <si>
    <t>1919.07.250</t>
  </si>
  <si>
    <t>1919.07.251</t>
  </si>
  <si>
    <t>1919.07.299</t>
  </si>
  <si>
    <t>1919.07.211</t>
  </si>
  <si>
    <t>9F</t>
  </si>
  <si>
    <t>ANGGA PERMANA</t>
  </si>
  <si>
    <t>ANISA NURMAULANI</t>
  </si>
  <si>
    <t>ASEP PARDA</t>
  </si>
  <si>
    <t>AYU PUSPITA SARI</t>
  </si>
  <si>
    <t>DAVINA MAULIDA DAMAYANTI</t>
  </si>
  <si>
    <t xml:space="preserve">DWI SUCI RAMADHANI </t>
  </si>
  <si>
    <t xml:space="preserve">FAJAR HERMAWAN </t>
  </si>
  <si>
    <t>FARHAH KAMILATUN NUHA</t>
  </si>
  <si>
    <t>IBRAM ADITIA</t>
  </si>
  <si>
    <t>INDI NURAENI</t>
  </si>
  <si>
    <t>IRMAWATI</t>
  </si>
  <si>
    <t>M ANDIKA JUMA HESA</t>
  </si>
  <si>
    <t>HANI NURUL ALIFA</t>
  </si>
  <si>
    <t xml:space="preserve">M JAMIL RAHMAN </t>
  </si>
  <si>
    <t>M SAEPUL BAHRI FIRDAUS</t>
  </si>
  <si>
    <t>M. AGUNG GUMELAR</t>
  </si>
  <si>
    <t>MELANI CHASKIA</t>
  </si>
  <si>
    <t>MOH SYAHID ASSYIFA</t>
  </si>
  <si>
    <t>MUANISATUL ZAHRA</t>
  </si>
  <si>
    <t>MUHAMAD FEBI</t>
  </si>
  <si>
    <t>MUHAMAD IKBAL RAMADHANI</t>
  </si>
  <si>
    <t>MUHAMAD NURILHAM PASCA ROMADHON</t>
  </si>
  <si>
    <t>MUHAMMAD FAHMI FAUZI</t>
  </si>
  <si>
    <t>NAZI FUADI</t>
  </si>
  <si>
    <t>NENG ALYA CAHYANI</t>
  </si>
  <si>
    <t>NENG SRI HENDRA YANI</t>
  </si>
  <si>
    <t>NITA FITRI ALIPAH</t>
  </si>
  <si>
    <t xml:space="preserve">RAHAYU UTAMI </t>
  </si>
  <si>
    <t>RESI BAROKAH</t>
  </si>
  <si>
    <t>RIANA GHASAMI PUTRA</t>
  </si>
  <si>
    <t xml:space="preserve">RISMA GUNAWAN </t>
  </si>
  <si>
    <t>RIVAL HADI AGUSTIAN</t>
  </si>
  <si>
    <t>SALEH SURYA MAULANAN</t>
  </si>
  <si>
    <t>SHELA AULIA</t>
  </si>
  <si>
    <t>SITI NURPADILAH</t>
  </si>
  <si>
    <t>SITI RAHMA ASIRA</t>
  </si>
  <si>
    <t>SUGANDI ABDULLAH</t>
  </si>
  <si>
    <t xml:space="preserve">TASYA YULIANTI </t>
  </si>
  <si>
    <t xml:space="preserve">WIDIANUR FITRIANI </t>
  </si>
  <si>
    <t>1919.07.252</t>
  </si>
  <si>
    <t>1919.07.253</t>
  </si>
  <si>
    <t>1919.07.254</t>
  </si>
  <si>
    <t>1919.07.255</t>
  </si>
  <si>
    <t>1919.07.256</t>
  </si>
  <si>
    <t>1919.07.257</t>
  </si>
  <si>
    <t>1919.07.259</t>
  </si>
  <si>
    <t>1919.07.260</t>
  </si>
  <si>
    <t>1919.07.261</t>
  </si>
  <si>
    <t>1919.07.263</t>
  </si>
  <si>
    <t>1919.07.264</t>
  </si>
  <si>
    <t>1919.07.266</t>
  </si>
  <si>
    <t>1919.07.267</t>
  </si>
  <si>
    <t>1919.07.269</t>
  </si>
  <si>
    <t>1919.07.270</t>
  </si>
  <si>
    <t>1919.07.271</t>
  </si>
  <si>
    <t>1919.07.272</t>
  </si>
  <si>
    <t>1919.07.273</t>
  </si>
  <si>
    <t>1919.07.274</t>
  </si>
  <si>
    <t>1919.07.275</t>
  </si>
  <si>
    <t>1919.07.276</t>
  </si>
  <si>
    <t>1919.07.277</t>
  </si>
  <si>
    <t>1919.07.279</t>
  </si>
  <si>
    <t>1919.07.290</t>
  </si>
  <si>
    <t>1919.07.291</t>
  </si>
  <si>
    <t>1919.07.292</t>
  </si>
  <si>
    <t>1919.07.293</t>
  </si>
  <si>
    <t>9G</t>
  </si>
  <si>
    <t>M.DIKRI FAUZI</t>
  </si>
  <si>
    <t>20.21.07.232</t>
  </si>
  <si>
    <t>20.21.07.211</t>
  </si>
  <si>
    <t>TAHUN PELAJARAN 2021 / 2022</t>
  </si>
  <si>
    <t>Alfan Nizar Misfalah</t>
  </si>
  <si>
    <t>Ezzar Ramdan</t>
  </si>
  <si>
    <t>Fitria Najmi Sakinah</t>
  </si>
  <si>
    <t>Gyita Ardina Rasya</t>
  </si>
  <si>
    <t>Indri Rahmawati</t>
  </si>
  <si>
    <t>Irpan Ardilah</t>
  </si>
  <si>
    <t>Keyjira Rajni Aqillah</t>
  </si>
  <si>
    <t>Muhamad Hasbi Hidayatuloh</t>
  </si>
  <si>
    <t>Nadila Zihara</t>
  </si>
  <si>
    <t>Nadira Indriyani</t>
  </si>
  <si>
    <t>Baharudin Ismail</t>
  </si>
  <si>
    <t>Didi Riadi</t>
  </si>
  <si>
    <t>Naysilla Putri Agustyani</t>
  </si>
  <si>
    <t>Salsabila Agustina</t>
  </si>
  <si>
    <t>Siti Allawiyah Nur Azizah</t>
  </si>
  <si>
    <t>Deden Pedriansyah</t>
  </si>
  <si>
    <t>Diki Ahmad Purnama</t>
  </si>
  <si>
    <t>Fauzan Zikri</t>
  </si>
  <si>
    <t>Laisa Aulia Yuni Nurlaila</t>
  </si>
  <si>
    <t>Muhamad Reza Irawan</t>
  </si>
  <si>
    <t>Sinta Aulia</t>
  </si>
  <si>
    <t>Siti Lestari</t>
  </si>
  <si>
    <t>Bakti Permana</t>
  </si>
  <si>
    <t>Muhamad Rizik</t>
  </si>
  <si>
    <t>Muhammad Abdul Muiz</t>
  </si>
  <si>
    <t>Naiya Yana Purnama</t>
  </si>
  <si>
    <t>Nazma Mustika Hermawan</t>
  </si>
  <si>
    <t>Nipa Patonah</t>
  </si>
  <si>
    <t>Seril Baha Rizki</t>
  </si>
  <si>
    <t>Siti Nur Aliah</t>
  </si>
  <si>
    <t>Denis Gustiar</t>
  </si>
  <si>
    <t>Raisha Azzahra Sutisna</t>
  </si>
  <si>
    <t>Risti Amelia</t>
  </si>
  <si>
    <t>Septiawan</t>
  </si>
  <si>
    <t>Yuni Handayani</t>
  </si>
  <si>
    <t>Cika Anandita</t>
  </si>
  <si>
    <t>Fuzi Ningrahman</t>
  </si>
  <si>
    <t>Muhamad Arsa</t>
  </si>
  <si>
    <t>Muhamad Khoerul Azhar</t>
  </si>
  <si>
    <t>Pathur Rahman</t>
  </si>
  <si>
    <t>Rezky Rahmawati</t>
  </si>
  <si>
    <t>Siti Sofiah Lutfiani Sutisna</t>
  </si>
  <si>
    <t>Ai Ilfa Nurul Syifa</t>
  </si>
  <si>
    <t>Andrayudha Lintang Mahardhika</t>
  </si>
  <si>
    <t>Anisa Amelia Putri</t>
  </si>
  <si>
    <t>Delia Apriliani Putri</t>
  </si>
  <si>
    <t>Sabrina Ayu Sunandar</t>
  </si>
  <si>
    <t>20.21.07.233</t>
  </si>
  <si>
    <t>20.21.07.234</t>
  </si>
  <si>
    <t>1819.07.001</t>
  </si>
  <si>
    <t>Nazwa Tazakiatun Nufus</t>
  </si>
  <si>
    <t xml:space="preserve"> </t>
  </si>
  <si>
    <t>Naima Zahrannisa Irfani</t>
  </si>
  <si>
    <t>21.22.07.001</t>
  </si>
  <si>
    <t>21.22.07.002</t>
  </si>
  <si>
    <t>21.22.07.003</t>
  </si>
  <si>
    <t>21.22.07.004</t>
  </si>
  <si>
    <t>21.22.07.006</t>
  </si>
  <si>
    <t>21.22.07.007</t>
  </si>
  <si>
    <t>21.22.07.008</t>
  </si>
  <si>
    <t>21.22.07.010</t>
  </si>
  <si>
    <t>21.22.07.011</t>
  </si>
  <si>
    <t>21.22.07.012</t>
  </si>
  <si>
    <t>21.22.07.013</t>
  </si>
  <si>
    <t>21.22.07.014</t>
  </si>
  <si>
    <t>21.22.07.015</t>
  </si>
  <si>
    <t>21.22.07.016</t>
  </si>
  <si>
    <t>21.22.07.017</t>
  </si>
  <si>
    <t>21.22.07.018</t>
  </si>
  <si>
    <t>21.22.07.020</t>
  </si>
  <si>
    <t>21.22.07.023</t>
  </si>
  <si>
    <t>21.22.07.024</t>
  </si>
  <si>
    <t>21.22.07.025</t>
  </si>
  <si>
    <t>21.22.07.026</t>
  </si>
  <si>
    <t>21.22.07.029</t>
  </si>
  <si>
    <t>21.22.07.030</t>
  </si>
  <si>
    <t>21.22.07.031</t>
  </si>
  <si>
    <t>21.22.07.032</t>
  </si>
  <si>
    <t>21.22.07.033</t>
  </si>
  <si>
    <t>21.22.07.034</t>
  </si>
  <si>
    <t>21.22.07.035</t>
  </si>
  <si>
    <t>21.22.07.036</t>
  </si>
  <si>
    <t>21.22.07.037</t>
  </si>
  <si>
    <t>21.22.07.039</t>
  </si>
  <si>
    <t>21.22.07.041</t>
  </si>
  <si>
    <t>21.22.07.042</t>
  </si>
  <si>
    <t>21.22.07.043</t>
  </si>
  <si>
    <t>21.22.07.044</t>
  </si>
  <si>
    <t>21.22.07.045</t>
  </si>
  <si>
    <t>21.22.07.046</t>
  </si>
  <si>
    <t>21.22.07.047</t>
  </si>
  <si>
    <t>21.22.07.048</t>
  </si>
  <si>
    <t>21.22.07.049</t>
  </si>
  <si>
    <t>21.22.07.050</t>
  </si>
  <si>
    <t>21.22.07.051</t>
  </si>
  <si>
    <t>21.22.07.052</t>
  </si>
  <si>
    <t>21.22.07.054</t>
  </si>
  <si>
    <t>21.22.07.055</t>
  </si>
  <si>
    <t>21.22.07.056</t>
  </si>
  <si>
    <t>21.22.07.057</t>
  </si>
  <si>
    <t>21.22.07.058</t>
  </si>
  <si>
    <t>21.22.07.059</t>
  </si>
  <si>
    <t>21.22.07.060</t>
  </si>
  <si>
    <t>21.22.07.061</t>
  </si>
  <si>
    <t>21.22.07.062</t>
  </si>
  <si>
    <t>21.22.07.063</t>
  </si>
  <si>
    <t>21.22.07.064</t>
  </si>
  <si>
    <t>21.22.07.065</t>
  </si>
  <si>
    <t>21.22.07.066</t>
  </si>
  <si>
    <t>21.22.07.067</t>
  </si>
  <si>
    <t>21.22.07.068</t>
  </si>
  <si>
    <t>21.22.07.069</t>
  </si>
  <si>
    <t>21.22.07.070</t>
  </si>
  <si>
    <t>21.22.07.072</t>
  </si>
  <si>
    <t>21.22.07.073</t>
  </si>
  <si>
    <t>21.22.07.074</t>
  </si>
  <si>
    <t>21.22.07.076</t>
  </si>
  <si>
    <t>21.22.07.077</t>
  </si>
  <si>
    <t>21.22.07.078</t>
  </si>
  <si>
    <t>21.22.07.079</t>
  </si>
  <si>
    <t>21.22.07.080</t>
  </si>
  <si>
    <t>21.22.07.081</t>
  </si>
  <si>
    <t>21.22.07.082</t>
  </si>
  <si>
    <t>21.22.07.083</t>
  </si>
  <si>
    <t>21.22.07.084</t>
  </si>
  <si>
    <t>21.22.07.085</t>
  </si>
  <si>
    <t>21.22.07.086</t>
  </si>
  <si>
    <t>21.22.07.088</t>
  </si>
  <si>
    <t>21.22.07.089</t>
  </si>
  <si>
    <t>21.22.07.091</t>
  </si>
  <si>
    <t>21.22.07.092</t>
  </si>
  <si>
    <t>21.22.07.093</t>
  </si>
  <si>
    <t>21.22.07.094</t>
  </si>
  <si>
    <t>21.22.07.095</t>
  </si>
  <si>
    <t>21.22.07.097</t>
  </si>
  <si>
    <t>21.22.07.098</t>
  </si>
  <si>
    <t>21.22.07.099</t>
  </si>
  <si>
    <t>21.22.07.100</t>
  </si>
  <si>
    <t>21.22.07.101</t>
  </si>
  <si>
    <t>21.22.07.102</t>
  </si>
  <si>
    <t>21.22.07.104</t>
  </si>
  <si>
    <t>21.22.07.105</t>
  </si>
  <si>
    <t>21.22.07.106</t>
  </si>
  <si>
    <t>21.22.07.108</t>
  </si>
  <si>
    <t>21.22.07.109</t>
  </si>
  <si>
    <t>21.22.07.110</t>
  </si>
  <si>
    <t>21.22.07.111</t>
  </si>
  <si>
    <t>21.22.07.112</t>
  </si>
  <si>
    <t>21.22.07.113</t>
  </si>
  <si>
    <t>21.22.07.114</t>
  </si>
  <si>
    <t>21.22.07.115</t>
  </si>
  <si>
    <t>21.22.07.116</t>
  </si>
  <si>
    <t>21.22.07.117</t>
  </si>
  <si>
    <t>21.22.07.118</t>
  </si>
  <si>
    <t>21.22.07.119</t>
  </si>
  <si>
    <t>21.22.07.120</t>
  </si>
  <si>
    <t>21.22.07.122</t>
  </si>
  <si>
    <t>21.22.07.123</t>
  </si>
  <si>
    <t>21.22.07.124</t>
  </si>
  <si>
    <t>21.22.07.125</t>
  </si>
  <si>
    <t>21.22.07.126</t>
  </si>
  <si>
    <t>21.22.07.128</t>
  </si>
  <si>
    <t>21.22.07.129</t>
  </si>
  <si>
    <t>21.22.07.131</t>
  </si>
  <si>
    <t>21.22.07.132</t>
  </si>
  <si>
    <t>21.22.07.133</t>
  </si>
  <si>
    <t>21.22.07.134</t>
  </si>
  <si>
    <t>21.22.07.135</t>
  </si>
  <si>
    <t>21.22.07.136</t>
  </si>
  <si>
    <t>21.22.07.137</t>
  </si>
  <si>
    <t>21.22.07.138</t>
  </si>
  <si>
    <t>21.22.07.139</t>
  </si>
  <si>
    <t>21.22.07.140</t>
  </si>
  <si>
    <t>21.22.07.141</t>
  </si>
  <si>
    <t>21.22.07.142</t>
  </si>
  <si>
    <t>21.22.07.143</t>
  </si>
  <si>
    <t>21.22.07.144</t>
  </si>
  <si>
    <t>21.22.07.145</t>
  </si>
  <si>
    <t>21.22.07.148</t>
  </si>
  <si>
    <t>21.22.07.149</t>
  </si>
  <si>
    <t>21.22.07.150</t>
  </si>
  <si>
    <t>21.22.07.152</t>
  </si>
  <si>
    <t>21.22.07.153</t>
  </si>
  <si>
    <t>21.22.07.155</t>
  </si>
  <si>
    <t>21.22.07.157</t>
  </si>
  <si>
    <t>21.22.07.158</t>
  </si>
  <si>
    <t>21.22.07.159</t>
  </si>
  <si>
    <t>21.22.07.160</t>
  </si>
  <si>
    <t>21.22.07.161</t>
  </si>
  <si>
    <t>21.22.07.162</t>
  </si>
  <si>
    <t>21.22.07.163</t>
  </si>
  <si>
    <t>21.22.07.165</t>
  </si>
  <si>
    <t>21.22.07.166</t>
  </si>
  <si>
    <t>21.22.07.168</t>
  </si>
  <si>
    <t>21.22.07.169</t>
  </si>
  <si>
    <t>21.22.07.170</t>
  </si>
  <si>
    <t>21.22.07.171</t>
  </si>
  <si>
    <t>21.22.07.172</t>
  </si>
  <si>
    <t>21.22.07.173</t>
  </si>
  <si>
    <t>21.22.07.174</t>
  </si>
  <si>
    <t>21.22.07.175</t>
  </si>
  <si>
    <t>21.22.07.176</t>
  </si>
  <si>
    <t>21.22.07.178</t>
  </si>
  <si>
    <t>21.22.07.179</t>
  </si>
  <si>
    <t>21.22.07.180</t>
  </si>
  <si>
    <t>21.22.07.181</t>
  </si>
  <si>
    <t>21.22.07.182</t>
  </si>
  <si>
    <t>21.22.07.183</t>
  </si>
  <si>
    <t>21.22.07.184</t>
  </si>
  <si>
    <t>21.22.07.185</t>
  </si>
  <si>
    <t>21.22.07.186</t>
  </si>
  <si>
    <t>21.22.07.187</t>
  </si>
  <si>
    <t>21.22.07.188</t>
  </si>
  <si>
    <t>21.22.07.189</t>
  </si>
  <si>
    <t>21.22.07.190</t>
  </si>
  <si>
    <t>21.22.07.191</t>
  </si>
  <si>
    <t>21.22.07.192</t>
  </si>
  <si>
    <t>21.22.07.193</t>
  </si>
  <si>
    <t>21.22.07.194</t>
  </si>
  <si>
    <t>21.22.07.195</t>
  </si>
  <si>
    <t>21.22.07.196</t>
  </si>
  <si>
    <t>21.22.07.197</t>
  </si>
  <si>
    <t>21.22.07.199</t>
  </si>
  <si>
    <t>21.22.07.200</t>
  </si>
  <si>
    <t>21.22.07.201</t>
  </si>
  <si>
    <t>21.22.07.202</t>
  </si>
  <si>
    <t>21.22.07.203</t>
  </si>
  <si>
    <t>21.22.07.204</t>
  </si>
  <si>
    <t>21.22.07.205</t>
  </si>
  <si>
    <t>21.22.07.206</t>
  </si>
  <si>
    <t>21.22.07.207</t>
  </si>
  <si>
    <t>21.22.07.209</t>
  </si>
  <si>
    <t>21.22.07.210</t>
  </si>
  <si>
    <t>21.22.07.211</t>
  </si>
  <si>
    <t>21.22.07.212</t>
  </si>
  <si>
    <t>21.22.07.213</t>
  </si>
  <si>
    <t>21.22.07.215</t>
  </si>
  <si>
    <t>21.22.07.221</t>
  </si>
  <si>
    <t>21.22.07.222</t>
  </si>
  <si>
    <t>21.22.07.223</t>
  </si>
  <si>
    <t>21.22.07.226</t>
  </si>
  <si>
    <t>21.22.07.227</t>
  </si>
  <si>
    <t>21.22.07.228</t>
  </si>
  <si>
    <t>21.22.07.229</t>
  </si>
  <si>
    <t>21.22.07.230</t>
  </si>
  <si>
    <t>21.22.07.231</t>
  </si>
  <si>
    <t>21.22.07.232</t>
  </si>
  <si>
    <t>21.22.07.233</t>
  </si>
  <si>
    <t>21.22.07.234</t>
  </si>
  <si>
    <t>21.22.07.235</t>
  </si>
  <si>
    <t>21.22.07.237</t>
  </si>
  <si>
    <t>21.22.07.238</t>
  </si>
  <si>
    <t>21.22.07.239</t>
  </si>
  <si>
    <t>21.22.07.240</t>
  </si>
  <si>
    <t>21.22.07.241</t>
  </si>
  <si>
    <t>21.22.07.242</t>
  </si>
  <si>
    <t>Muhammad Rihkan Alnawijaya</t>
  </si>
  <si>
    <t>21.22.07.245</t>
  </si>
  <si>
    <t>Anggara Aditia Kusuma</t>
  </si>
  <si>
    <t>Nazar Hidayah Ridwan</t>
  </si>
  <si>
    <t xml:space="preserve">M. NAJRIL </t>
  </si>
  <si>
    <t>ILFFA HILAFI NURFAUZANI</t>
  </si>
  <si>
    <t>21.22.07.250</t>
  </si>
  <si>
    <r>
      <t xml:space="preserve">M. RIZKY ALFIAN RAHMAN </t>
    </r>
    <r>
      <rPr>
        <sz val="9"/>
        <color rgb="FFFF0000"/>
        <rFont val="Calibri"/>
        <family val="2"/>
        <scheme val="minor"/>
      </rPr>
      <t>(KELUAR )</t>
    </r>
  </si>
  <si>
    <t>HILMAYANTI (KELUAR )</t>
  </si>
  <si>
    <t>FITRA NURHIDAYAH</t>
  </si>
  <si>
    <t>MUHAMAD LABIB ZAELANI</t>
  </si>
  <si>
    <t>NENG NISA ALAWIAH (Keluar )</t>
  </si>
  <si>
    <t>REKAPITULASI KEADAAN SISWA SMP MUSLIMIN CILILIN</t>
  </si>
  <si>
    <t>KELAS VII</t>
  </si>
  <si>
    <t>B</t>
  </si>
  <si>
    <t>C</t>
  </si>
  <si>
    <t>D</t>
  </si>
  <si>
    <t>E</t>
  </si>
  <si>
    <t>F</t>
  </si>
  <si>
    <t>G</t>
  </si>
  <si>
    <t>JML</t>
  </si>
  <si>
    <t>KELAS VIII</t>
  </si>
  <si>
    <t>KELAS IX</t>
  </si>
  <si>
    <t>TOTAL</t>
  </si>
  <si>
    <t>Kepala Sekolah,</t>
  </si>
  <si>
    <t>NIP.</t>
  </si>
  <si>
    <t>SHERLYTA AMANDA PUTRI</t>
  </si>
  <si>
    <t>TAHUN PELAJARAN 2022 / 2023</t>
  </si>
  <si>
    <t>Farel Ferdiansyah Nurohim</t>
  </si>
  <si>
    <t>Cita Gita Lestari</t>
  </si>
  <si>
    <t>Muhamad Alhaikal</t>
  </si>
  <si>
    <t>Hari/Tgl:</t>
  </si>
  <si>
    <t>Jam ke</t>
  </si>
  <si>
    <t>Nama Guru</t>
  </si>
  <si>
    <t>Mapel</t>
  </si>
  <si>
    <t>Paraf</t>
  </si>
  <si>
    <t>Zahratun Nisa</t>
  </si>
  <si>
    <t>Diva Mustika</t>
  </si>
  <si>
    <t>MUHAMAD FIRMANSYAH</t>
  </si>
  <si>
    <t>ADIT KHOIRUL AHADI</t>
  </si>
  <si>
    <t>MUHAMAD IRFAN</t>
  </si>
  <si>
    <t>MUHAMMAD ALWAN NABIL</t>
  </si>
  <si>
    <t>SAEPUL ANWAR</t>
  </si>
  <si>
    <t>KEVIN MICHAEL ANDERSON</t>
  </si>
  <si>
    <t>ASEP MUHAMMAD MUFTI ABDUL MUIZ</t>
  </si>
  <si>
    <t>ADHIYA MUHAMAD FARIS</t>
  </si>
  <si>
    <t>SOPI LAILATUL ULA</t>
  </si>
  <si>
    <t>ENI SALSABILA PUTRI</t>
  </si>
  <si>
    <t>JANIA QUROTU AINAYA</t>
  </si>
  <si>
    <t>SUCI NOVYANTI RIATNA PILAH</t>
  </si>
  <si>
    <t>AULIA RAMADHANI PUTRI</t>
  </si>
  <si>
    <t>NABILA SUHERMAN</t>
  </si>
  <si>
    <t>RINA YUTIARA SANI</t>
  </si>
  <si>
    <t>RATISYA APRILIANI</t>
  </si>
  <si>
    <t>NAZWA DEWI UTAMI</t>
  </si>
  <si>
    <t>SALMA QORIATUN AZ-ZAHRA</t>
  </si>
  <si>
    <t>GINA MUKARROMAH</t>
  </si>
  <si>
    <t>RIDWAN MAULANA YUSUP</t>
  </si>
  <si>
    <t>ANDIKA RISKI RAMADANI</t>
  </si>
  <si>
    <t>MUHAMAD AKBAR PAUZI</t>
  </si>
  <si>
    <t>MUHAMAD HABIB ANHAR PERMANA</t>
  </si>
  <si>
    <t>MUHAMMAD TOYIB ABDUL AZIZ</t>
  </si>
  <si>
    <t>YASA PRATAMA AL FIRDAUS</t>
  </si>
  <si>
    <t>RAFI AL ALBIAN</t>
  </si>
  <si>
    <t>M RIZQI APRIA NURFALAH</t>
  </si>
  <si>
    <t>FIKA NADIA RAHMAH</t>
  </si>
  <si>
    <t>GINA ELIANA</t>
  </si>
  <si>
    <t>NURAENI</t>
  </si>
  <si>
    <t>DEA KARINA</t>
  </si>
  <si>
    <t>DILA ALFIRA</t>
  </si>
  <si>
    <t>CARLA NATALI NABILA</t>
  </si>
  <si>
    <t>NAYLA MELANI PUTRI</t>
  </si>
  <si>
    <t>NADILA NURPAZRINA</t>
  </si>
  <si>
    <t>ANANDITA RIHADATUL AISYA DESRIYANI</t>
  </si>
  <si>
    <t>RIENESA FITRIA</t>
  </si>
  <si>
    <t>Melisa Suryani</t>
  </si>
  <si>
    <t>RIHANA NAURA DENIA</t>
  </si>
  <si>
    <t>MUHAMAD NUR FADILAH</t>
  </si>
  <si>
    <t>M.RANDY MAULANA</t>
  </si>
  <si>
    <t>M FAUZI ADITIA</t>
  </si>
  <si>
    <t>M SALSA DENDHANA</t>
  </si>
  <si>
    <t>WISNU RAMADHAN ANDRIANSYAH</t>
  </si>
  <si>
    <t>TAUFIK HIDAYAT</t>
  </si>
  <si>
    <t>MUHAMAD DIAS SAPUTRA</t>
  </si>
  <si>
    <t>MUHAMMAD ANDRA DARMAWAN</t>
  </si>
  <si>
    <t>MUHAMMAD ALFIN HALWANI</t>
  </si>
  <si>
    <t>AZMI PERMANA SANTOSO</t>
  </si>
  <si>
    <t>M MAULANA</t>
  </si>
  <si>
    <t>MUPLIHAH SEPTI R</t>
  </si>
  <si>
    <t>MUHAMAD DJERI SYAIPULOH</t>
  </si>
  <si>
    <t>NAZMAH NUR FADILAH</t>
  </si>
  <si>
    <t>RAHMA MAULIDINA</t>
  </si>
  <si>
    <t>KANAYA LUTPIANA SYIFA</t>
  </si>
  <si>
    <t>Muhamad Agung Haryadinata</t>
  </si>
  <si>
    <t>KARTIKA NATALIA PUTRI</t>
  </si>
  <si>
    <t>GERNIS RAMADHANI</t>
  </si>
  <si>
    <t>AGISNI NUR'ASAFA</t>
  </si>
  <si>
    <t>MILA ANGGRAENI</t>
  </si>
  <si>
    <t xml:space="preserve"> INTAN FAZRIYAH MAULIDA</t>
  </si>
  <si>
    <t xml:space="preserve"> SITI ANGGUN</t>
  </si>
  <si>
    <t>RESTI WIDI SETIAWAN</t>
  </si>
  <si>
    <t>M RIZKI ARDIANSYAH</t>
  </si>
  <si>
    <t>ARVAN HERIANSYAH</t>
  </si>
  <si>
    <t>M ZAID WALYUDIN</t>
  </si>
  <si>
    <t>M.FAZRI  SALMAN AL FARIZI</t>
  </si>
  <si>
    <t>MUHAMAD ZIDAN NURHASBI PENDI</t>
  </si>
  <si>
    <t>MOCH DONI ALDIANO</t>
  </si>
  <si>
    <t>M ILHAM NURJAMAN</t>
  </si>
  <si>
    <t>MUHAMAD ABDUL AZIS</t>
  </si>
  <si>
    <t>MUHAMMAD ABDIL AUVA</t>
  </si>
  <si>
    <t>MUHAMMAD ANDRI FIRMANSYAH</t>
  </si>
  <si>
    <t>MUHAMAD FAHMI NUGRAHA</t>
  </si>
  <si>
    <t>MEYLINDA PUTRI</t>
  </si>
  <si>
    <t>LEAN PAUZIA APRILIANI</t>
  </si>
  <si>
    <t>SALMA NURHASANAH</t>
  </si>
  <si>
    <t>DELIA LESTARI</t>
  </si>
  <si>
    <t>DINDA SEFTIA HALIMATUS SAADAH</t>
  </si>
  <si>
    <t>NELI AULIA PUTRI</t>
  </si>
  <si>
    <t>SAHYRA NURUL FADILAH</t>
  </si>
  <si>
    <t>RANTI RAHMAWATI</t>
  </si>
  <si>
    <t>NARAYA RIZQIA ALIA PUTRI</t>
  </si>
  <si>
    <t>DINDA ROMANDINI</t>
  </si>
  <si>
    <t>DEWI SYIFA URROHMAN</t>
  </si>
  <si>
    <t>PAHRI RAHMAT</t>
  </si>
  <si>
    <t>MISBAH PAHRIL</t>
  </si>
  <si>
    <t>MUHAMAD AGUS SURYANA</t>
  </si>
  <si>
    <t>WILDAN WISNUTAMA</t>
  </si>
  <si>
    <t>MUHAMAD ALIF AL MARIF</t>
  </si>
  <si>
    <t>MUHAMMAD AGIS RIFATUL HIDAYAT</t>
  </si>
  <si>
    <t>MOH RIDWAN HANAFI</t>
  </si>
  <si>
    <t>MUHAMAD ARIF PATIROHMAN</t>
  </si>
  <si>
    <t>ERIK SETIAWAN</t>
  </si>
  <si>
    <t>MUHAMAD PARHAN ARFIAN</t>
  </si>
  <si>
    <t>MUHAMMAD YUSUP MAULANA</t>
  </si>
  <si>
    <t>RINA NUR OKTAFIA</t>
  </si>
  <si>
    <t>RINDI ANTIKA</t>
  </si>
  <si>
    <t>REYNA OKTA VIYANTI</t>
  </si>
  <si>
    <t>NELI PUSPA SARI</t>
  </si>
  <si>
    <t>NENG DALFA ATIYATUL WAFIROH</t>
  </si>
  <si>
    <t>NENG INA RAHMAWATI</t>
  </si>
  <si>
    <t>LARISA NADIA APRILIANI</t>
  </si>
  <si>
    <t>IMA RAHMAWATI</t>
  </si>
  <si>
    <t>AJENG DESVITA NINGSIH</t>
  </si>
  <si>
    <t>ANISA</t>
  </si>
  <si>
    <t>ZAHRA NURSIPA</t>
  </si>
  <si>
    <t>NURYANTI RAHMAWATI</t>
  </si>
  <si>
    <t>MUHAMAD NAHIJA RAHMANI</t>
  </si>
  <si>
    <t>FARDAN FADILAH</t>
  </si>
  <si>
    <t>RAIHAN RAMADHAN ALI PRATAMA</t>
  </si>
  <si>
    <t>TRIA NOPAL SAPUTRA</t>
  </si>
  <si>
    <t>AGUS KURNIAWAN</t>
  </si>
  <si>
    <t>TEGAR MUQTAMAM</t>
  </si>
  <si>
    <t>M WAFI NASRIL WASI</t>
  </si>
  <si>
    <t>MUHAMMAD RIJKY RAMDANI</t>
  </si>
  <si>
    <t>TIARA TAUPI YANTI</t>
  </si>
  <si>
    <t>ZAHRA FIRADILA JULPENTI</t>
  </si>
  <si>
    <t>NI'MA AULIA RAHMA</t>
  </si>
  <si>
    <t>RAISA SAMSI PERMANA</t>
  </si>
  <si>
    <t xml:space="preserve"> SITI NAZWATUL MUFIZAH</t>
  </si>
  <si>
    <t>VIRA OKTAVIANI</t>
  </si>
  <si>
    <t>ANANDA AURELIA</t>
  </si>
  <si>
    <t>NENG SALPA</t>
  </si>
  <si>
    <t>NOVA AYU WANDIRA</t>
  </si>
  <si>
    <t>SANTIKA RIJKI JUNIANTI</t>
  </si>
  <si>
    <t>ADJENG DIBA MASRIFAH</t>
  </si>
  <si>
    <t>SYAFA PUTRI NURDIANTI</t>
  </si>
  <si>
    <t>ALIN FITRIA</t>
  </si>
  <si>
    <t>ADI HADIANSYAH</t>
  </si>
  <si>
    <t>CAHYA NABILA</t>
  </si>
  <si>
    <t>GILANG NURSAPAWI</t>
  </si>
  <si>
    <t>Halifa Maulida Sila</t>
  </si>
  <si>
    <t>ILHAM APRILIAN</t>
  </si>
  <si>
    <t>M NAZRIL AKBAR</t>
  </si>
  <si>
    <t>M. RIFALDIYANSAH</t>
  </si>
  <si>
    <t>M. YOGA FERDIANSAH</t>
  </si>
  <si>
    <t>MALIKHA HUWAIDA</t>
  </si>
  <si>
    <t>MUGHNI HIKMATULLAH</t>
  </si>
  <si>
    <t>MUHAMAD LUTFI HIDAYAT</t>
  </si>
  <si>
    <t>MUHAMAD RAHMAN HAKIM</t>
  </si>
  <si>
    <t>PAHRI AZKIA</t>
  </si>
  <si>
    <t>PUTRI NURHALIMAH</t>
  </si>
  <si>
    <t>PUTRI OKTRIANTI</t>
  </si>
  <si>
    <t>REGINA PUTRI NURHALIMAH</t>
  </si>
  <si>
    <t>RISMA AYU SAPITRI</t>
  </si>
  <si>
    <t>SITI HUMAIROH</t>
  </si>
  <si>
    <t>Siti Maria</t>
  </si>
  <si>
    <t>SITI NURHABIBAH</t>
  </si>
  <si>
    <t>SYABILAH ESHA ARYANTIK</t>
  </si>
  <si>
    <t>AHMAD SALAM</t>
  </si>
  <si>
    <t>AIRA MUTIARA ANUGRAH</t>
  </si>
  <si>
    <t>AMIRAH NURIA AZZAHRA</t>
  </si>
  <si>
    <t>ASPI KASPIAH</t>
  </si>
  <si>
    <t>AURORA VALENT MARLINA</t>
  </si>
  <si>
    <t>BINTANG SHAHIH RAMADHAN</t>
  </si>
  <si>
    <t>DZAVIDT SETIABUDI</t>
  </si>
  <si>
    <t>HANIFA OKTOVIANI</t>
  </si>
  <si>
    <t>HUSNI AZIS SETIAWAN</t>
  </si>
  <si>
    <t>LALU HAFIZ HAKIKI</t>
  </si>
  <si>
    <t>M. Akbar Alparidz</t>
  </si>
  <si>
    <t>M. Reski Riyaldi</t>
  </si>
  <si>
    <t>MOCH DENDI SAPUTRA</t>
  </si>
  <si>
    <t>MUHAMAD ADITIA</t>
  </si>
  <si>
    <t>MUHAMAD NAZI PAHRUDIN</t>
  </si>
  <si>
    <t>MUHAMAD RAKA SANDIRA</t>
  </si>
  <si>
    <t>MUHAMAD RIFKI</t>
  </si>
  <si>
    <t>MUJIB</t>
  </si>
  <si>
    <t>NAYSILA AULIA</t>
  </si>
  <si>
    <t>NURUL HUSNA ALTHAFUNNISA</t>
  </si>
  <si>
    <t>RAKA ZATIANSYAH AKBAR</t>
  </si>
  <si>
    <t>RANGGA MUHAMAD YUNUS</t>
  </si>
  <si>
    <t>RANI ANGGRAENI</t>
  </si>
  <si>
    <t>RAVY RAMADHAN</t>
  </si>
  <si>
    <t>REVA NURGIANI PUTRI</t>
  </si>
  <si>
    <t>Salsa Sabila Febrianti</t>
  </si>
  <si>
    <t>SELA FEBRIANTI OKTAVIA</t>
  </si>
  <si>
    <t>SITI NURHALIMATUSSADIYAH</t>
  </si>
  <si>
    <t>TARPA AULIA</t>
  </si>
  <si>
    <t>Alfira Aulia Azzahra</t>
  </si>
  <si>
    <t>ANISA MUTIARA UTAMI</t>
  </si>
  <si>
    <t>ARINI NADIATUL JANNAH</t>
  </si>
  <si>
    <t>CANTIKA NISA MELATI</t>
  </si>
  <si>
    <t>CHIKA ZULFLA LAYLA</t>
  </si>
  <si>
    <t>DESYAN MEILIANTI SANIA</t>
  </si>
  <si>
    <t>FEBI HASPARI SALSA AL FAZIAH</t>
  </si>
  <si>
    <t>KHAILA ALPINA RAHMA</t>
  </si>
  <si>
    <t>MILA MARLINA</t>
  </si>
  <si>
    <t>MOCHAMAD RAMADHAN</t>
  </si>
  <si>
    <t>MUHAMAD FAUZAN</t>
  </si>
  <si>
    <t>MUHAMMAD RIZKY RAMADHANI</t>
  </si>
  <si>
    <t>NAZMA</t>
  </si>
  <si>
    <t>NAZRIL ILHAM FIRMANSYAH</t>
  </si>
  <si>
    <t>PITRI MARYANI</t>
  </si>
  <si>
    <t>REHAN PARLIANA</t>
  </si>
  <si>
    <t>REVAN LESMANA PUTRA</t>
  </si>
  <si>
    <t>RIZKY DAREGA</t>
  </si>
  <si>
    <t>Septiani Fasza Zahra Anjani</t>
  </si>
  <si>
    <t>SILVIA FITRI RAHAYU</t>
  </si>
  <si>
    <t>SITI SALWA RASTIANI</t>
  </si>
  <si>
    <t>SYALVA AULIA RAHMADHANI</t>
  </si>
  <si>
    <t>VANYA VIVIA SETIAWAN</t>
  </si>
  <si>
    <t>ABDUL MUJIB</t>
  </si>
  <si>
    <t>AHMAD GHOZALI</t>
  </si>
  <si>
    <t>AKHDAN HIMAWAN</t>
  </si>
  <si>
    <t>AMELIA RAHMAWATI</t>
  </si>
  <si>
    <t>ARIF HIDAYATULOH</t>
  </si>
  <si>
    <t>ARYA PRASETIA</t>
  </si>
  <si>
    <t>BALQIST BADRIYAH MUBSYIROH</t>
  </si>
  <si>
    <t>DEA MUSTIKA RAHAYU</t>
  </si>
  <si>
    <t>DELIANA FAUJIAH</t>
  </si>
  <si>
    <t>Ferdy Herdiansyah</t>
  </si>
  <si>
    <t>HANIFAH IMANIA RIZQI</t>
  </si>
  <si>
    <t>HILMA QURROTUL AINI</t>
  </si>
  <si>
    <t>IRSYAD MAULANA</t>
  </si>
  <si>
    <t>M FATWAN FAUZI</t>
  </si>
  <si>
    <t>M NOVAL FEBRIAN</t>
  </si>
  <si>
    <t>M. PAISAL IMAM</t>
  </si>
  <si>
    <t>MUHAMAD MULYADI</t>
  </si>
  <si>
    <t>MUHAMMAD AKBAR UBAIDILAH</t>
  </si>
  <si>
    <t>NENG MELISA</t>
  </si>
  <si>
    <t>NURUL NOVIANTI TANIA PUTRI</t>
  </si>
  <si>
    <t>PUTRI NAZWA AULIA</t>
  </si>
  <si>
    <t>RAYSYA RAHMA AWALIYAH</t>
  </si>
  <si>
    <t>RIZAL MAULANA SYAHID</t>
  </si>
  <si>
    <t>SALWA SALSABILA</t>
  </si>
  <si>
    <t>AAB ABDILAH AKBAR</t>
  </si>
  <si>
    <t>AMELDA YUNIA AMANI PUTRI</t>
  </si>
  <si>
    <t>ASYFA DWIYANTI</t>
  </si>
  <si>
    <t>BINTAN ALI SAYIDAH</t>
  </si>
  <si>
    <t>DEDE RAMDAN</t>
  </si>
  <si>
    <t>DESTIYA MILATI PADILAH</t>
  </si>
  <si>
    <t>Juandika Prasetia</t>
  </si>
  <si>
    <t>M. Idan Permana</t>
  </si>
  <si>
    <t>M. Noval Fauzi</t>
  </si>
  <si>
    <t>M. Rifki</t>
  </si>
  <si>
    <t>MIFTAHUL JANNAH</t>
  </si>
  <si>
    <t>MOCH AIRIL SYAPUTRA</t>
  </si>
  <si>
    <t>MUHAMAD ALIF FAUZAN</t>
  </si>
  <si>
    <t>21.22.07.053</t>
  </si>
  <si>
    <t>MUHAMAD FIKRI HERDIANSYAH</t>
  </si>
  <si>
    <t>Muhamad Hasan Munawir Qolbi</t>
  </si>
  <si>
    <t>Muhamad Ibnu Fadlan</t>
  </si>
  <si>
    <t>MUHAMAD QUDSI MAULUDIN</t>
  </si>
  <si>
    <t>MUHAMMAD ARDIYANSYAH</t>
  </si>
  <si>
    <t>Muhammad Rido Purnama</t>
  </si>
  <si>
    <t>NAZWA ALIFA</t>
  </si>
  <si>
    <t>RANI OKTAVYANI</t>
  </si>
  <si>
    <t>RHAISYA NURUL FAIDAH</t>
  </si>
  <si>
    <t>Ripan Andriyana</t>
  </si>
  <si>
    <t>RIRIN ISMAWATI</t>
  </si>
  <si>
    <t>SAEPUL MALIK</t>
  </si>
  <si>
    <t>SENDI PURNAMA</t>
  </si>
  <si>
    <t>SHALSABILA SINTYA PUTRI</t>
  </si>
  <si>
    <t>SITI RIZKIA MAULIDA</t>
  </si>
  <si>
    <t>ALDI ALRIZKIANSYAH</t>
  </si>
  <si>
    <t>ALYA SAFARINA</t>
  </si>
  <si>
    <t>21.22.07.246</t>
  </si>
  <si>
    <t>AQILAH RIFQI AWALUDIN</t>
  </si>
  <si>
    <t>ARDI SAYIWAL</t>
  </si>
  <si>
    <t>ARIYA WIJAYA KUSUMAH</t>
  </si>
  <si>
    <t>AURA MARCELLA</t>
  </si>
  <si>
    <t>DEA AYUNDA</t>
  </si>
  <si>
    <t>DELIA HUSNI RAMADINI</t>
  </si>
  <si>
    <t>Hadiansyah</t>
  </si>
  <si>
    <t>Imron Saputra</t>
  </si>
  <si>
    <t>INTAN MUTIARA</t>
  </si>
  <si>
    <t>M. FADLAN ARFAN FERDIANSYAH</t>
  </si>
  <si>
    <t>MUHAMAD KAIS AL SAHLAN</t>
  </si>
  <si>
    <t>Muhamad Riza Ramdani</t>
  </si>
  <si>
    <t>Muhamad Syafiq Alfa Assyfa</t>
  </si>
  <si>
    <t>Muhamad Wavi Maulana</t>
  </si>
  <si>
    <t>MUHAMMAD SATRIA WIJAYA</t>
  </si>
  <si>
    <t>NAIS SAMROTUL INAYAH</t>
  </si>
  <si>
    <t>NIDA SAMROTUL PUADAH</t>
  </si>
  <si>
    <t>NIZAR FUADI</t>
  </si>
  <si>
    <t>RAHMAWATI</t>
  </si>
  <si>
    <t>REPI MAULUDIN</t>
  </si>
  <si>
    <t>SECILLIA INDYANA JUNAEDY</t>
  </si>
  <si>
    <t>SITI HANA MARYAM</t>
  </si>
  <si>
    <t>SUSI NUR ANJANI</t>
  </si>
  <si>
    <t>SYFA FAUZIAH</t>
  </si>
  <si>
    <t>AGUNG PURNAMA ALAM</t>
  </si>
  <si>
    <t>AL-HASBY</t>
  </si>
  <si>
    <t>BADRU JAMAN</t>
  </si>
  <si>
    <t>DB.DIAISYUDUR</t>
  </si>
  <si>
    <t>DELIA NURAGUSTIN</t>
  </si>
  <si>
    <t>DIMAS MUGNI RIZKYANTO</t>
  </si>
  <si>
    <t>FITRIYA NURAINI</t>
  </si>
  <si>
    <t>GADIS AULIA WARDAH</t>
  </si>
  <si>
    <t>IMA FITRIYANI</t>
  </si>
  <si>
    <t>MUHAMAD FAHRIZI ABDUL RAHMAN</t>
  </si>
  <si>
    <t>NADYA PADILAH</t>
  </si>
  <si>
    <t>NAYLA APRILIA AYUDITA</t>
  </si>
  <si>
    <t>20.21.07.256</t>
  </si>
  <si>
    <t>NAZWAL RYUAL RAMADHAN</t>
  </si>
  <si>
    <t>Nita Pertiwi</t>
  </si>
  <si>
    <t>QUINNESA ISLAMI TSAMRATULQALBI ALDERIDA</t>
  </si>
  <si>
    <t>RIDWAN FAUZI</t>
  </si>
  <si>
    <t>SALMA MARISA</t>
  </si>
  <si>
    <t>SITI NUR RAHMA</t>
  </si>
  <si>
    <t>WISNU GINANJAR</t>
  </si>
  <si>
    <t>AI RISKI NURHASANAH</t>
  </si>
  <si>
    <t>ALIFAH LUTVIANA</t>
  </si>
  <si>
    <t>BINTANG MAULIDAN SAKAZAKIL</t>
  </si>
  <si>
    <t>DEA ZASKIA APRILIANI</t>
  </si>
  <si>
    <t>Fitri Yani Nurul Nisa</t>
  </si>
  <si>
    <t>HENDRI LESMANA</t>
  </si>
  <si>
    <t>Khanifah Adawiah</t>
  </si>
  <si>
    <t>Khopipah Pajriah</t>
  </si>
  <si>
    <t>M. Nazril Aditia Rafli F.</t>
  </si>
  <si>
    <t>MH Nandi Rajibah</t>
  </si>
  <si>
    <t>Moch. Juan Restu Pamungkas</t>
  </si>
  <si>
    <t>MOH RAMA ERLANGGA</t>
  </si>
  <si>
    <t>MUHAMAD DIFA FERDY RAMADHANI</t>
  </si>
  <si>
    <t>20.21.07.260</t>
  </si>
  <si>
    <t>muhamad pajar rohidin</t>
  </si>
  <si>
    <t>MUHAMAD RAFLI FADILAH</t>
  </si>
  <si>
    <t>Muhamad Zainul Fikri Adriansyah</t>
  </si>
  <si>
    <t>NAJMA SYIFA</t>
  </si>
  <si>
    <t>NHATAN PELANI</t>
  </si>
  <si>
    <t>OLIVIA</t>
  </si>
  <si>
    <t>PAWAZ AHMAD RUHIYAT</t>
  </si>
  <si>
    <t>Siti Maryam Maulida</t>
  </si>
  <si>
    <t>20.21.07.060</t>
  </si>
  <si>
    <t>Tina Silviana</t>
  </si>
  <si>
    <t>VICKY BAKTI FIRMANSYAH</t>
  </si>
  <si>
    <t>Anjani Apriliani</t>
  </si>
  <si>
    <t>Ardyansyah Putra Mulyana</t>
  </si>
  <si>
    <t>Ayu Astia Bela</t>
  </si>
  <si>
    <t>ELGA SAPUTRA</t>
  </si>
  <si>
    <t>Faujan Abdillah Gymnastiar</t>
  </si>
  <si>
    <t>HILMAN FAUZI ABDILAH</t>
  </si>
  <si>
    <t>Kaesya Putri Aprilianti</t>
  </si>
  <si>
    <t>KEYLA NURSIPA AZIZ</t>
  </si>
  <si>
    <t>M. Faujan</t>
  </si>
  <si>
    <t>MOHAMAD ENJANG MAULANA</t>
  </si>
  <si>
    <t>Muhamad Akbar Surya Kencana</t>
  </si>
  <si>
    <t>MUHAMAD FAHMI</t>
  </si>
  <si>
    <t>MUHAMAD FAIRIL HISNUL ADYAN</t>
  </si>
  <si>
    <t>Muhamad Syahrul Akbar</t>
  </si>
  <si>
    <t>NADIPA NUR AULIA</t>
  </si>
  <si>
    <t>20.21.07.259</t>
  </si>
  <si>
    <t>20.21.07.223</t>
  </si>
  <si>
    <t>Regi Latipah</t>
  </si>
  <si>
    <t>SAHAR MILLA ZASKIA</t>
  </si>
  <si>
    <t>20.21.07.095</t>
  </si>
  <si>
    <t>SAM AMJAD ALTAP</t>
  </si>
  <si>
    <t>SHERINA ANISA PUTRI</t>
  </si>
  <si>
    <t>VULKA MAELANI</t>
  </si>
  <si>
    <t>ABDUL HUSNI MUBAROK</t>
  </si>
  <si>
    <t>adi nurmansah</t>
  </si>
  <si>
    <t>AGHNIA SAFINA ZAHRA</t>
  </si>
  <si>
    <t>AHMAD PADLIL RAMDANI</t>
  </si>
  <si>
    <t>ARINI KARISMA</t>
  </si>
  <si>
    <t>DIMAS ADI SAPUTRA</t>
  </si>
  <si>
    <t>Kesya Nurjah Rasita</t>
  </si>
  <si>
    <t>M. Saputra Nugraha</t>
  </si>
  <si>
    <t>MUHAMAD ALWI MUNAWAR</t>
  </si>
  <si>
    <t>20.21.07.114</t>
  </si>
  <si>
    <t>MUHAMAD RIDWAN NURJAMAN</t>
  </si>
  <si>
    <t>MUHAMMAD IRSAN IBRAHIM</t>
  </si>
  <si>
    <t>NENG PEBI MUTMAINAH</t>
  </si>
  <si>
    <t>NOPRIDA R.</t>
  </si>
  <si>
    <t>REIHAN ARDIANSYAH</t>
  </si>
  <si>
    <t>Ripa Ajila</t>
  </si>
  <si>
    <t>RISMA BUNGA LAILATUSANIYAH</t>
  </si>
  <si>
    <t>Rizkia Syahla Nabila</t>
  </si>
  <si>
    <t>20.21.07.126</t>
  </si>
  <si>
    <t>SELVI FAUZIAH</t>
  </si>
  <si>
    <t>SILVIANI</t>
  </si>
  <si>
    <t>SINDY AULIA</t>
  </si>
  <si>
    <t>SITI ZAHRA NUR'AZIZAH</t>
  </si>
  <si>
    <t>WASILATUL AMAMI</t>
  </si>
  <si>
    <t>WILDAN MUHAMMAD FAHRI</t>
  </si>
  <si>
    <t>Adhania Fauzia Priatna</t>
  </si>
  <si>
    <t>ALIFAH ROHADATUL AISY</t>
  </si>
  <si>
    <t>Az Zahra Arfarida</t>
  </si>
  <si>
    <t>BUNGA MAWAR MELATI</t>
  </si>
  <si>
    <t>Faturrohman Hakim</t>
  </si>
  <si>
    <t>M SURYA RAMADHAN</t>
  </si>
  <si>
    <t>M.  Haikal Fauzi</t>
  </si>
  <si>
    <t>MEY MEY NURLAILA HASANAH</t>
  </si>
  <si>
    <t>MUHAMAD ADITIA RAMDANI</t>
  </si>
  <si>
    <t>muhamad raka setiawan</t>
  </si>
  <si>
    <t>MUHAMMAD PARID AL HADADI</t>
  </si>
  <si>
    <t>NAMIRA HALIPATU NURUL HUDA</t>
  </si>
  <si>
    <t>Qhaisar Qhairan Al-Zamzam</t>
  </si>
  <si>
    <t>RIZKI AMELIA</t>
  </si>
  <si>
    <t>RIZWAN SALMAN MAULANA</t>
  </si>
  <si>
    <t>SELVI AULIA PUTRI</t>
  </si>
  <si>
    <t>WULAN YULIANTI</t>
  </si>
  <si>
    <t>YUNI</t>
  </si>
  <si>
    <t>YUNI RAHMAWATI</t>
  </si>
  <si>
    <t>ANDIKA ABDULAH RABANI</t>
  </si>
  <si>
    <t>DESTIYANA MAHARANI</t>
  </si>
  <si>
    <t>Dikri Masaliku Anwar</t>
  </si>
  <si>
    <t>20.21.07.258</t>
  </si>
  <si>
    <t>FITRI NURUL AFIFAH</t>
  </si>
  <si>
    <t>M. Rizki Kurniawan</t>
  </si>
  <si>
    <t>MEIDIRA AGNITYA PUTRI</t>
  </si>
  <si>
    <t>MOCH ANDRA ALMAULIDA KASPARI</t>
  </si>
  <si>
    <t>MOH. GUSNOVAL FAJAR</t>
  </si>
  <si>
    <t>MUHAMAD AGUS SOPANDI</t>
  </si>
  <si>
    <t>MUHAMAD FAUZI PADIL</t>
  </si>
  <si>
    <t>N SARAH NURSYIFA</t>
  </si>
  <si>
    <t>NAILA ANNISA FUTRI</t>
  </si>
  <si>
    <t>RANGGA RAHMADANI SAPUTRA</t>
  </si>
  <si>
    <t>SALWA WALIZAH</t>
  </si>
  <si>
    <t>SANIA AGISNI</t>
  </si>
  <si>
    <t>Syahrul Ramdani</t>
  </si>
  <si>
    <t>SYALWA SHABILLA</t>
  </si>
  <si>
    <t>NALA AZKIA WIDIA SIRAZ</t>
  </si>
  <si>
    <t xml:space="preserve"> SITI NUR WASILAH</t>
  </si>
  <si>
    <t>TAUFIK HIDAYATUL FAZRI</t>
  </si>
  <si>
    <t>KEYSZHA PEBRI SAPARANI</t>
  </si>
  <si>
    <t>PEBY</t>
  </si>
  <si>
    <t xml:space="preserve">ILMA </t>
  </si>
  <si>
    <t>NAJLA NOPIYANTI</t>
  </si>
  <si>
    <t>LAELA HOERUNNISA</t>
  </si>
  <si>
    <t>YAFI NAJHAN HARIR</t>
  </si>
  <si>
    <t>AJRIA NURRAHMADANI</t>
  </si>
  <si>
    <t>ALVI NURSHEILA</t>
  </si>
  <si>
    <t>PUTRI AIRA NOVITA AZ ZAHRA</t>
  </si>
  <si>
    <t>ADITA APRILIA PUTRI</t>
  </si>
  <si>
    <t>SASKIA AMELIA ZAMZANI</t>
  </si>
  <si>
    <t>NAYA ZAHRA T</t>
  </si>
  <si>
    <t>MUHAMAD RAFA PRIATNA</t>
  </si>
  <si>
    <t>WULAN AMELIA PUTRI</t>
  </si>
  <si>
    <t>DIAN SANIATUL ADAWIAH</t>
  </si>
  <si>
    <t>A IKHWAN ALFIANSYAH</t>
  </si>
  <si>
    <t>ANISASKIA DAMAYANTI</t>
  </si>
  <si>
    <t>LILI AGUSTINA LISANDI</t>
  </si>
  <si>
    <t xml:space="preserve"> RAFI RAMADHAN</t>
  </si>
  <si>
    <t>DINA DANIATI AULIA PUTRI</t>
  </si>
  <si>
    <t>PUTRI FITRIANI</t>
  </si>
  <si>
    <t>RISSA NUR ANISA ZAUZA</t>
  </si>
  <si>
    <t>SALSHA AMALIA</t>
  </si>
  <si>
    <t>MUHAMAD PARHAN AHLUL AZMI</t>
  </si>
  <si>
    <t>MUHAMAD ARYA</t>
  </si>
  <si>
    <t>NUR HABIBAH P.Z</t>
  </si>
  <si>
    <t>QIYANU DERYL IHSAN</t>
  </si>
  <si>
    <t>MUHAMMAD IRHAM</t>
  </si>
  <si>
    <t>NADIA SALSA BILA</t>
  </si>
  <si>
    <t>SITI NURAENI</t>
  </si>
  <si>
    <t>INA IJJATUL INAYAH</t>
  </si>
  <si>
    <t xml:space="preserve"> SITI NUR ASYIPA RAMADINI</t>
  </si>
  <si>
    <t>MUHAMMAD RIZKY A.P</t>
  </si>
  <si>
    <t>RIPALD</t>
  </si>
  <si>
    <t>SELVIANA WIDIA WATI</t>
  </si>
  <si>
    <t>MUHAMAD ZAM ZAM DISON HAJI</t>
  </si>
  <si>
    <t>SITI SALWA MAULIDA</t>
  </si>
  <si>
    <t>SITI MARDIANA</t>
  </si>
  <si>
    <t>MIRA ZAHRIFA</t>
  </si>
  <si>
    <t>SETIANI NURALIFAH</t>
  </si>
  <si>
    <t>DEVI RAHAYU</t>
  </si>
  <si>
    <t>RAFKA FIRMANSYAH</t>
  </si>
  <si>
    <t>RIFA NUR APRILI</t>
  </si>
  <si>
    <t>20.21.07.261</t>
  </si>
  <si>
    <t>22.23.07.002</t>
  </si>
  <si>
    <t>22.23.07.003</t>
  </si>
  <si>
    <t>22.23.07.004</t>
  </si>
  <si>
    <t>22.23.07.005</t>
  </si>
  <si>
    <t>22.23.07.006</t>
  </si>
  <si>
    <t>22.23.07.007</t>
  </si>
  <si>
    <t>22.23.07.008</t>
  </si>
  <si>
    <t>22.23.07.009</t>
  </si>
  <si>
    <t>22.23.07.010</t>
  </si>
  <si>
    <t>22.23.07.011</t>
  </si>
  <si>
    <t>22.23.07.012</t>
  </si>
  <si>
    <t>22.23.07.013</t>
  </si>
  <si>
    <t>22.23.07.014</t>
  </si>
  <si>
    <t>22.23.07.015</t>
  </si>
  <si>
    <t>22.23.07.016</t>
  </si>
  <si>
    <t>22.23.07.018</t>
  </si>
  <si>
    <t>22.23.07.019</t>
  </si>
  <si>
    <t>22.23.07.020</t>
  </si>
  <si>
    <t>22.23.07.021</t>
  </si>
  <si>
    <t>22.23.07.022</t>
  </si>
  <si>
    <t>22.23.07.023</t>
  </si>
  <si>
    <t>22.23.07.024</t>
  </si>
  <si>
    <t>22.23.07.025</t>
  </si>
  <si>
    <t>22.23.07.026</t>
  </si>
  <si>
    <t>22.23.07.027</t>
  </si>
  <si>
    <t>22.23.07.029</t>
  </si>
  <si>
    <t>22.23.07.030</t>
  </si>
  <si>
    <t>22.23.07.031</t>
  </si>
  <si>
    <t>22.23.07.032</t>
  </si>
  <si>
    <t>22.23.07.033</t>
  </si>
  <si>
    <t>22.23.07.034</t>
  </si>
  <si>
    <t>22.23.07.035</t>
  </si>
  <si>
    <t>22.23.07.036</t>
  </si>
  <si>
    <t>22.23.07.037</t>
  </si>
  <si>
    <t>22.23.07.038</t>
  </si>
  <si>
    <t>22.23.07.039</t>
  </si>
  <si>
    <t>22.23.07.040</t>
  </si>
  <si>
    <t>22.23.07.041</t>
  </si>
  <si>
    <t>22.23.07.043</t>
  </si>
  <si>
    <t>22.23.07.044</t>
  </si>
  <si>
    <t>22.23.07.045</t>
  </si>
  <si>
    <t>22.23.07.046</t>
  </si>
  <si>
    <t>22.23.07.048</t>
  </si>
  <si>
    <t>22.23.07.049</t>
  </si>
  <si>
    <t>22.23.07.050</t>
  </si>
  <si>
    <t>22.23.07.051</t>
  </si>
  <si>
    <t>22.23.07.052</t>
  </si>
  <si>
    <t>22.23.07.053</t>
  </si>
  <si>
    <t>22.23.07.054</t>
  </si>
  <si>
    <t>22.23.07.055</t>
  </si>
  <si>
    <t>22.23.07.056</t>
  </si>
  <si>
    <t>22.23.07.057</t>
  </si>
  <si>
    <t>22.23.07.058</t>
  </si>
  <si>
    <t>22.23.07.059</t>
  </si>
  <si>
    <t>22.23.07.060</t>
  </si>
  <si>
    <t>22.23.07.061</t>
  </si>
  <si>
    <t>22.23.07.062</t>
  </si>
  <si>
    <t>22.23.07.063</t>
  </si>
  <si>
    <t>22.23.07.064</t>
  </si>
  <si>
    <t>22.23.07.065</t>
  </si>
  <si>
    <t>22.23.07.066</t>
  </si>
  <si>
    <t>22.23.07.067</t>
  </si>
  <si>
    <t>22.23.07.068</t>
  </si>
  <si>
    <t>22.23.07.069</t>
  </si>
  <si>
    <t>22.23.07.070</t>
  </si>
  <si>
    <t>22.23.07.071</t>
  </si>
  <si>
    <t>22.23.07.072</t>
  </si>
  <si>
    <t>22.23.07.073</t>
  </si>
  <si>
    <t>22.23.07.074</t>
  </si>
  <si>
    <t>22.23.07.075</t>
  </si>
  <si>
    <t>22.23.07.076</t>
  </si>
  <si>
    <t>22.23.07.077</t>
  </si>
  <si>
    <t>22.23.07.079</t>
  </si>
  <si>
    <t>22.23.07.080</t>
  </si>
  <si>
    <t>22.23.07.081</t>
  </si>
  <si>
    <t>22.23.07.082</t>
  </si>
  <si>
    <t>22.23.07.083</t>
  </si>
  <si>
    <t>22.23.07.084</t>
  </si>
  <si>
    <t>22.23.07.085</t>
  </si>
  <si>
    <t>22.23.07.086</t>
  </si>
  <si>
    <t>22.23.07.087</t>
  </si>
  <si>
    <t>22.23.07.088</t>
  </si>
  <si>
    <t>22.23.07.089</t>
  </si>
  <si>
    <t>22.23.07.090</t>
  </si>
  <si>
    <t>22.23.07.091</t>
  </si>
  <si>
    <t>22.23.07.092</t>
  </si>
  <si>
    <t>22.23.07.093</t>
  </si>
  <si>
    <t>22.23.07.094</t>
  </si>
  <si>
    <t>22.23.07.096</t>
  </si>
  <si>
    <t>22.23.07.097</t>
  </si>
  <si>
    <t>22.23.07.098</t>
  </si>
  <si>
    <t>22.23.07.099</t>
  </si>
  <si>
    <t>22.23.07.100</t>
  </si>
  <si>
    <t>22.23.07.101</t>
  </si>
  <si>
    <t>22.23.07.102</t>
  </si>
  <si>
    <t>22.23.07.103</t>
  </si>
  <si>
    <t>22.23.07.104</t>
  </si>
  <si>
    <t>22.23.07.105</t>
  </si>
  <si>
    <t>22.23.07.106</t>
  </si>
  <si>
    <t>22.23.07.107</t>
  </si>
  <si>
    <t>22.23.07.108</t>
  </si>
  <si>
    <t>22.23.07.109</t>
  </si>
  <si>
    <t>22.23.07.110</t>
  </si>
  <si>
    <t>22.23.07.111</t>
  </si>
  <si>
    <t>22.23.07.112</t>
  </si>
  <si>
    <t>22.23.07.114</t>
  </si>
  <si>
    <t>22.23.07.115</t>
  </si>
  <si>
    <t>22.23.07.116</t>
  </si>
  <si>
    <t>22.23.07.117</t>
  </si>
  <si>
    <t>22.23.07.118</t>
  </si>
  <si>
    <t>22.23.07.119</t>
  </si>
  <si>
    <t>22.23.07.120</t>
  </si>
  <si>
    <t>22.23.07.121</t>
  </si>
  <si>
    <t>22.23.07.122</t>
  </si>
  <si>
    <t>22.23.07.123</t>
  </si>
  <si>
    <t>22.23.07.124</t>
  </si>
  <si>
    <t>22.23.07.125</t>
  </si>
  <si>
    <t>22.23.07.126</t>
  </si>
  <si>
    <t>22.23.07.127</t>
  </si>
  <si>
    <t>22.23.07.128</t>
  </si>
  <si>
    <t>22.23.07.129</t>
  </si>
  <si>
    <t>22.23.07.130</t>
  </si>
  <si>
    <t>22.23.07.131</t>
  </si>
  <si>
    <t>22.23.07.133</t>
  </si>
  <si>
    <t>22.23.07.134</t>
  </si>
  <si>
    <t>22.23.07.135</t>
  </si>
  <si>
    <t>22.23.07.136</t>
  </si>
  <si>
    <t>22.23.07.137</t>
  </si>
  <si>
    <t>22.23.07.138</t>
  </si>
  <si>
    <t>22.23.07.140</t>
  </si>
  <si>
    <t>22.23.07.141</t>
  </si>
  <si>
    <t>22.23.07.142</t>
  </si>
  <si>
    <t>22.23.07.143</t>
  </si>
  <si>
    <t>22.23.07.144</t>
  </si>
  <si>
    <t>22.23.07.145</t>
  </si>
  <si>
    <t>22.23.07.146</t>
  </si>
  <si>
    <t>22.23.07.147</t>
  </si>
  <si>
    <t>22.23.07.148</t>
  </si>
  <si>
    <t>22.23.07.149</t>
  </si>
  <si>
    <t>22.23.07.150</t>
  </si>
  <si>
    <t>22.23.07.151</t>
  </si>
  <si>
    <t>22.23.07.152</t>
  </si>
  <si>
    <t>22.23.07.153</t>
  </si>
  <si>
    <t>22.23.07.154</t>
  </si>
  <si>
    <t>22.23.07.155</t>
  </si>
  <si>
    <t>22.23.07.156</t>
  </si>
  <si>
    <t>22.23.07.157</t>
  </si>
  <si>
    <t>22.23.07.158</t>
  </si>
  <si>
    <t>22.23.07.159</t>
  </si>
  <si>
    <t>22.23.07.160</t>
  </si>
  <si>
    <t>22.23.07.161</t>
  </si>
  <si>
    <t>22.23.07.162</t>
  </si>
  <si>
    <t>22.23.07.163</t>
  </si>
  <si>
    <t>22.23.07.164</t>
  </si>
  <si>
    <t>22.23.07.165</t>
  </si>
  <si>
    <t>22.23.07.166</t>
  </si>
  <si>
    <t>22.23.07.167</t>
  </si>
  <si>
    <t>22.23.07.168</t>
  </si>
  <si>
    <t>22.23.07.169</t>
  </si>
  <si>
    <t>22.23.07.170</t>
  </si>
  <si>
    <t>22.23.07.171</t>
  </si>
  <si>
    <t>22.23.07.172</t>
  </si>
  <si>
    <t>22.23.07.173</t>
  </si>
  <si>
    <t>22.23.07.174</t>
  </si>
  <si>
    <t>22.23.07.176</t>
  </si>
  <si>
    <t>22.23.07.177</t>
  </si>
  <si>
    <t>22.23.07.178</t>
  </si>
  <si>
    <t>22.23.07.179</t>
  </si>
  <si>
    <t>22.23.07.181</t>
  </si>
  <si>
    <t>22.23.07.182</t>
  </si>
  <si>
    <t>22.23.07.183</t>
  </si>
  <si>
    <t>22.23.07.185</t>
  </si>
  <si>
    <t>22.23.07.186</t>
  </si>
  <si>
    <t>22.23.07.187</t>
  </si>
  <si>
    <t>22.23.07.188</t>
  </si>
  <si>
    <t>22.23.07.189</t>
  </si>
  <si>
    <t>22.23.07.191</t>
  </si>
  <si>
    <t>22.23.07.192</t>
  </si>
  <si>
    <t>22.23.07.193</t>
  </si>
  <si>
    <t>22.23.07.194</t>
  </si>
  <si>
    <t>22.23.07.195</t>
  </si>
  <si>
    <t>22.23.07.196</t>
  </si>
  <si>
    <t>22.23.07.197</t>
  </si>
  <si>
    <t>Fauzan Afdil Nur Islami</t>
  </si>
  <si>
    <t>Fikri Hasan</t>
  </si>
  <si>
    <t>Agnia Dinar Mustaqimah</t>
  </si>
  <si>
    <t>Regina Putri Nurhalimah</t>
  </si>
  <si>
    <t>22.23.07.198</t>
  </si>
  <si>
    <t>AI LUTFIANIE NURSALISA</t>
  </si>
  <si>
    <t>21.22.07.243</t>
  </si>
  <si>
    <t>21.22.07.244</t>
  </si>
  <si>
    <t>21.22.07.247</t>
  </si>
  <si>
    <t>21.22.07.248</t>
  </si>
  <si>
    <t>21.22.07.249</t>
  </si>
  <si>
    <t>MUHAMAD FAUZI SUPRITNA</t>
  </si>
  <si>
    <t>SALVA ANI</t>
  </si>
  <si>
    <t>MUHAMAD RAFI PRATAMA</t>
  </si>
  <si>
    <t>22.23.07.199</t>
  </si>
  <si>
    <t>22.23.07.200</t>
  </si>
  <si>
    <t>22.23.07.201</t>
  </si>
  <si>
    <t>Muhamad Nur Aliansyah</t>
  </si>
  <si>
    <t>RIKI SOPIAN</t>
  </si>
  <si>
    <t>M. ZIKRI ALFIANSAH</t>
  </si>
  <si>
    <t>RAISA AZAHRA PUTRI</t>
  </si>
  <si>
    <t>20.21.07.300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</si>
  <si>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</si>
  <si>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</si>
  <si>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</si>
  <si>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</si>
  <si>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</si>
  <si>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</si>
  <si>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</si>
  <si>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</si>
  <si>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</si>
  <si>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</si>
  <si>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</si>
  <si>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</si>
  <si>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</si>
  <si>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</si>
  <si>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</si>
  <si>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</si>
  <si>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</si>
  <si>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</si>
  <si>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</si>
  <si>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</si>
  <si>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</si>
  <si>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</si>
  <si>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</si>
  <si>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</si>
  <si>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</si>
  <si>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</si>
  <si>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</si>
  <si>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</si>
  <si>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</si>
  <si>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</si>
  <si>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</si>
  <si>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</si>
  <si>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</si>
  <si>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</si>
  <si>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</si>
  <si>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</si>
  <si>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</si>
  <si>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</si>
  <si>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</si>
  <si>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</si>
  <si>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</si>
  <si>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</si>
  <si>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</si>
  <si>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</si>
  <si>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</si>
  <si>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</si>
  <si>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</si>
  <si>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</si>
  <si>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</si>
  <si>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</si>
  <si>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A. IKHWAN ALFIANSYAH</t>
  </si>
  <si>
    <t>BANDUNG</t>
  </si>
  <si>
    <t>Islam</t>
  </si>
  <si>
    <t>KP SEUSEUPAN</t>
  </si>
  <si>
    <t>CICANGKANGHILIR</t>
  </si>
  <si>
    <t>Kec. Cipongkor</t>
  </si>
  <si>
    <t>Bersama orang tua</t>
  </si>
  <si>
    <t>Jalan kaki</t>
  </si>
  <si>
    <t>Tidak</t>
  </si>
  <si>
    <t>UTIS SUTISNA</t>
  </si>
  <si>
    <t>SD / sederajat</t>
  </si>
  <si>
    <t>Buruh</t>
  </si>
  <si>
    <t>Rp. 500,000 - Rp. 999,999</t>
  </si>
  <si>
    <t>EJA SUTEJA</t>
  </si>
  <si>
    <t>Tidak bekerja</t>
  </si>
  <si>
    <t>Tidak Berpenghasilan</t>
  </si>
  <si>
    <t>Tidak sekolah</t>
  </si>
  <si>
    <t>3217-LT-06062016-0209</t>
  </si>
  <si>
    <t>Ya</t>
  </si>
  <si>
    <t>Siswa Miskin/Rentan Miskin</t>
  </si>
  <si>
    <t>Tidak ada</t>
  </si>
  <si>
    <t>SD NEGERI PASIRAJAG</t>
  </si>
  <si>
    <t>Bandung Barat</t>
  </si>
  <si>
    <t>Angkutan umum/bus/pete-pete</t>
  </si>
  <si>
    <t>Rp. 1,000,000 - Rp. 1,999,999</t>
  </si>
  <si>
    <t>MIS</t>
  </si>
  <si>
    <t>BANDUNG BARAT</t>
  </si>
  <si>
    <t>KP BOJONG SEMPUR</t>
  </si>
  <si>
    <t>CECEP HIDAYAT</t>
  </si>
  <si>
    <t>ETI SUMIATI</t>
  </si>
  <si>
    <t>8725/UMUM/2009</t>
  </si>
  <si>
    <t>BEKASI</t>
  </si>
  <si>
    <t>KAV. HARAPAN JAYA NO.09</t>
  </si>
  <si>
    <t>HARAPAN JAYA</t>
  </si>
  <si>
    <t>Kec. Bekasi Utara</t>
  </si>
  <si>
    <t>ABD. ROHMAN</t>
  </si>
  <si>
    <t>S1</t>
  </si>
  <si>
    <t>Karyawan Swasta</t>
  </si>
  <si>
    <t>LILIS SURYANI</t>
  </si>
  <si>
    <t>SMA / sederajat</t>
  </si>
  <si>
    <t>1149/I/2011</t>
  </si>
  <si>
    <t>SD NEGERI HARAPAN JAYA VIII</t>
  </si>
  <si>
    <t>AJRIA NUR RAHMADANI</t>
  </si>
  <si>
    <t>Kp. Cijambe</t>
  </si>
  <si>
    <t>Cicangkang Hilir</t>
  </si>
  <si>
    <t>HALIMATUSADIAH</t>
  </si>
  <si>
    <t>KP. CIBEUREUM</t>
  </si>
  <si>
    <t>CIBEUREUM</t>
  </si>
  <si>
    <t>CITALEM</t>
  </si>
  <si>
    <t>Sepeda motor</t>
  </si>
  <si>
    <t>ACEP YAKUB</t>
  </si>
  <si>
    <t>SMP / sederajat</t>
  </si>
  <si>
    <t>Kurang dari Rp. 500,000</t>
  </si>
  <si>
    <t>NURYANI</t>
  </si>
  <si>
    <t>25171/DISP/2011</t>
  </si>
  <si>
    <t>SD NEGERI CITALEM</t>
  </si>
  <si>
    <t>Asep Muhammad Mufti Abdul Muiz</t>
  </si>
  <si>
    <t>Kp. Cikareo</t>
  </si>
  <si>
    <t>Citalem</t>
  </si>
  <si>
    <t>Janah</t>
  </si>
  <si>
    <t>Ai Nurul Inayah</t>
  </si>
  <si>
    <t>6642/UMUM/210</t>
  </si>
  <si>
    <t>SD NEGERI PASIRDADALI</t>
  </si>
  <si>
    <t>Kp. Sumur Bandung</t>
  </si>
  <si>
    <t>Mekarsari</t>
  </si>
  <si>
    <t>AI CUCU SETIAWATI</t>
  </si>
  <si>
    <t>Dian Saniatul Adawiah</t>
  </si>
  <si>
    <t>Kp. Cibanteng</t>
  </si>
  <si>
    <t>Gojali</t>
  </si>
  <si>
    <t>Siti Patimah</t>
  </si>
  <si>
    <t>25206/DISP/2011</t>
  </si>
  <si>
    <t>SD NEGERI PASIRBANTENG</t>
  </si>
  <si>
    <t>Eni Salsabila Putri</t>
  </si>
  <si>
    <t>Kp. Cikadu</t>
  </si>
  <si>
    <t>Bongas</t>
  </si>
  <si>
    <t>Kec. Cililin</t>
  </si>
  <si>
    <t>Dedeng Suryana</t>
  </si>
  <si>
    <t>Herawati</t>
  </si>
  <si>
    <t>3217-LT-27032015-4818</t>
  </si>
  <si>
    <t>SD NEGERI GROGOL</t>
  </si>
  <si>
    <t>Gina Mukarromah</t>
  </si>
  <si>
    <t>Ogan II</t>
  </si>
  <si>
    <t>Zainal Abidin</t>
  </si>
  <si>
    <t>Nina Kurnia</t>
  </si>
  <si>
    <t>477.I.1242.III.09.Umum.09</t>
  </si>
  <si>
    <t>Kp. Wareng</t>
  </si>
  <si>
    <t>Dusun 3</t>
  </si>
  <si>
    <t>Sukamulya</t>
  </si>
  <si>
    <t>TATANG SOBANDI</t>
  </si>
  <si>
    <t>SITI MARYAM</t>
  </si>
  <si>
    <t>Gdhv18</t>
  </si>
  <si>
    <t>3217-LT-03062016-0191</t>
  </si>
  <si>
    <t>Pemegang PKH/KPS/KKS</t>
  </si>
  <si>
    <t>SD NEGERI 2 CICANGKANGHILIR</t>
  </si>
  <si>
    <t>Kevin Michael Anderson</t>
  </si>
  <si>
    <t>Bandung</t>
  </si>
  <si>
    <t>Kp. Grogol</t>
  </si>
  <si>
    <t>Zori Muhammad Afin</t>
  </si>
  <si>
    <t>Euis Herlina</t>
  </si>
  <si>
    <t>GTB7WH</t>
  </si>
  <si>
    <t>3626/UMUM/2010</t>
  </si>
  <si>
    <t>DEWI ANGGRAENI</t>
  </si>
  <si>
    <t>Muhamad Irfan</t>
  </si>
  <si>
    <t>Kp Cigombong</t>
  </si>
  <si>
    <t>39dpo440563001</t>
  </si>
  <si>
    <t>Sutarman</t>
  </si>
  <si>
    <t>Nani Supriatni</t>
  </si>
  <si>
    <t>DN-02/D-SD/13/0612529</t>
  </si>
  <si>
    <t>T6HTQ3</t>
  </si>
  <si>
    <t>BANK BRI</t>
  </si>
  <si>
    <t>SDN CICANGKANGJAYA</t>
  </si>
  <si>
    <t>Kp. Cigalunggung</t>
  </si>
  <si>
    <t>Dusun 4</t>
  </si>
  <si>
    <t>AJID SALIMUDIN</t>
  </si>
  <si>
    <t>DEDE NURAENI</t>
  </si>
  <si>
    <t>DIESPA</t>
  </si>
  <si>
    <t>5334/ISTIMEWA/2010</t>
  </si>
  <si>
    <t>JAKARTA</t>
  </si>
  <si>
    <t>CIJAMBE</t>
  </si>
  <si>
    <t>Wali</t>
  </si>
  <si>
    <t>Jaka Priatna</t>
  </si>
  <si>
    <t>Petani</t>
  </si>
  <si>
    <t>Noor Khodijah</t>
  </si>
  <si>
    <t>Lainnya</t>
  </si>
  <si>
    <t>ENAD BADRI</t>
  </si>
  <si>
    <t>14.095/JT/KL/2009</t>
  </si>
  <si>
    <t>SD NEGERI BINAWARGA</t>
  </si>
  <si>
    <t>SUMURKEMBANG</t>
  </si>
  <si>
    <t>DEDI MULYADI</t>
  </si>
  <si>
    <t>Pedagang Kecil</t>
  </si>
  <si>
    <t>EULIS SUMARTINI</t>
  </si>
  <si>
    <t>3060/UMUM/2010</t>
  </si>
  <si>
    <t>PANDEGLANG</t>
  </si>
  <si>
    <t>KP CISELUN</t>
  </si>
  <si>
    <t>KARANGANYAR</t>
  </si>
  <si>
    <t>ASEP SUHERMAN</t>
  </si>
  <si>
    <t>RINI MULYANI</t>
  </si>
  <si>
    <t>3601-LT-21052014-0145</t>
  </si>
  <si>
    <t>SD NEGERI CIBURUY</t>
  </si>
  <si>
    <t>Nazwa Dewi Utami</t>
  </si>
  <si>
    <t>KP BOJONGSEMPUR</t>
  </si>
  <si>
    <t>ADE SUHENDAR</t>
  </si>
  <si>
    <t>Wiraswasta</t>
  </si>
  <si>
    <t>SRI KOMALASARI</t>
  </si>
  <si>
    <t>6521/ISTIMEWA/2011</t>
  </si>
  <si>
    <t>YADI SURYADI</t>
  </si>
  <si>
    <t>AI NENG DINI SRIHANDAYANI</t>
  </si>
  <si>
    <t>DAUD</t>
  </si>
  <si>
    <t>45109/DISP/2011</t>
  </si>
  <si>
    <t>Kp. Pasarlama</t>
  </si>
  <si>
    <t>ROHIMAT</t>
  </si>
  <si>
    <t>SITI ROHAETI</t>
  </si>
  <si>
    <t>25733/DISP/2011</t>
  </si>
  <si>
    <t>Kp. Cibunggur</t>
  </si>
  <si>
    <t>YUYUN YUNENGSIH</t>
  </si>
  <si>
    <t>RIFA NUR APRILIA</t>
  </si>
  <si>
    <t>Kp. Cicangkang</t>
  </si>
  <si>
    <t>NURAJIJAH</t>
  </si>
  <si>
    <t>JENAL</t>
  </si>
  <si>
    <t>TITIN SUHARTINI</t>
  </si>
  <si>
    <t>Gwllcv</t>
  </si>
  <si>
    <t>3951/UMU/2010</t>
  </si>
  <si>
    <t>Cicangkanghilir</t>
  </si>
  <si>
    <t>Saepul Anwar</t>
  </si>
  <si>
    <t>Husaenidun</t>
  </si>
  <si>
    <t>Santi</t>
  </si>
  <si>
    <t>2175/UMUM/2010</t>
  </si>
  <si>
    <t>Salma Qoriatun Az Zahra</t>
  </si>
  <si>
    <t>Usep Permana</t>
  </si>
  <si>
    <t>Imas Juariah</t>
  </si>
  <si>
    <t>2176/UMUM/2010</t>
  </si>
  <si>
    <t>Salsha Amalia</t>
  </si>
  <si>
    <t>Ayi Haeruman</t>
  </si>
  <si>
    <t>NIning Yuningsih</t>
  </si>
  <si>
    <t>GYDQHQ</t>
  </si>
  <si>
    <t>9047/UMUM/2009</t>
  </si>
  <si>
    <t>SASKIA AMELIA ZAMZAMI</t>
  </si>
  <si>
    <t>Kp. Pasir Buntu 01/08</t>
  </si>
  <si>
    <t>IMAS MASITOH</t>
  </si>
  <si>
    <t>Kp. Warung Awi</t>
  </si>
  <si>
    <t>SITI SOPIAH</t>
  </si>
  <si>
    <t>SUPRIATNA</t>
  </si>
  <si>
    <t>3217-LT-24102016-0063</t>
  </si>
  <si>
    <t>Yafi Najhan Harir</t>
  </si>
  <si>
    <t>Kp. Sumur Kembang</t>
  </si>
  <si>
    <t>A Badru Hayyan</t>
  </si>
  <si>
    <t>Noneng Farida. H</t>
  </si>
  <si>
    <t>D2</t>
  </si>
  <si>
    <t>SD NEGERI CIBANGBAN</t>
  </si>
  <si>
    <t>MUHAMAD YUSUF</t>
  </si>
  <si>
    <t>NENG TANTY</t>
  </si>
  <si>
    <t>3770/UMUM/2010</t>
  </si>
  <si>
    <t>WIDIAWATI</t>
  </si>
  <si>
    <t>Kp. Pasir Buntu</t>
  </si>
  <si>
    <t>ELA NURLAELAWATI</t>
  </si>
  <si>
    <t>ADI SUDRAJAT</t>
  </si>
  <si>
    <t>NIA ROSMAWATI</t>
  </si>
  <si>
    <t>3619/UMUM/2010</t>
  </si>
  <si>
    <t>Ari</t>
  </si>
  <si>
    <t>Kp. Mekar Saluyu</t>
  </si>
  <si>
    <t>Yoyo Haryono</t>
  </si>
  <si>
    <t>Yoyoh</t>
  </si>
  <si>
    <t>SD NEGERI HARAPANJAYA</t>
  </si>
  <si>
    <t>Carla Natali Nabila</t>
  </si>
  <si>
    <t>Tatang Suganda</t>
  </si>
  <si>
    <t>Dede Wariah</t>
  </si>
  <si>
    <t>GJD4XU</t>
  </si>
  <si>
    <t>1108/UMUM/2010</t>
  </si>
  <si>
    <t>Garut</t>
  </si>
  <si>
    <t>382FXJ44151001</t>
  </si>
  <si>
    <t>DEDI RIADI</t>
  </si>
  <si>
    <t>ANI SURYANI</t>
  </si>
  <si>
    <t>3205-LT-27122011-0560</t>
  </si>
  <si>
    <t>Desti Agustiyani Rahmawati</t>
  </si>
  <si>
    <t>Kp. Pasirpanjang</t>
  </si>
  <si>
    <t>Rancapanggung</t>
  </si>
  <si>
    <t>Abdul Rohman</t>
  </si>
  <si>
    <t>Rohaya</t>
  </si>
  <si>
    <t>9069/UMUM/2009</t>
  </si>
  <si>
    <t>Kp. Nanggerang</t>
  </si>
  <si>
    <t>Karanganyar</t>
  </si>
  <si>
    <t>Diah</t>
  </si>
  <si>
    <t>Dina Daniati Aulia Putri</t>
  </si>
  <si>
    <t>Kp. Sempurbajeg</t>
  </si>
  <si>
    <t>Titi Maesaroh</t>
  </si>
  <si>
    <t>4738/UMUM/2010</t>
  </si>
  <si>
    <t>Fika Nadia Rahmah</t>
  </si>
  <si>
    <t>Maftuh</t>
  </si>
  <si>
    <t>Imas</t>
  </si>
  <si>
    <t>3217-LT-16122016-0041</t>
  </si>
  <si>
    <t>Gina Eliana</t>
  </si>
  <si>
    <t>Kp. Pasirtugu</t>
  </si>
  <si>
    <t>Mutoli</t>
  </si>
  <si>
    <t>Nuraini</t>
  </si>
  <si>
    <t>Kp. Cibandung</t>
  </si>
  <si>
    <t>N ASWATI</t>
  </si>
  <si>
    <t>Ira Amelia</t>
  </si>
  <si>
    <t>Kp. Dengkeng</t>
  </si>
  <si>
    <t>Supriatna</t>
  </si>
  <si>
    <t>Elih Nawangsih</t>
  </si>
  <si>
    <t>474.1/ 512/ VIII/ 2016/ Pem.</t>
  </si>
  <si>
    <t>M. Habib Anhar Permana</t>
  </si>
  <si>
    <t>Kp. Cibungur</t>
  </si>
  <si>
    <t>Maman Suparman</t>
  </si>
  <si>
    <t>Nunung Nurhayati</t>
  </si>
  <si>
    <t>DIECY1</t>
  </si>
  <si>
    <t>GQ7DU4</t>
  </si>
  <si>
    <t>M. Rizqi Apria Nurfalah</t>
  </si>
  <si>
    <t>Basarudin</t>
  </si>
  <si>
    <t>Masropah Rohiyati</t>
  </si>
  <si>
    <t>3103/UMUM/2010</t>
  </si>
  <si>
    <t>MELISA SURYANI</t>
  </si>
  <si>
    <t>Cimahi</t>
  </si>
  <si>
    <t>Jl Sariwangi Cibaligo no 156</t>
  </si>
  <si>
    <t>Cihanjuang</t>
  </si>
  <si>
    <t>Kec. Parongpong</t>
  </si>
  <si>
    <t>Pesantren</t>
  </si>
  <si>
    <t>NANI SURYANI</t>
  </si>
  <si>
    <t>RIYAH</t>
  </si>
  <si>
    <t>Muhamad Reyyan Syahreza</t>
  </si>
  <si>
    <t>Rahman. R</t>
  </si>
  <si>
    <t>Neni Sumarni</t>
  </si>
  <si>
    <t>21686/ISTIMEWA/2010</t>
  </si>
  <si>
    <t>MUHAMMAD ARYA</t>
  </si>
  <si>
    <t>NENENG HASANAH</t>
  </si>
  <si>
    <t>Kp. Perelas</t>
  </si>
  <si>
    <t>Budiharja</t>
  </si>
  <si>
    <t>ENUNG NURJANAH</t>
  </si>
  <si>
    <t>Kp. Pasirwareng</t>
  </si>
  <si>
    <t>P. Hermawan</t>
  </si>
  <si>
    <t>Siti Mariam</t>
  </si>
  <si>
    <t>3137/ISTIMEWA/2011</t>
  </si>
  <si>
    <t>KP SEMPURBAJEG</t>
  </si>
  <si>
    <t>SAEPUDIN</t>
  </si>
  <si>
    <t>CUCU SUSANTI</t>
  </si>
  <si>
    <t>8605/UMUM/2010</t>
  </si>
  <si>
    <t>Naya Zahra T</t>
  </si>
  <si>
    <t>Roslasiah</t>
  </si>
  <si>
    <t>Nayla Melani Putri</t>
  </si>
  <si>
    <t>Herman Setiawan</t>
  </si>
  <si>
    <t>Nastiah</t>
  </si>
  <si>
    <t>10572/DISP/2011</t>
  </si>
  <si>
    <t>Kp.Pasirwareng</t>
  </si>
  <si>
    <t>Dudung Sutisna</t>
  </si>
  <si>
    <t>Titin Kartini</t>
  </si>
  <si>
    <t>Pgdxpl</t>
  </si>
  <si>
    <t>3217-LT-020220-0249</t>
  </si>
  <si>
    <t>RAHMAT</t>
  </si>
  <si>
    <t>EBOD</t>
  </si>
  <si>
    <t>RAFI AL BIAN</t>
  </si>
  <si>
    <t>Kp Cijoho</t>
  </si>
  <si>
    <t>CIcangkanghilir</t>
  </si>
  <si>
    <t>Aban Sobandi</t>
  </si>
  <si>
    <t>Wiwin Widanengsih</t>
  </si>
  <si>
    <t>DIGA44</t>
  </si>
  <si>
    <t>3217-LU-08052013-8511</t>
  </si>
  <si>
    <t>RAFI RAMDHAN</t>
  </si>
  <si>
    <t>KP CIJOHO</t>
  </si>
  <si>
    <t>HERMAN</t>
  </si>
  <si>
    <t>LIAH SARI</t>
  </si>
  <si>
    <t>8770/UMUM/2010</t>
  </si>
  <si>
    <t>Rienesa Fitria</t>
  </si>
  <si>
    <t>Eko Suhendi</t>
  </si>
  <si>
    <t>Susilawati</t>
  </si>
  <si>
    <t>7844/UMUM/2010</t>
  </si>
  <si>
    <t>Kp. Sukamulya</t>
  </si>
  <si>
    <t>AISYAH</t>
  </si>
  <si>
    <t>Yasa Pratama Al Firdaus</t>
  </si>
  <si>
    <t>Nanang</t>
  </si>
  <si>
    <t>Neneng Khotimah</t>
  </si>
  <si>
    <t>6764/UMUM/2010</t>
  </si>
  <si>
    <t>Pernah Drop Out</t>
  </si>
  <si>
    <t>Kp. Sirnagalih</t>
  </si>
  <si>
    <t>Sirnagalih</t>
  </si>
  <si>
    <t>APUDIN</t>
  </si>
  <si>
    <t>Rp. 2,000,000 - Rp. 4,999,999</t>
  </si>
  <si>
    <t>SITI HARYANTI</t>
  </si>
  <si>
    <t>ROHAYATUN</t>
  </si>
  <si>
    <t>MIS PERELAS</t>
  </si>
  <si>
    <t>Kp. Cimba</t>
  </si>
  <si>
    <t>RATNA WULAN HANDAYANI</t>
  </si>
  <si>
    <t>MIS CICANGKANGHILIR I</t>
  </si>
  <si>
    <t>Kp.Pasirpanjang</t>
  </si>
  <si>
    <t>Geri Wiliamsi Sobari</t>
  </si>
  <si>
    <t>NURIYAWATI</t>
  </si>
  <si>
    <t>INTAN FAZRIYAH MAULIDA</t>
  </si>
  <si>
    <t>KP. BABAKAN GERENDUNG</t>
  </si>
  <si>
    <t>BABAKAN GERENDUNG</t>
  </si>
  <si>
    <t>HILMAN</t>
  </si>
  <si>
    <t>NURAISAH</t>
  </si>
  <si>
    <t>3451/UMUM/2010</t>
  </si>
  <si>
    <t>YANA MULYANA</t>
  </si>
  <si>
    <t>SITI ROHIMAH</t>
  </si>
  <si>
    <t>4736/UMUM/2010</t>
  </si>
  <si>
    <t>Kartika Natalia Putri</t>
  </si>
  <si>
    <t>Kp. Sukamaju</t>
  </si>
  <si>
    <t>Abdul Mu'min</t>
  </si>
  <si>
    <t>Karminah</t>
  </si>
  <si>
    <t>DIGFMT</t>
  </si>
  <si>
    <t>39DOZE</t>
  </si>
  <si>
    <t>SD NEGERI PASIRPANJANG</t>
  </si>
  <si>
    <t>39dox840563005</t>
  </si>
  <si>
    <t>YUTRI</t>
  </si>
  <si>
    <t>3217-LT-02122013-0242</t>
  </si>
  <si>
    <t>Kp. Nagrak</t>
  </si>
  <si>
    <t>DIAH</t>
  </si>
  <si>
    <t>MIS BONGAS II</t>
  </si>
  <si>
    <t>M. Fauzi Aditia</t>
  </si>
  <si>
    <t>Kp. Cijoho</t>
  </si>
  <si>
    <t>Ida Rosida</t>
  </si>
  <si>
    <t>6371/UMUM/2010</t>
  </si>
  <si>
    <t>M. RANDY MAULANA</t>
  </si>
  <si>
    <t>YOYO SETIAWAN</t>
  </si>
  <si>
    <t>SURYANI</t>
  </si>
  <si>
    <t>65435/DISP/2011</t>
  </si>
  <si>
    <t>M. SALSA DENDHANA</t>
  </si>
  <si>
    <t>Kp. Bojongsempur</t>
  </si>
  <si>
    <t>Toto Hanafi</t>
  </si>
  <si>
    <t>AI NURSAADAH</t>
  </si>
  <si>
    <t>DIG7EV</t>
  </si>
  <si>
    <t>KP. CIBANTENG</t>
  </si>
  <si>
    <t>CIBANTENG</t>
  </si>
  <si>
    <t>DEDEN</t>
  </si>
  <si>
    <t>MULYANI</t>
  </si>
  <si>
    <t>Kp.Cipancur</t>
  </si>
  <si>
    <t>Asep Rapli</t>
  </si>
  <si>
    <t>Siti Nurpalah</t>
  </si>
  <si>
    <t>3203-LT-17062013-0024</t>
  </si>
  <si>
    <t>Muhamad Dias Saputra</t>
  </si>
  <si>
    <t>Dede Nurdin</t>
  </si>
  <si>
    <t>Siti Anissa</t>
  </si>
  <si>
    <t>DIEXEJ</t>
  </si>
  <si>
    <t>3217-LT-25052016-0025</t>
  </si>
  <si>
    <t>Muhamad Djeri Syaipuloh</t>
  </si>
  <si>
    <t>Jam Jam Nurjamil</t>
  </si>
  <si>
    <t>Teti Rasmawati</t>
  </si>
  <si>
    <t>5837/UMUM/2010</t>
  </si>
  <si>
    <t>Muhamad Nur Fadilah</t>
  </si>
  <si>
    <t>Dedi Darmadi</t>
  </si>
  <si>
    <t>Tita Rustiani</t>
  </si>
  <si>
    <t>9058/UMUM/2009</t>
  </si>
  <si>
    <t>KP. SIRNAGALIH</t>
  </si>
  <si>
    <t>SIRNAGALIH</t>
  </si>
  <si>
    <t>JEJEN</t>
  </si>
  <si>
    <t>WIDA MINTARSIH</t>
  </si>
  <si>
    <t>34093/DISPENSASI/2010</t>
  </si>
  <si>
    <t>Muhammad Andra Darmawan</t>
  </si>
  <si>
    <t>Wisnu Suyoso</t>
  </si>
  <si>
    <t>Fitri Yulianti</t>
  </si>
  <si>
    <t>5518/UMUM/2009</t>
  </si>
  <si>
    <t>39dpvt40563001</t>
  </si>
  <si>
    <t>U WAHYUDIN</t>
  </si>
  <si>
    <t>POPON LESTARI</t>
  </si>
  <si>
    <t>Muplihah Septi R.</t>
  </si>
  <si>
    <t>39d5or40562007</t>
  </si>
  <si>
    <t>Sopandi</t>
  </si>
  <si>
    <t>Asyah Samsiyah</t>
  </si>
  <si>
    <t>GHAX8A</t>
  </si>
  <si>
    <t>3217-LT-25052016-0024</t>
  </si>
  <si>
    <t>9791/UMUM/2010</t>
  </si>
  <si>
    <t>Nazmah Nurfadilah</t>
  </si>
  <si>
    <t>Budi Santosa</t>
  </si>
  <si>
    <t>Hera Purwati</t>
  </si>
  <si>
    <t>PL8EIK</t>
  </si>
  <si>
    <t>2795/ISTIMEWA/2011</t>
  </si>
  <si>
    <t>NAZMAH NURFADILAH</t>
  </si>
  <si>
    <t>Kp. Sawahlega</t>
  </si>
  <si>
    <t>Rahma Maulidina</t>
  </si>
  <si>
    <t>Bogor</t>
  </si>
  <si>
    <t>Sopian Nasor</t>
  </si>
  <si>
    <t>Ery Amiarsih</t>
  </si>
  <si>
    <t>Rasti Widi Setiawan</t>
  </si>
  <si>
    <t>Majalengka</t>
  </si>
  <si>
    <t>Usep Setiawan</t>
  </si>
  <si>
    <t>Yuli Widiawati</t>
  </si>
  <si>
    <t>SITI ANGGUN</t>
  </si>
  <si>
    <t>ADE RAHMAN</t>
  </si>
  <si>
    <t>YUYUN</t>
  </si>
  <si>
    <t>DIEWOL</t>
  </si>
  <si>
    <t>GVVVC3</t>
  </si>
  <si>
    <t>3217-LT-24102016-0175</t>
  </si>
  <si>
    <t>Siti Nuraeni</t>
  </si>
  <si>
    <t>39d56p40562001</t>
  </si>
  <si>
    <t>Asep</t>
  </si>
  <si>
    <t>Neng Wilda</t>
  </si>
  <si>
    <t>62350/DISP/2011</t>
  </si>
  <si>
    <t>Taufik Hidayat</t>
  </si>
  <si>
    <t>Kp.Sukamaju</t>
  </si>
  <si>
    <t>Dudu P</t>
  </si>
  <si>
    <t>Eha Julaeha</t>
  </si>
  <si>
    <t>DIGGKG</t>
  </si>
  <si>
    <t>AJUM</t>
  </si>
  <si>
    <t>NENENG</t>
  </si>
  <si>
    <t>DN-02/D-SD/K13/0071478</t>
  </si>
  <si>
    <t>Perum Gramapuri Persada Blok J.2/55</t>
  </si>
  <si>
    <t>Gramapuri Persada</t>
  </si>
  <si>
    <t>Sukajaya</t>
  </si>
  <si>
    <t>Kec. Cibitung</t>
  </si>
  <si>
    <t>Andri Manudin</t>
  </si>
  <si>
    <t>Nina Anggraeni</t>
  </si>
  <si>
    <t>3217-LT-26112013-0561</t>
  </si>
  <si>
    <t>Kp. Pasir Gempol</t>
  </si>
  <si>
    <t>DIDIN SURYANA</t>
  </si>
  <si>
    <t>ADE LISNAWATI</t>
  </si>
  <si>
    <t>3462/UMUM/2010</t>
  </si>
  <si>
    <t>PERUM LAKSANAMEKAR</t>
  </si>
  <si>
    <t>LAKSANAMEKAR</t>
  </si>
  <si>
    <t>Kec. Padalarang</t>
  </si>
  <si>
    <t>YUHANA</t>
  </si>
  <si>
    <t>USY SUSYLAWATI</t>
  </si>
  <si>
    <t>21567/ISTIMEWA/2010</t>
  </si>
  <si>
    <t>SD NEGERI 1 CIMERANG</t>
  </si>
  <si>
    <t>RANI</t>
  </si>
  <si>
    <t>Dewi Syifa Urrohman</t>
  </si>
  <si>
    <t>Kp. Neglasari</t>
  </si>
  <si>
    <t>39dqqj40563009</t>
  </si>
  <si>
    <t>Dasep</t>
  </si>
  <si>
    <t>Siti Syamsiah</t>
  </si>
  <si>
    <t>3217-LT-13112013-0045</t>
  </si>
  <si>
    <t>Kp. Sukamanah</t>
  </si>
  <si>
    <t>BADRIAH KOMALAWATI</t>
  </si>
  <si>
    <t>ENUR</t>
  </si>
  <si>
    <t>OKAY</t>
  </si>
  <si>
    <t>Lean Pauzia Apriliani</t>
  </si>
  <si>
    <t>KAB. BANDUNG BARAT</t>
  </si>
  <si>
    <t>JL. MAHMUD IV NO.402/65</t>
  </si>
  <si>
    <t>PAMOYANAN</t>
  </si>
  <si>
    <t>Kec. Cicendo</t>
  </si>
  <si>
    <t>U. SURYANA</t>
  </si>
  <si>
    <t>AI ROHMAWATI</t>
  </si>
  <si>
    <t>2883/UMUM/2010</t>
  </si>
  <si>
    <t>ANDI N</t>
  </si>
  <si>
    <t>LILIS ROHAETI</t>
  </si>
  <si>
    <t>DEDE NURMULYANAH</t>
  </si>
  <si>
    <t>Kp. Babakan</t>
  </si>
  <si>
    <t>ONENG</t>
  </si>
  <si>
    <t>M. FAZRI SALMAN AL FARIZI</t>
  </si>
  <si>
    <t>AJAT SUDRAJAT</t>
  </si>
  <si>
    <t>SITI AISAH</t>
  </si>
  <si>
    <t>M. RIZKI ARDIANSYAH</t>
  </si>
  <si>
    <t>Kp Seuseupan</t>
  </si>
  <si>
    <t>Ojak Sukmawansyah</t>
  </si>
  <si>
    <t>Wiwin Widaningsih</t>
  </si>
  <si>
    <t>5611/ISTIMEWA/2010</t>
  </si>
  <si>
    <t>Meylinda Putri</t>
  </si>
  <si>
    <t>Achmad Susanto</t>
  </si>
  <si>
    <t>Aidah</t>
  </si>
  <si>
    <t>Mira Zahripa</t>
  </si>
  <si>
    <t>Kp. Tanjung Sari</t>
  </si>
  <si>
    <t>Luki Lukman</t>
  </si>
  <si>
    <t>Nurhasanah</t>
  </si>
  <si>
    <t>8567/umum/2009</t>
  </si>
  <si>
    <t>KP. CITAMIANG</t>
  </si>
  <si>
    <t>CITAMIANG</t>
  </si>
  <si>
    <t>SUKAMULYA</t>
  </si>
  <si>
    <t>DANU MIHARTA</t>
  </si>
  <si>
    <t>ATIKAH</t>
  </si>
  <si>
    <t>PQG5BI</t>
  </si>
  <si>
    <t>GTYL5C</t>
  </si>
  <si>
    <t>ILOH</t>
  </si>
  <si>
    <t>Muhamad Fahmi Nugraha</t>
  </si>
  <si>
    <t>Sambas</t>
  </si>
  <si>
    <t>Ira Susmiati</t>
  </si>
  <si>
    <t>DIETYL</t>
  </si>
  <si>
    <t>39D5CE</t>
  </si>
  <si>
    <t>Kp. Cigandasoli</t>
  </si>
  <si>
    <t>AAN DARWATI</t>
  </si>
  <si>
    <t>KP. CIPERENG</t>
  </si>
  <si>
    <t>CIPERENG</t>
  </si>
  <si>
    <t>PENDI SOPANDI</t>
  </si>
  <si>
    <t>NURHAYATI</t>
  </si>
  <si>
    <t>43225/DISP/2011</t>
  </si>
  <si>
    <t>Muhammad Abdil Auva</t>
  </si>
  <si>
    <t>Asrudi Jaya</t>
  </si>
  <si>
    <t>Teti Rohaeti</t>
  </si>
  <si>
    <t>LALAH</t>
  </si>
  <si>
    <t>Sudah Meninggal</t>
  </si>
  <si>
    <t>Yatim Piatu/Panti Asuhan/Panti Sosial</t>
  </si>
  <si>
    <t>LIA IKA LESMANAWATI</t>
  </si>
  <si>
    <t>NELIS SULASTRI</t>
  </si>
  <si>
    <t>BABAKAN HEGARMANAH</t>
  </si>
  <si>
    <t>CIGONDEWAH KALER</t>
  </si>
  <si>
    <t>Kec. Bandung Kulon</t>
  </si>
  <si>
    <t>NENG EPON</t>
  </si>
  <si>
    <t>Ranti Rahmawati</t>
  </si>
  <si>
    <t>Kp. Cipeuteuy</t>
  </si>
  <si>
    <t>39dpdj40563006</t>
  </si>
  <si>
    <t>Rahman</t>
  </si>
  <si>
    <t>Tuti Astuti</t>
  </si>
  <si>
    <t>SD NEGERI 1 CICANGKANGHILIR</t>
  </si>
  <si>
    <t>Sahyra Nurul Fadilah</t>
  </si>
  <si>
    <t>39dpmj40563001</t>
  </si>
  <si>
    <t>Dadan Ramdani</t>
  </si>
  <si>
    <t>Eti Susilawati</t>
  </si>
  <si>
    <t>54966/DISP/2011</t>
  </si>
  <si>
    <t>KP. CITOLO</t>
  </si>
  <si>
    <t>CITOLO</t>
  </si>
  <si>
    <t>KURNIAWAN</t>
  </si>
  <si>
    <t>SITI YULIANTI</t>
  </si>
  <si>
    <t>Siti Nur Asyipa Ramadini</t>
  </si>
  <si>
    <t>Hendi Rohendi</t>
  </si>
  <si>
    <t>Neni</t>
  </si>
  <si>
    <t>SITI NUR WASILAH</t>
  </si>
  <si>
    <t>SUMARNI</t>
  </si>
  <si>
    <t>Kp. Sempur Bajeg</t>
  </si>
  <si>
    <t>ATIM</t>
  </si>
  <si>
    <t>MIS Bongas III</t>
  </si>
  <si>
    <t>Devi Rahayu</t>
  </si>
  <si>
    <t>Kp. Kebon Dalapan</t>
  </si>
  <si>
    <t>Elly</t>
  </si>
  <si>
    <t>3217-LT-10102017-1339</t>
  </si>
  <si>
    <t>PARMAN</t>
  </si>
  <si>
    <t>MARYANI</t>
  </si>
  <si>
    <t>3217-LT-02122013-0254</t>
  </si>
  <si>
    <t>MIS BONGAS III</t>
  </si>
  <si>
    <t>Kp. Liung Gunung</t>
  </si>
  <si>
    <t>Neglasari</t>
  </si>
  <si>
    <t>MELINDA</t>
  </si>
  <si>
    <t>KHALIQ RIZKI NURRIDWAN</t>
  </si>
  <si>
    <t>KP PASIRWARENG</t>
  </si>
  <si>
    <t>DEDIH</t>
  </si>
  <si>
    <t>ELAH</t>
  </si>
  <si>
    <t>DIG1T8</t>
  </si>
  <si>
    <t>LAELA HOERUNISA</t>
  </si>
  <si>
    <t>KP. GADING</t>
  </si>
  <si>
    <t>GADING</t>
  </si>
  <si>
    <t>CIJAMBU</t>
  </si>
  <si>
    <t>MIPTAHUL JANAH</t>
  </si>
  <si>
    <t>SITI AMINAH</t>
  </si>
  <si>
    <t>SD NEGERI 3 CIBENDA</t>
  </si>
  <si>
    <t>WASRIAH</t>
  </si>
  <si>
    <t>YANI</t>
  </si>
  <si>
    <t>ADAN</t>
  </si>
  <si>
    <t>LILIH</t>
  </si>
  <si>
    <t>Pw6gfk</t>
  </si>
  <si>
    <t>46414/DISP/2011</t>
  </si>
  <si>
    <t>MIMIN SUMINAR</t>
  </si>
  <si>
    <t>TANGERANG</t>
  </si>
  <si>
    <t>NENENG NENGSIH</t>
  </si>
  <si>
    <t>474.1/14520-DKCS/2009</t>
  </si>
  <si>
    <t>AI RATINI</t>
  </si>
  <si>
    <t>MIS PERLAS</t>
  </si>
  <si>
    <t>KP CIBEUREUM</t>
  </si>
  <si>
    <t>WAWAN</t>
  </si>
  <si>
    <t>AI HOTIMAH</t>
  </si>
  <si>
    <t>601/UMUM/2010</t>
  </si>
  <si>
    <t>SD NEGERI CIBEUREUM</t>
  </si>
  <si>
    <t>Muhamad Jaenal Arif</t>
  </si>
  <si>
    <t>Royani</t>
  </si>
  <si>
    <t>Aas Astuti</t>
  </si>
  <si>
    <t>3217-LT-02062016-0203</t>
  </si>
  <si>
    <t>Muhamad Parhan Afrian</t>
  </si>
  <si>
    <t>Kp.Cijeruk</t>
  </si>
  <si>
    <t>Cigedong</t>
  </si>
  <si>
    <t>Cintaasih</t>
  </si>
  <si>
    <t>Euis Rukmini</t>
  </si>
  <si>
    <t>49883/DISP/2011</t>
  </si>
  <si>
    <t>SD NEGERI PADAKATI</t>
  </si>
  <si>
    <t>Kp. Perelas 01/11</t>
  </si>
  <si>
    <t>AI LATIFAH</t>
  </si>
  <si>
    <t>Muhammad Rizky Aditya Permana</t>
  </si>
  <si>
    <t>Dang Dang</t>
  </si>
  <si>
    <t>Ade Hendrianti</t>
  </si>
  <si>
    <t>18400/ISTIMEWA/2010</t>
  </si>
  <si>
    <t>AYI MUDRIKAH</t>
  </si>
  <si>
    <t>ADE AOS</t>
  </si>
  <si>
    <t>AAN KARWATI</t>
  </si>
  <si>
    <t>21890/DISP/2011</t>
  </si>
  <si>
    <t>AI LINA</t>
  </si>
  <si>
    <t>SITI JULAEHA</t>
  </si>
  <si>
    <t>Neglasri</t>
  </si>
  <si>
    <t>Bunijaya</t>
  </si>
  <si>
    <t>Kec. Gununghalu</t>
  </si>
  <si>
    <t>IRAWATI</t>
  </si>
  <si>
    <t>MIS NEGLASARI</t>
  </si>
  <si>
    <t>Pahri Rahmat</t>
  </si>
  <si>
    <t>Kp. Cibaregbeg</t>
  </si>
  <si>
    <t>Ade Wawan</t>
  </si>
  <si>
    <t>Titin Supartini</t>
  </si>
  <si>
    <t>3217-LT-27052016-0130</t>
  </si>
  <si>
    <t>Rafka Firmansyah</t>
  </si>
  <si>
    <t>Ade Haris</t>
  </si>
  <si>
    <t>Ai Halimah</t>
  </si>
  <si>
    <t>PLTA SAGULING</t>
  </si>
  <si>
    <t>CIPASUNG</t>
  </si>
  <si>
    <t>NURDIN</t>
  </si>
  <si>
    <t>ENAR</t>
  </si>
  <si>
    <t>JASUM</t>
  </si>
  <si>
    <t>SUSI</t>
  </si>
  <si>
    <t>7534/UMUM/2009</t>
  </si>
  <si>
    <t>KASIMIN</t>
  </si>
  <si>
    <t>PATIMAH</t>
  </si>
  <si>
    <t>6518/ISTIMEWA/2011</t>
  </si>
  <si>
    <t>Otang</t>
  </si>
  <si>
    <t>KP. WARUNG AWI</t>
  </si>
  <si>
    <t>NAGRAK</t>
  </si>
  <si>
    <t>Kec. Cangkuang</t>
  </si>
  <si>
    <t>ANISAH</t>
  </si>
  <si>
    <t>14880/UMUM/2010</t>
  </si>
  <si>
    <t>INDUSTRI 2</t>
  </si>
  <si>
    <t>CIBODAS CAMPAKA</t>
  </si>
  <si>
    <t>UTAMA</t>
  </si>
  <si>
    <t>Kec. Cimahi Selatan</t>
  </si>
  <si>
    <t>HENDRA SAPUTRA</t>
  </si>
  <si>
    <t>WIWIN WINARTI</t>
  </si>
  <si>
    <t>3620/UMUM/2010</t>
  </si>
  <si>
    <t>Setiani Nuralifah</t>
  </si>
  <si>
    <t>Kp. Sukatani</t>
  </si>
  <si>
    <t>39dpi440563008</t>
  </si>
  <si>
    <t>Cecep Nurhayat</t>
  </si>
  <si>
    <t>Teti Susilawati</t>
  </si>
  <si>
    <t>3217-LT-23092014-0119</t>
  </si>
  <si>
    <t>Wildan Wisnutama</t>
  </si>
  <si>
    <t>Cucu Marlina</t>
  </si>
  <si>
    <t>5384/UMUM/2010</t>
  </si>
  <si>
    <t>Kp. Jalan Cagak</t>
  </si>
  <si>
    <t>Ayi Haryanto</t>
  </si>
  <si>
    <t>IDA FARIDA</t>
  </si>
  <si>
    <t>3217-LT-24102016/0008</t>
  </si>
  <si>
    <t>WINENGSIH</t>
  </si>
  <si>
    <t>Kp. Kebon Awi</t>
  </si>
  <si>
    <t>IDA ROSDIAH</t>
  </si>
  <si>
    <t>CICANKANGHILIR</t>
  </si>
  <si>
    <t>GUNAWAN</t>
  </si>
  <si>
    <t>Phe0bj</t>
  </si>
  <si>
    <t>39dqta40563001</t>
  </si>
  <si>
    <t>JAJANG</t>
  </si>
  <si>
    <t>IDA IRAWATI</t>
  </si>
  <si>
    <t>33380/DISP/2011</t>
  </si>
  <si>
    <t>Saepudin</t>
  </si>
  <si>
    <t>Tita Rosita</t>
  </si>
  <si>
    <t>4827/ISTIMEWA/2010</t>
  </si>
  <si>
    <t>Ilma</t>
  </si>
  <si>
    <t>39dp9g40563007</t>
  </si>
  <si>
    <t>Entis Sutisna</t>
  </si>
  <si>
    <t>Nuraeni</t>
  </si>
  <si>
    <t>DIELP1</t>
  </si>
  <si>
    <t>ILMA</t>
  </si>
  <si>
    <t>ROSMIATI</t>
  </si>
  <si>
    <t>ROHILAH</t>
  </si>
  <si>
    <t>39dovq40563007</t>
  </si>
  <si>
    <t>Ade Hendri</t>
  </si>
  <si>
    <t>Siti Kholifah</t>
  </si>
  <si>
    <t>8774/UMUM/2010</t>
  </si>
  <si>
    <t>Kp. Sukatengah</t>
  </si>
  <si>
    <t>Tanjung Jaya</t>
  </si>
  <si>
    <t>Kec. Cihampelas</t>
  </si>
  <si>
    <t>TITIM KHOTIMAH</t>
  </si>
  <si>
    <t>NURLELA</t>
  </si>
  <si>
    <t>Najla Nopiyanti</t>
  </si>
  <si>
    <t>39dp6y40563003</t>
  </si>
  <si>
    <t>Didin Mahmudin</t>
  </si>
  <si>
    <t>Ela Nurlaela</t>
  </si>
  <si>
    <t>DIEJVS</t>
  </si>
  <si>
    <t>3217-LT-04112016/0211</t>
  </si>
  <si>
    <t>Neng Salpa</t>
  </si>
  <si>
    <t>Agus Setiawan</t>
  </si>
  <si>
    <t>Nia Kusmiati</t>
  </si>
  <si>
    <t>NI'MA AULIA RAHMAH</t>
  </si>
  <si>
    <t>Kp. Seuseupan</t>
  </si>
  <si>
    <t>ENOK JULAEHA</t>
  </si>
  <si>
    <t>NINING SUSANTI</t>
  </si>
  <si>
    <t>KP MEKAR SALUYU</t>
  </si>
  <si>
    <t>SYAHRUL MU'ALI</t>
  </si>
  <si>
    <t>AAS SYAMSIAH</t>
  </si>
  <si>
    <t>7117/UMUM/2009</t>
  </si>
  <si>
    <t>SULISTINA AWALIYAH</t>
  </si>
  <si>
    <t>YETI BT HASAN</t>
  </si>
  <si>
    <t>Siti Mardiana</t>
  </si>
  <si>
    <t>Aan Muspira</t>
  </si>
  <si>
    <t>Dedeh Virdinia</t>
  </si>
  <si>
    <t>SITI NAZWATUL MUFIZAH</t>
  </si>
  <si>
    <t>KP BABAKAN</t>
  </si>
  <si>
    <t>SINDANGKERTA</t>
  </si>
  <si>
    <t>Kec. Sindangkerta</t>
  </si>
  <si>
    <t>39d12w40563008</t>
  </si>
  <si>
    <t>BADRI ARDIANSYAH</t>
  </si>
  <si>
    <t>LALAH SOLIHAT</t>
  </si>
  <si>
    <t>LENI HAYATI</t>
  </si>
  <si>
    <t>SITI NURIAH</t>
  </si>
  <si>
    <t>NENENG ROSIDAH</t>
  </si>
  <si>
    <t>SRI NURLATIFAH</t>
  </si>
  <si>
    <t>TASIKMALAYA</t>
  </si>
  <si>
    <t>MULUDIN</t>
  </si>
  <si>
    <t>SITI MULYATI</t>
  </si>
  <si>
    <t>229/Um/2010</t>
  </si>
  <si>
    <t>Vira Oktaviani</t>
  </si>
  <si>
    <t>Depok</t>
  </si>
  <si>
    <t>Mahendra Wijaya</t>
  </si>
  <si>
    <t>Karwati</t>
  </si>
  <si>
    <t>AL 6410088514</t>
  </si>
  <si>
    <t>Tatan Hermawan</t>
  </si>
  <si>
    <t>Santi Ningrum</t>
  </si>
  <si>
    <t>AL 953.0191350</t>
  </si>
  <si>
    <t>SD NEGERI PASIR PANJANG</t>
  </si>
  <si>
    <t>KP. BABAKAN</t>
  </si>
  <si>
    <t>BABAKAN</t>
  </si>
  <si>
    <t>DEDI RUSMANA</t>
  </si>
  <si>
    <t>IMAS MUSTIKA</t>
  </si>
  <si>
    <t>3217-LT-09092015-0206</t>
  </si>
  <si>
    <t>Pudin</t>
  </si>
  <si>
    <t>Ine</t>
  </si>
  <si>
    <t>DIGDPN</t>
  </si>
  <si>
    <t>EZZAR RAMDAN</t>
  </si>
  <si>
    <t>SD NEGERI HARAPAN JAYA</t>
  </si>
  <si>
    <t>Fauzan Al Fadil Nurislami</t>
  </si>
  <si>
    <t>Jl.PLTA Saguling</t>
  </si>
  <si>
    <t>Aep Saepudin</t>
  </si>
  <si>
    <t>Yanti Susanti</t>
  </si>
  <si>
    <t>4257/UMUM/2008</t>
  </si>
  <si>
    <t>Bahtiar</t>
  </si>
  <si>
    <t>Nurlaela</t>
  </si>
  <si>
    <t>5318/UMUM/2008</t>
  </si>
  <si>
    <t>Kp.KEBON DALAPAN</t>
  </si>
  <si>
    <t>RANCAPANGGUNG</t>
  </si>
  <si>
    <t>DIERT0</t>
  </si>
  <si>
    <t>ADE TARMUDIN</t>
  </si>
  <si>
    <t>LILIS LISNAWATI</t>
  </si>
  <si>
    <t>SD NEGERI 03 RANCAPANGGUNG</t>
  </si>
  <si>
    <t>Sugianto</t>
  </si>
  <si>
    <t>SD NEGERI PASIR BANTENG</t>
  </si>
  <si>
    <t>Jl. PLTA Saguling</t>
  </si>
  <si>
    <t>Agus Husen</t>
  </si>
  <si>
    <t>Rida Solihat</t>
  </si>
  <si>
    <t>3217-LT-03082015-0055</t>
  </si>
  <si>
    <t>Jakarta</t>
  </si>
  <si>
    <t>Kp. Pasirgempol</t>
  </si>
  <si>
    <t>YETU SUMYATI</t>
  </si>
  <si>
    <t>102/KL/01-JU/2015</t>
  </si>
  <si>
    <t>MI CICANGKANG HILIR 2</t>
  </si>
  <si>
    <t>Cianjur</t>
  </si>
  <si>
    <t>Campakamulya</t>
  </si>
  <si>
    <t>Kec. Campaka Mulya</t>
  </si>
  <si>
    <t>Asep Solehudin</t>
  </si>
  <si>
    <t>Sumiati</t>
  </si>
  <si>
    <t>Arifin</t>
  </si>
  <si>
    <t>Entin</t>
  </si>
  <si>
    <t>RZHW4W</t>
  </si>
  <si>
    <t>IRFPAN ARDILAH</t>
  </si>
  <si>
    <t>Tating Kartiwa</t>
  </si>
  <si>
    <t>Ida Parida</t>
  </si>
  <si>
    <t>3217-LT-10012014-0002</t>
  </si>
  <si>
    <t>SD NEGERI 01 CICANGKANG HILIR</t>
  </si>
  <si>
    <t>Kp. Warungawi</t>
  </si>
  <si>
    <t>NURYANA</t>
  </si>
  <si>
    <t>71542/DISP/2011</t>
  </si>
  <si>
    <t>MI BONGAS 2</t>
  </si>
  <si>
    <t>Yayan</t>
  </si>
  <si>
    <t>Siti Nurhayati</t>
  </si>
  <si>
    <t>6482/ISTIMEWA/2010</t>
  </si>
  <si>
    <t>CUCUN CUNAYA</t>
  </si>
  <si>
    <t>39dp0k40563003</t>
  </si>
  <si>
    <t>Deni</t>
  </si>
  <si>
    <t>Neneng Syarifah</t>
  </si>
  <si>
    <t>DIFWW2</t>
  </si>
  <si>
    <t>M ZIKRI ALFIANSYAH</t>
  </si>
  <si>
    <t>SUKAMANAH</t>
  </si>
  <si>
    <t>Kec. Paseh</t>
  </si>
  <si>
    <t>KOMARA</t>
  </si>
  <si>
    <t>DINI YULIANTI</t>
  </si>
  <si>
    <t>27.005/DISP/2010</t>
  </si>
  <si>
    <t>SD NEGERI SUKAMANAH</t>
  </si>
  <si>
    <t>Kp Babakan 003/006</t>
  </si>
  <si>
    <t>Sindangkerta</t>
  </si>
  <si>
    <t>Ahmad Sanusi</t>
  </si>
  <si>
    <t>Ai Kurniawati</t>
  </si>
  <si>
    <t>SD NEGERI PASIR AJAG</t>
  </si>
  <si>
    <t>MUHAMAD AL HAIKAL</t>
  </si>
  <si>
    <t>KP. BUNIJAYA</t>
  </si>
  <si>
    <t>CINTAKARYA</t>
  </si>
  <si>
    <t>SUPARMAN</t>
  </si>
  <si>
    <t>NIA KURNIA</t>
  </si>
  <si>
    <t>DN-02/D-SD/13/0612504</t>
  </si>
  <si>
    <t>3217-LT-03102013-0005</t>
  </si>
  <si>
    <t>Kp. Tanjungsari</t>
  </si>
  <si>
    <t>Suparman</t>
  </si>
  <si>
    <t>Putus SD</t>
  </si>
  <si>
    <t>Yanti Marwati</t>
  </si>
  <si>
    <t>AL 9530001863</t>
  </si>
  <si>
    <t>YENI ANGGRAENI</t>
  </si>
  <si>
    <t>Kp Pasirwareng</t>
  </si>
  <si>
    <t>39don540563001</t>
  </si>
  <si>
    <t>Cecep Kuswara</t>
  </si>
  <si>
    <t>39DON5</t>
  </si>
  <si>
    <t>PB3VC5</t>
  </si>
  <si>
    <t>Said Musayab</t>
  </si>
  <si>
    <t>Yanti</t>
  </si>
  <si>
    <t>NADILA ZIHARA</t>
  </si>
  <si>
    <t>39d59n40562002</t>
  </si>
  <si>
    <t>Uman Suryana</t>
  </si>
  <si>
    <t>Rinawati</t>
  </si>
  <si>
    <t>39D59N</t>
  </si>
  <si>
    <t>3217-LT-300520014-0008</t>
  </si>
  <si>
    <t>Ade Irpan Rusmawan</t>
  </si>
  <si>
    <t>Lia Yuliani</t>
  </si>
  <si>
    <t>5500/UMUM/2009</t>
  </si>
  <si>
    <t>PNS/TNI/Polri</t>
  </si>
  <si>
    <t>KP. CIJENUK</t>
  </si>
  <si>
    <t>CIJENUK</t>
  </si>
  <si>
    <t>DIFHSO</t>
  </si>
  <si>
    <t>OKIB</t>
  </si>
  <si>
    <t>MASRIAH</t>
  </si>
  <si>
    <t>AL. 6250389740</t>
  </si>
  <si>
    <t>Sudah Mampu</t>
  </si>
  <si>
    <t>Kp.SELAGOMBONG</t>
  </si>
  <si>
    <t>CINAGROG</t>
  </si>
  <si>
    <t>ENCE</t>
  </si>
  <si>
    <t>ETI</t>
  </si>
  <si>
    <t>3217-LT-11032014-0057</t>
  </si>
  <si>
    <t>Kp.CIBEUREUM</t>
  </si>
  <si>
    <t>OJAK ABDUL ROJAK</t>
  </si>
  <si>
    <t>DADANG</t>
  </si>
  <si>
    <t>ONENG SITI MARIAM</t>
  </si>
  <si>
    <t>3217/LT/12092017-2900</t>
  </si>
  <si>
    <t>Suhendar</t>
  </si>
  <si>
    <t>MUHAMAD AGUS KAMALUDIN</t>
  </si>
  <si>
    <t>IIM MARYANI</t>
  </si>
  <si>
    <t>6334/UMUM/2008</t>
  </si>
  <si>
    <t>IWAN</t>
  </si>
  <si>
    <t>TITIN ROSTINI</t>
  </si>
  <si>
    <t>Roni Sahroni</t>
  </si>
  <si>
    <t>Siti Daniati</t>
  </si>
  <si>
    <t>AGNIA DINAR MUSTAQIMAH</t>
  </si>
  <si>
    <t>Kp. Perelas 03/07</t>
  </si>
  <si>
    <t>YENI MARYANI</t>
  </si>
  <si>
    <t>39dqn040563005</t>
  </si>
  <si>
    <t>ENGKOS KOSWARA</t>
  </si>
  <si>
    <t>39DQN0</t>
  </si>
  <si>
    <t>39d5mg40562002</t>
  </si>
  <si>
    <t>Maman</t>
  </si>
  <si>
    <t>Iyam Yuningsih</t>
  </si>
  <si>
    <t>DIESSQ</t>
  </si>
  <si>
    <t>39D5MG</t>
  </si>
  <si>
    <t>62400/DISP/2011</t>
  </si>
  <si>
    <t>AI ILFA NURUL SYIFA</t>
  </si>
  <si>
    <t>DEDE IKIN</t>
  </si>
  <si>
    <t>NONENG</t>
  </si>
  <si>
    <t>3217-LT-09112016-0186</t>
  </si>
  <si>
    <t>Kp. Cibungur 02/13</t>
  </si>
  <si>
    <t>SUKAESIH</t>
  </si>
  <si>
    <t>5374/UMUM/2008</t>
  </si>
  <si>
    <t>Abdul Rohim</t>
  </si>
  <si>
    <t>Kp. NAGRAK</t>
  </si>
  <si>
    <t>KUSMIATI</t>
  </si>
  <si>
    <t>9574/ISTIMEWA/2010</t>
  </si>
  <si>
    <t>Kp. Pasir Panjang</t>
  </si>
  <si>
    <t>KP. PASIRPANJANG</t>
  </si>
  <si>
    <t>PASIRPANJANG</t>
  </si>
  <si>
    <t>ASEP BAKTI FIRMANSAH</t>
  </si>
  <si>
    <t>RISDO MARLINA PURBA</t>
  </si>
  <si>
    <t>3217-LT02052016-0279</t>
  </si>
  <si>
    <t>Aang Buldan</t>
  </si>
  <si>
    <t>Tita Rostiawati</t>
  </si>
  <si>
    <t>2240/UMUM/2009</t>
  </si>
  <si>
    <t>Kp.PASIRPANJANG</t>
  </si>
  <si>
    <t>39d47w40562009</t>
  </si>
  <si>
    <t>RONNY PUJIARTONO</t>
  </si>
  <si>
    <t>YUNANINGSIH</t>
  </si>
  <si>
    <t>6593/UMUM/2009</t>
  </si>
  <si>
    <t>Samsiah</t>
  </si>
  <si>
    <t>3217-LT-05122013-0298</t>
  </si>
  <si>
    <t>ILIN SETIABUDI</t>
  </si>
  <si>
    <t>YATI NURHAYATI</t>
  </si>
  <si>
    <t>711/UMUM/2009</t>
  </si>
  <si>
    <t>370z3z12430a05</t>
  </si>
  <si>
    <t>Tugiman</t>
  </si>
  <si>
    <t>Uum</t>
  </si>
  <si>
    <t>24.695/UMUM/2007</t>
  </si>
  <si>
    <t>Pirmansah</t>
  </si>
  <si>
    <t>Pedagang Besar</t>
  </si>
  <si>
    <t>Risa Halimatu Sadiah</t>
  </si>
  <si>
    <t>Kp.Pasir Gempol</t>
  </si>
  <si>
    <t>Mobil pribadi</t>
  </si>
  <si>
    <t>39dot840563002</t>
  </si>
  <si>
    <t>ARI HIDAYAT NURWAHID</t>
  </si>
  <si>
    <t>SITI SADIAH</t>
  </si>
  <si>
    <t>DEDE SETIAWAN</t>
  </si>
  <si>
    <t>S2</t>
  </si>
  <si>
    <t>LILIS SYAADAH</t>
  </si>
  <si>
    <t>DEWI SUSANTI</t>
  </si>
  <si>
    <t>3217-Lt-03082015-0171</t>
  </si>
  <si>
    <t>Apun</t>
  </si>
  <si>
    <t>Erah Herawati</t>
  </si>
  <si>
    <t>Cecep Pathudin</t>
  </si>
  <si>
    <t>Maryanah</t>
  </si>
  <si>
    <t>LISNAWATI</t>
  </si>
  <si>
    <t>NURELALAH</t>
  </si>
  <si>
    <t>Kp Bojongsempur</t>
  </si>
  <si>
    <t>PRMXOC</t>
  </si>
  <si>
    <t>K. Saepuloh</t>
  </si>
  <si>
    <t>Heni Marlia</t>
  </si>
  <si>
    <t>Kp. Pasir Batu 02/08</t>
  </si>
  <si>
    <t>Cicangkang hilir</t>
  </si>
  <si>
    <t>RENI ROHAENI</t>
  </si>
  <si>
    <t>3502/UMUM/2008</t>
  </si>
  <si>
    <t>Kp.KEBONDALAPAN</t>
  </si>
  <si>
    <t>TOHIR</t>
  </si>
  <si>
    <t>TATI</t>
  </si>
  <si>
    <t>3217-LT-04022015-0145</t>
  </si>
  <si>
    <t>DIEIZF</t>
  </si>
  <si>
    <t>RATIM</t>
  </si>
  <si>
    <t>DEWI SARTIKA</t>
  </si>
  <si>
    <t>39D4QJ</t>
  </si>
  <si>
    <t>Harsa</t>
  </si>
  <si>
    <t>Wanah Nurhasanah</t>
  </si>
  <si>
    <t>Kp.Cijambe</t>
  </si>
  <si>
    <t>Cijambe</t>
  </si>
  <si>
    <t>39doxe40563006</t>
  </si>
  <si>
    <t>MEMEN</t>
  </si>
  <si>
    <t>8024/UMUM/2009</t>
  </si>
  <si>
    <t>Kp. Perelas 03/06</t>
  </si>
  <si>
    <t>TUTI SUMYATI</t>
  </si>
  <si>
    <t>ALI HIDAYAT</t>
  </si>
  <si>
    <t>CICI HERAWATI</t>
  </si>
  <si>
    <t>6871/UNUM/2009</t>
  </si>
  <si>
    <t>39doxf40563001</t>
  </si>
  <si>
    <t>Yoyo Setiawan</t>
  </si>
  <si>
    <t>Suryani</t>
  </si>
  <si>
    <t>NENDEN AYU</t>
  </si>
  <si>
    <t>Agus Gunawan</t>
  </si>
  <si>
    <t>Ema Sukmawati</t>
  </si>
  <si>
    <t>1252/UMUM/2009</t>
  </si>
  <si>
    <t>Jl. Pasirtugu</t>
  </si>
  <si>
    <t>RPL67V</t>
  </si>
  <si>
    <t>Saron</t>
  </si>
  <si>
    <t>40884/DISP/2011</t>
  </si>
  <si>
    <t>SALSABILA AGUSTINA</t>
  </si>
  <si>
    <t>USUP SUPRIADI</t>
  </si>
  <si>
    <t>SUMINAR</t>
  </si>
  <si>
    <t>bongAS</t>
  </si>
  <si>
    <t>39d5de40562006</t>
  </si>
  <si>
    <t>Burhan</t>
  </si>
  <si>
    <t>Dewi</t>
  </si>
  <si>
    <t>G7U53H</t>
  </si>
  <si>
    <t>AL 9530336385</t>
  </si>
  <si>
    <t>Cibungur</t>
  </si>
  <si>
    <t>ATIH</t>
  </si>
  <si>
    <t>NENENG S</t>
  </si>
  <si>
    <t>3217-LT-20082014-0211</t>
  </si>
  <si>
    <t>Kp. Sukamanah 01/05</t>
  </si>
  <si>
    <t>MARLIAH SAWITRI</t>
  </si>
  <si>
    <t>27504/UMUM/2008</t>
  </si>
  <si>
    <t>Debi Fermana</t>
  </si>
  <si>
    <t>Yeni Nuraeni</t>
  </si>
  <si>
    <t>Rachman Ali</t>
  </si>
  <si>
    <t>Yuli Yuniarti</t>
  </si>
  <si>
    <t>T14A83</t>
  </si>
  <si>
    <t>K22RCX</t>
  </si>
  <si>
    <t>10542/DISP/2011</t>
  </si>
  <si>
    <t>ANDRAYUDHA LINTANG MAHARDHIKA</t>
  </si>
  <si>
    <t>Kp. Pasir Nangka</t>
  </si>
  <si>
    <t>T19LYA</t>
  </si>
  <si>
    <t>Aju</t>
  </si>
  <si>
    <t>Lilis Supriatin</t>
  </si>
  <si>
    <t>ANISA AMELIA PUTRI</t>
  </si>
  <si>
    <t>Budi Pathurizal</t>
  </si>
  <si>
    <t>Reni Kurniasih</t>
  </si>
  <si>
    <t>AGUS NURJAMAN</t>
  </si>
  <si>
    <t>YUYUN YUNINGSIH</t>
  </si>
  <si>
    <t>3217-LT-28052016-0060</t>
  </si>
  <si>
    <t>LIS DIAN RENITA</t>
  </si>
  <si>
    <t>Kp. Ciniti</t>
  </si>
  <si>
    <t>3217-LT-09112016-0187</t>
  </si>
  <si>
    <t>Agus koswara</t>
  </si>
  <si>
    <t>Ihat Solihat</t>
  </si>
  <si>
    <t>AL. 953.0105514</t>
  </si>
  <si>
    <t>Kp. Warung</t>
  </si>
  <si>
    <t>Ade Sodikin</t>
  </si>
  <si>
    <t>Eli Nurhayati</t>
  </si>
  <si>
    <t>39doyc40563009</t>
  </si>
  <si>
    <t>ANDI DADANG NURJAMAN</t>
  </si>
  <si>
    <t>DEDE PATIMAH</t>
  </si>
  <si>
    <t>59078/DISP/2011</t>
  </si>
  <si>
    <t>Jenal Abidin</t>
  </si>
  <si>
    <t>Iah</t>
  </si>
  <si>
    <t>3217-LT-07062016-0072</t>
  </si>
  <si>
    <t>Iwan Setiawan</t>
  </si>
  <si>
    <t>Anggi</t>
  </si>
  <si>
    <t>IMAN</t>
  </si>
  <si>
    <t>DEWI SURYATI</t>
  </si>
  <si>
    <t>EUIS</t>
  </si>
  <si>
    <t>ASEP SUPARMAN</t>
  </si>
  <si>
    <t>EULIS WULANDARI</t>
  </si>
  <si>
    <t>6868/UMUM/2008</t>
  </si>
  <si>
    <t>Cijoho</t>
  </si>
  <si>
    <t>Ira Rosmiati</t>
  </si>
  <si>
    <t>T59E96</t>
  </si>
  <si>
    <t>LAISA AULIA YUNI NURLAILA</t>
  </si>
  <si>
    <t>Kp Bojongsempur 002/005</t>
  </si>
  <si>
    <t>RIAWJJ</t>
  </si>
  <si>
    <t>Ade Ginanjar</t>
  </si>
  <si>
    <t>AMUNG SUPRIADI</t>
  </si>
  <si>
    <t>AI SARSIH</t>
  </si>
  <si>
    <t>39d4tg40562005</t>
  </si>
  <si>
    <t>JANA</t>
  </si>
  <si>
    <t>TINI</t>
  </si>
  <si>
    <t>3217-LT-06032017-0299</t>
  </si>
  <si>
    <t>Ade Zaenal Irawan</t>
  </si>
  <si>
    <t>Titin Supriyatin</t>
  </si>
  <si>
    <t>Kp. Sukamulya 04/06</t>
  </si>
  <si>
    <t>SRI WIJAYATI</t>
  </si>
  <si>
    <t>3217-LT-04082016-0115</t>
  </si>
  <si>
    <t>Jl. SUkatani</t>
  </si>
  <si>
    <t>Cililin</t>
  </si>
  <si>
    <t>NENG</t>
  </si>
  <si>
    <t>Kp. Sukamulya 02/06</t>
  </si>
  <si>
    <t>SAHIDIN</t>
  </si>
  <si>
    <t>MARYATI</t>
  </si>
  <si>
    <t>5521/UMUM/2009</t>
  </si>
  <si>
    <t>Kp. Pasirbatu</t>
  </si>
  <si>
    <t>3217-LT-18112015-0168</t>
  </si>
  <si>
    <t>MI CICANGKANG HILIR 02</t>
  </si>
  <si>
    <t>MIS MUSLIMIN PERELAS</t>
  </si>
  <si>
    <t>Parli</t>
  </si>
  <si>
    <t>Roroh</t>
  </si>
  <si>
    <t>Cicanangkanghilir</t>
  </si>
  <si>
    <t>39dozg40563001</t>
  </si>
  <si>
    <t>Tendi Sutisna</t>
  </si>
  <si>
    <t>Suntirah</t>
  </si>
  <si>
    <t>EMAN SUTISNA</t>
  </si>
  <si>
    <t>MAYA</t>
  </si>
  <si>
    <t>3217-LT-20012016-0180</t>
  </si>
  <si>
    <t>Cipondoh Makmur</t>
  </si>
  <si>
    <t>Kec. Cipondoh</t>
  </si>
  <si>
    <t>Khusaeni</t>
  </si>
  <si>
    <t>Puji Astuti</t>
  </si>
  <si>
    <t>LINDA</t>
  </si>
  <si>
    <t>65917/DISP/2011</t>
  </si>
  <si>
    <t>Udung</t>
  </si>
  <si>
    <t>Enung</t>
  </si>
  <si>
    <t>3217-LT-25052016-0008</t>
  </si>
  <si>
    <t>Jl. Psirtugu</t>
  </si>
  <si>
    <t>39d5iz40562007/RRF2QP</t>
  </si>
  <si>
    <t>Rusman</t>
  </si>
  <si>
    <t>39D5IZ</t>
  </si>
  <si>
    <t>3217-LT-09122013-0194</t>
  </si>
  <si>
    <t>39d48240562000</t>
  </si>
  <si>
    <t>DUDU</t>
  </si>
  <si>
    <t>RENI HADIANTINI</t>
  </si>
  <si>
    <t>P3B1QO</t>
  </si>
  <si>
    <t>6549/UMUM/2008</t>
  </si>
  <si>
    <t>IWAN SETIAWAN</t>
  </si>
  <si>
    <t>RESMI SUMIATI</t>
  </si>
  <si>
    <t>10545/ISTIMEWA/2010</t>
  </si>
  <si>
    <t>WAWAN SETIAWAN</t>
  </si>
  <si>
    <t>UNI SHOVIA FEBRIANTI</t>
  </si>
  <si>
    <t>3217-LT-07102013-0133</t>
  </si>
  <si>
    <t>Kp. Cibungur 04/13</t>
  </si>
  <si>
    <t>Imroh Maulana</t>
  </si>
  <si>
    <t>IIM ROHIMAH</t>
  </si>
  <si>
    <t>10464/DISP/2011</t>
  </si>
  <si>
    <t>JLN. RAWA BAMBU</t>
  </si>
  <si>
    <t>KALI BARU</t>
  </si>
  <si>
    <t>Kec. Medan Satria</t>
  </si>
  <si>
    <t>MARLINA ANGGRAENI</t>
  </si>
  <si>
    <t>3300/I/JB/2010</t>
  </si>
  <si>
    <t>Kp. Warungawi 03/07</t>
  </si>
  <si>
    <t>SURYATI</t>
  </si>
  <si>
    <t>9330//JU/KL/2009</t>
  </si>
  <si>
    <t>Kp. Cibandung 02/07</t>
  </si>
  <si>
    <t>Dadan Hermawan</t>
  </si>
  <si>
    <t>JAMILAH</t>
  </si>
  <si>
    <t>6551/ISTIMEWA/2010</t>
  </si>
  <si>
    <t>39dpowya563011</t>
  </si>
  <si>
    <t>UKAS</t>
  </si>
  <si>
    <t>IHAT</t>
  </si>
  <si>
    <t>GOon3c</t>
  </si>
  <si>
    <t>Kp. PASIRPANJANG</t>
  </si>
  <si>
    <t>ANDRI SUGIARTO</t>
  </si>
  <si>
    <t>D1</t>
  </si>
  <si>
    <t>TRESNA EKAWATI</t>
  </si>
  <si>
    <t>3588/UMUM/2009</t>
  </si>
  <si>
    <t>RCQ0AA</t>
  </si>
  <si>
    <t>Amir</t>
  </si>
  <si>
    <t>Isoh</t>
  </si>
  <si>
    <t>BAKTI PERMANA</t>
  </si>
  <si>
    <t>Kp.Pasir Buntu</t>
  </si>
  <si>
    <t>39da49405630005</t>
  </si>
  <si>
    <t>JENAL AHYAR</t>
  </si>
  <si>
    <t>SRI MURNIYATI</t>
  </si>
  <si>
    <t>3066/UMUM/2010</t>
  </si>
  <si>
    <t>22.23.07.233</t>
  </si>
  <si>
    <t>Gg. Budiman</t>
  </si>
  <si>
    <t>Ciroyom</t>
  </si>
  <si>
    <t>Kec. Andir</t>
  </si>
  <si>
    <t>Atomi Muhammad Sopian</t>
  </si>
  <si>
    <t>Siti Maryam</t>
  </si>
  <si>
    <t>47823/DISPENSASI/2011</t>
  </si>
  <si>
    <t>SMP PGRI PASIR JAMBU</t>
  </si>
  <si>
    <t>PARDI SUPARDI</t>
  </si>
  <si>
    <t>SUMYATI</t>
  </si>
  <si>
    <t>RO442P</t>
  </si>
  <si>
    <t>GEV2VI</t>
  </si>
  <si>
    <t>3217-LT-17092015-0075</t>
  </si>
  <si>
    <t>Kp. Nagrak 03/12</t>
  </si>
  <si>
    <t>NENEH SAHARIAH</t>
  </si>
  <si>
    <t>1432/ISTIMEWA/2010</t>
  </si>
  <si>
    <t>Enok</t>
  </si>
  <si>
    <t>Kp. Sukamanah 02/05</t>
  </si>
  <si>
    <t>HARIS</t>
  </si>
  <si>
    <t>OPI NURAENI</t>
  </si>
  <si>
    <t>16102/IST/2009</t>
  </si>
  <si>
    <t>ASIH</t>
  </si>
  <si>
    <t>1741/UMUM/2009</t>
  </si>
  <si>
    <t>NUR LAELA</t>
  </si>
  <si>
    <t>Yudistira Ahmad Fauzi</t>
  </si>
  <si>
    <t>EMMY MAHMUDAH</t>
  </si>
  <si>
    <t>2651/KLT/MENDAGRI/JS/2011</t>
  </si>
  <si>
    <t>EMA RAHMAWATI</t>
  </si>
  <si>
    <t>Kp. Cinagrog 01/09</t>
  </si>
  <si>
    <t>RENI SETIAWAN</t>
  </si>
  <si>
    <t>3217-LT-22112013-0026</t>
  </si>
  <si>
    <t>T5NOFV</t>
  </si>
  <si>
    <t>AA HENDRIAWAN</t>
  </si>
  <si>
    <t>SITI HAMIDAH</t>
  </si>
  <si>
    <t>3217-LT-18122015-0103</t>
  </si>
  <si>
    <t>JL BUARAN</t>
  </si>
  <si>
    <t>KLENDER</t>
  </si>
  <si>
    <t>Kec. Duren Sawit</t>
  </si>
  <si>
    <t>R99OZK</t>
  </si>
  <si>
    <t>NINIK SUTIANAH</t>
  </si>
  <si>
    <t>Kp. Kandang Sapi</t>
  </si>
  <si>
    <t>Ojek</t>
  </si>
  <si>
    <t>Firman</t>
  </si>
  <si>
    <t>Erna</t>
  </si>
  <si>
    <t>RMCVOI</t>
  </si>
  <si>
    <t>Muhammad Wawan Sudrajat</t>
  </si>
  <si>
    <t>Kurniawati</t>
  </si>
  <si>
    <t>IT6RDR</t>
  </si>
  <si>
    <t>MUHAMMAD ABDUL MUIZ</t>
  </si>
  <si>
    <t>Sutriman</t>
  </si>
  <si>
    <t>ADE ROSITA</t>
  </si>
  <si>
    <t>MI-13 100084271</t>
  </si>
  <si>
    <t>6981/UMUM/2009</t>
  </si>
  <si>
    <t>MIS Bongas II</t>
  </si>
  <si>
    <t>Kuningan</t>
  </si>
  <si>
    <t>Gg. Pak Elas IX No. 130</t>
  </si>
  <si>
    <t>Cipedes</t>
  </si>
  <si>
    <t>Kec. Sukajadi</t>
  </si>
  <si>
    <t>Suryana</t>
  </si>
  <si>
    <t>Arini</t>
  </si>
  <si>
    <t>751/U/2009</t>
  </si>
  <si>
    <t>Kp. Cibanas</t>
  </si>
  <si>
    <t>Esih Sumarni</t>
  </si>
  <si>
    <t>HERNI</t>
  </si>
  <si>
    <t>52486/DISP/2011</t>
  </si>
  <si>
    <t>39d4y140562007</t>
  </si>
  <si>
    <t>Budi</t>
  </si>
  <si>
    <t>Nia Kurniawati</t>
  </si>
  <si>
    <t>Yusup Sutisna</t>
  </si>
  <si>
    <t>RRONGS</t>
  </si>
  <si>
    <t>YAYAT SUPRIATNA</t>
  </si>
  <si>
    <t>EROS</t>
  </si>
  <si>
    <t>Jajang Suhendar</t>
  </si>
  <si>
    <t>Ade Nurina</t>
  </si>
  <si>
    <t>39dp1v40563005</t>
  </si>
  <si>
    <t>Jaelani</t>
  </si>
  <si>
    <t>Yuliawati</t>
  </si>
  <si>
    <t>SAEHUDIN</t>
  </si>
  <si>
    <t>ELIS LUFI</t>
  </si>
  <si>
    <t>Peternak</t>
  </si>
  <si>
    <t>SDN CITALEM</t>
  </si>
  <si>
    <t>RENI</t>
  </si>
  <si>
    <t>Basar</t>
  </si>
  <si>
    <t>Ani Rostini</t>
  </si>
  <si>
    <t>DIETRJ</t>
  </si>
  <si>
    <t>HOLIDIN</t>
  </si>
  <si>
    <t>IIS SUMIYATI</t>
  </si>
  <si>
    <t>3217-LT-06032017-0303</t>
  </si>
  <si>
    <t>Kp. Pasirbuntu 02/08</t>
  </si>
  <si>
    <t>INTAN AMELIA</t>
  </si>
  <si>
    <t>58928/DISP/2011</t>
  </si>
  <si>
    <t>Kp. Gombong RT/RW 003/005</t>
  </si>
  <si>
    <t>BAMBANG</t>
  </si>
  <si>
    <t>Triyani Sari</t>
  </si>
  <si>
    <t>Jejen Jaelani</t>
  </si>
  <si>
    <t>Iim</t>
  </si>
  <si>
    <t>35467/DISP/2011</t>
  </si>
  <si>
    <t>TOTO SUHENDAR</t>
  </si>
  <si>
    <t>UPIT</t>
  </si>
  <si>
    <t>AIDAH</t>
  </si>
  <si>
    <t>MI-13 100084517</t>
  </si>
  <si>
    <t>MIS MUSLIMIN PERLAS</t>
  </si>
  <si>
    <t>KP. GERENDUNG</t>
  </si>
  <si>
    <t>GERENDUNG</t>
  </si>
  <si>
    <t>39dq6L40563001</t>
  </si>
  <si>
    <t>ASEP SENTOSA</t>
  </si>
  <si>
    <t>RASMINIK</t>
  </si>
  <si>
    <t>43124/DISP/2011</t>
  </si>
  <si>
    <t>Kp.NAGRAK</t>
  </si>
  <si>
    <t>BONGAS</t>
  </si>
  <si>
    <t>ASEP DINDIN SUBARNA</t>
  </si>
  <si>
    <t>SITI PARIDAH</t>
  </si>
  <si>
    <t>6739/ISTIMEWA/2009</t>
  </si>
  <si>
    <t>Kp. Kebonawi</t>
  </si>
  <si>
    <t>EUIS ROHMAH</t>
  </si>
  <si>
    <t>Agus Sopian</t>
  </si>
  <si>
    <t>Nani</t>
  </si>
  <si>
    <t>AL 9530006203</t>
  </si>
  <si>
    <t>Aceng</t>
  </si>
  <si>
    <t>LIA NURJANAH</t>
  </si>
  <si>
    <t>3217-LT-27092017-2223</t>
  </si>
  <si>
    <t>Kp Cigalunggung</t>
  </si>
  <si>
    <t>39dp6t40563006</t>
  </si>
  <si>
    <t>Komarudin</t>
  </si>
  <si>
    <t>Siti Nurjanah</t>
  </si>
  <si>
    <t>DIF2NU</t>
  </si>
  <si>
    <t>23372/DISP/2011</t>
  </si>
  <si>
    <t>JUANDIKA PRASETIA</t>
  </si>
  <si>
    <t>Taryana</t>
  </si>
  <si>
    <t>Teti</t>
  </si>
  <si>
    <t>39dpam40563005</t>
  </si>
  <si>
    <t>Apid</t>
  </si>
  <si>
    <t>Emay</t>
  </si>
  <si>
    <t>39DPAM</t>
  </si>
  <si>
    <t>PCMJ5H</t>
  </si>
  <si>
    <t>Mudin</t>
  </si>
  <si>
    <t>DEDE SUHERMAN</t>
  </si>
  <si>
    <t>IDA MUSLIHAT</t>
  </si>
  <si>
    <t>1253/UMUM/2009</t>
  </si>
  <si>
    <t>Kp. Liunggunung</t>
  </si>
  <si>
    <t>IRMA NURMALIAH</t>
  </si>
  <si>
    <t>WIWIN WINASARI</t>
  </si>
  <si>
    <t>35494/DISP/2011</t>
  </si>
  <si>
    <t>PEBR1V</t>
  </si>
  <si>
    <t>Abdulah Rosidin</t>
  </si>
  <si>
    <t>Enong Fatimah</t>
  </si>
  <si>
    <t>Ayi Jahidin</t>
  </si>
  <si>
    <t>Maryati</t>
  </si>
  <si>
    <t>Momon</t>
  </si>
  <si>
    <t>AL.637.0452326</t>
  </si>
  <si>
    <t>Sulaeman</t>
  </si>
  <si>
    <t>Kp,PASIRPANJANG</t>
  </si>
  <si>
    <t>DIF0AR</t>
  </si>
  <si>
    <t>YAYAN SUDARMAN</t>
  </si>
  <si>
    <t>TARLIA</t>
  </si>
  <si>
    <t>Kp. Cibungur 01/13</t>
  </si>
  <si>
    <t>POPON</t>
  </si>
  <si>
    <t>6384/UMUM/2008</t>
  </si>
  <si>
    <t>Anda Saepudin</t>
  </si>
  <si>
    <t>Dadah Nuraida</t>
  </si>
  <si>
    <t>Dadan Sutisna</t>
  </si>
  <si>
    <t>Ia Mudoriah</t>
  </si>
  <si>
    <t>DN-02/D-SD/K13/0072435</t>
  </si>
  <si>
    <t>1926/UMUM/2009</t>
  </si>
  <si>
    <t>Kp.PASIRWARENG</t>
  </si>
  <si>
    <t>CICANGKANG HILIR</t>
  </si>
  <si>
    <t>ADANG</t>
  </si>
  <si>
    <t>AAS ASIAH</t>
  </si>
  <si>
    <t>450/ISTIMEWA/2011</t>
  </si>
  <si>
    <t>Adin Sutisna</t>
  </si>
  <si>
    <t>Supriatin</t>
  </si>
  <si>
    <t>5238/ISTIMEWA/2010</t>
  </si>
  <si>
    <t>Acep Rohmana</t>
  </si>
  <si>
    <t>Nurhayati</t>
  </si>
  <si>
    <t>IRWAN SUSANTO</t>
  </si>
  <si>
    <t>SITI MUNAWAROH</t>
  </si>
  <si>
    <t>39d5d540562004/R1NYYC</t>
  </si>
  <si>
    <t>Ebah</t>
  </si>
  <si>
    <t>39D5D5</t>
  </si>
  <si>
    <t>3217-LT-28052016-0034</t>
  </si>
  <si>
    <t>SRI LATIFAH</t>
  </si>
  <si>
    <t>3217-LT-09112017-1681</t>
  </si>
  <si>
    <t>Indra Permana</t>
  </si>
  <si>
    <t>Tuti Sugiarti</t>
  </si>
  <si>
    <t>Kp. Lembursawah 1/4</t>
  </si>
  <si>
    <t>AAT AMALIA</t>
  </si>
  <si>
    <t>PZ1RD6</t>
  </si>
  <si>
    <t>Saepul Rohman</t>
  </si>
  <si>
    <t>Nurhikmah</t>
  </si>
  <si>
    <t>P9TZA9</t>
  </si>
  <si>
    <t>Suminar</t>
  </si>
  <si>
    <t>G7LZLS</t>
  </si>
  <si>
    <t>SEPTIAWAN</t>
  </si>
  <si>
    <t>Pasir Buntu</t>
  </si>
  <si>
    <t>Cicangkkang Hilir</t>
  </si>
  <si>
    <t>DIFS70</t>
  </si>
  <si>
    <t>ABDUL ROEHIM</t>
  </si>
  <si>
    <t>SRI ISNAENI</t>
  </si>
  <si>
    <t>Ohan</t>
  </si>
  <si>
    <t>Adah</t>
  </si>
  <si>
    <t>Aan</t>
  </si>
  <si>
    <t>Nurjanah</t>
  </si>
  <si>
    <t>ACIH</t>
  </si>
  <si>
    <t>3217-LT-08012014-0025</t>
  </si>
  <si>
    <t>SITI ROMLAH</t>
  </si>
  <si>
    <t>Ky5lmr</t>
  </si>
  <si>
    <t>1732/UMUM/2009</t>
  </si>
  <si>
    <t>Dadan Sunandar</t>
  </si>
  <si>
    <t>Ina Anggraeni</t>
  </si>
  <si>
    <t>DN-02/D-SD/K13/0072181</t>
  </si>
  <si>
    <t>3756/UMUMU/2008</t>
  </si>
  <si>
    <t>AI TITA</t>
  </si>
  <si>
    <t>HENI SUSANTI</t>
  </si>
  <si>
    <t>Kp Bojongsempur 001/005</t>
  </si>
  <si>
    <t>PWOYQT</t>
  </si>
  <si>
    <t>Nurul Amin</t>
  </si>
  <si>
    <t>Lina Marlina</t>
  </si>
  <si>
    <t>Cilegon</t>
  </si>
  <si>
    <t>EUIS ROHIMAH</t>
  </si>
  <si>
    <t>3672.ALU.2009.002854</t>
  </si>
  <si>
    <t>Kp. Cibolang</t>
  </si>
  <si>
    <t>Iyan Sandrayana</t>
  </si>
  <si>
    <t>Enur Hasanah</t>
  </si>
  <si>
    <t>Kp. Cibalok</t>
  </si>
  <si>
    <t>GAGAN</t>
  </si>
  <si>
    <t>ATIM FATIMAH</t>
  </si>
  <si>
    <t>T29PFU</t>
  </si>
  <si>
    <t>HUSEN DARMA WIJAYA</t>
  </si>
  <si>
    <t>ELIN LINA MARLINA</t>
  </si>
  <si>
    <t>38122/DISP/2011</t>
  </si>
  <si>
    <t>Kp. Cicangkanghilir</t>
  </si>
  <si>
    <t>Wawan</t>
  </si>
  <si>
    <t>Ani Susilawati</t>
  </si>
  <si>
    <t>GHINA BASTOH ILMI</t>
  </si>
  <si>
    <t>Kp. Cinagrog</t>
  </si>
  <si>
    <t>IMAS MAESAROH</t>
  </si>
  <si>
    <t>3217-LT-25032013-0135</t>
  </si>
  <si>
    <t>Baden</t>
  </si>
  <si>
    <t>Evi Rohaeti</t>
  </si>
  <si>
    <t>T3XM4J</t>
  </si>
  <si>
    <t>K6MQ57</t>
  </si>
  <si>
    <t>HADIANSYAH</t>
  </si>
  <si>
    <t>Yayan Hayani</t>
  </si>
  <si>
    <t>3217-LT-05122013-0299</t>
  </si>
  <si>
    <t>Kp. Perelas 04/07</t>
  </si>
  <si>
    <t>MARYAM</t>
  </si>
  <si>
    <t>Kp. Cibeuruem</t>
  </si>
  <si>
    <t>ASEP YUSUP J</t>
  </si>
  <si>
    <t>YEN YEN YULIANI</t>
  </si>
  <si>
    <t>Asep Suardi</t>
  </si>
  <si>
    <t>Ai Marliah Indriani</t>
  </si>
  <si>
    <t>D3</t>
  </si>
  <si>
    <t>AL 9530003913</t>
  </si>
  <si>
    <t>Kp. Sukabakti</t>
  </si>
  <si>
    <t>LIAWATI</t>
  </si>
  <si>
    <t>9559/ISTIMEWA/2010</t>
  </si>
  <si>
    <t>Jenal Arifin</t>
  </si>
  <si>
    <t>Ade Suhendar</t>
  </si>
  <si>
    <t>Nunung Rustini</t>
  </si>
  <si>
    <t>Kp. Hegarmanah</t>
  </si>
  <si>
    <t>Dede Mujib Farhan</t>
  </si>
  <si>
    <t>Ika Kartika Sari</t>
  </si>
  <si>
    <t>Surayana</t>
  </si>
  <si>
    <t>Leni</t>
  </si>
  <si>
    <t>JL. CIPINANG PULO</t>
  </si>
  <si>
    <t>CIPINANG BESAR UTARA</t>
  </si>
  <si>
    <t>Kec. Jatinegara</t>
  </si>
  <si>
    <t>BUDI DANA KUSWARA</t>
  </si>
  <si>
    <t>NINA NURSIAH</t>
  </si>
  <si>
    <t>HINDUN</t>
  </si>
  <si>
    <t>NANI ERNAWATI</t>
  </si>
  <si>
    <t>WIDA YUNINGSIH</t>
  </si>
  <si>
    <t>10631/ISTIMEWA/2010</t>
  </si>
  <si>
    <t>Sopiyan</t>
  </si>
  <si>
    <t>AL 9530005645</t>
  </si>
  <si>
    <t>SITI RUKIAH</t>
  </si>
  <si>
    <t>DIGBII</t>
  </si>
  <si>
    <t>Wahyu H</t>
  </si>
  <si>
    <t>CUCUN</t>
  </si>
  <si>
    <t>1738/UMUM/2009</t>
  </si>
  <si>
    <t>PF8PRL</t>
  </si>
  <si>
    <t>Yeyep Suhendar</t>
  </si>
  <si>
    <t>Imas Rohaeti</t>
  </si>
  <si>
    <t>PTJIHO</t>
  </si>
  <si>
    <t>GP9JOE</t>
  </si>
  <si>
    <t>6548/UMUM/2008</t>
  </si>
  <si>
    <t>KP.KANCAH</t>
  </si>
  <si>
    <t>CIHIDEUNG</t>
  </si>
  <si>
    <t>AYI TRISNA</t>
  </si>
  <si>
    <t>MALA DAMALA</t>
  </si>
  <si>
    <t>Iskandar Dinata</t>
  </si>
  <si>
    <t>Santi Susanti</t>
  </si>
  <si>
    <t>ANDI JUNAEDI</t>
  </si>
  <si>
    <t>AI EKA HERAWATI</t>
  </si>
  <si>
    <t>2417/UMUM/2009</t>
  </si>
  <si>
    <t>DIAH KURNIAWATI</t>
  </si>
  <si>
    <t>3217/LT/13032015-0073</t>
  </si>
  <si>
    <t>Nanang Sutisna</t>
  </si>
  <si>
    <t>Yani</t>
  </si>
  <si>
    <t>DIG0J5</t>
  </si>
  <si>
    <t>SITI SOFIAH LUTFIANI SUTISNA</t>
  </si>
  <si>
    <t>ANITA PURNAMASARI</t>
  </si>
  <si>
    <t>1739/UMUM/2009</t>
  </si>
  <si>
    <t>Jamaludin</t>
  </si>
  <si>
    <t>Aisah</t>
  </si>
  <si>
    <t>ANWAR ALAWI</t>
  </si>
  <si>
    <t>IIS HANDAYANI</t>
  </si>
  <si>
    <t>3217-LT-02122013-0132</t>
  </si>
  <si>
    <t>MUHAMAD AGUS RIFALDI</t>
  </si>
  <si>
    <t>AHLAN FARKI YANSYAH</t>
  </si>
  <si>
    <t>TAHUN PELAJARAN 2023 / 2024</t>
  </si>
  <si>
    <t>21.22.07.251</t>
  </si>
  <si>
    <t>21.22.07.252</t>
  </si>
  <si>
    <t>21.22.07.254</t>
  </si>
  <si>
    <t>ANDINI SYAVITRI</t>
  </si>
  <si>
    <t>ARLAN FAUZAN</t>
  </si>
  <si>
    <t>BAYU IRWANSYAH</t>
  </si>
  <si>
    <t>DIKI MAULANA</t>
  </si>
  <si>
    <t>DINA REVIANA</t>
  </si>
  <si>
    <t>DONNY FADHYLA BRILIAN</t>
  </si>
  <si>
    <t>FARIZ AZHAR FAUZI</t>
  </si>
  <si>
    <t>FITRI NUR DEWI</t>
  </si>
  <si>
    <t>IQBAL JAMALUL INSAN</t>
  </si>
  <si>
    <t>KIRANA MELANI ALHAFID FAUZI</t>
  </si>
  <si>
    <t>KISTI</t>
  </si>
  <si>
    <t>LENI CANTIKA PUTRI</t>
  </si>
  <si>
    <t>MUHAMAD FALAH RAMDANI</t>
  </si>
  <si>
    <t>MUHAMAD MAHRUS AL-QAHTANI</t>
  </si>
  <si>
    <t>MUHAMAD REHAN MUHIBAN SAPUTRA</t>
  </si>
  <si>
    <t>MUHAMMAD DHAWIZAHIR LUTFAN HAZIM</t>
  </si>
  <si>
    <t>NAGITA RAUDATUL IRAWAN</t>
  </si>
  <si>
    <t>RAHAYU SINTIA NINGSIH</t>
  </si>
  <si>
    <t>RAKA DESTA ARRAHMAH</t>
  </si>
  <si>
    <t>REVANI RIZKIA RAHAYA</t>
  </si>
  <si>
    <t>RINI ROLITA</t>
  </si>
  <si>
    <t>SITI FATHATUL FAROHAL HIJAH</t>
  </si>
  <si>
    <t>SITI SOKHIFATURUBIATUL AULIAH</t>
  </si>
  <si>
    <t>TSANIA MAULIDA</t>
  </si>
  <si>
    <t>WIDA NURIMAULIDA</t>
  </si>
  <si>
    <t>ZAHRA ISMATUL ZANNAH</t>
  </si>
  <si>
    <t>ZULFA FITRIANA SYA'BANI</t>
  </si>
  <si>
    <t>ADI PERMANA</t>
  </si>
  <si>
    <t>AKBAR ZAELANI</t>
  </si>
  <si>
    <t>ALIF PEBRIANSAH</t>
  </si>
  <si>
    <t>ALVINO PIRMANSAH</t>
  </si>
  <si>
    <t>ANDE PRANATA</t>
  </si>
  <si>
    <t>ASHYA AL VANESA</t>
  </si>
  <si>
    <t>ASTI ATMANTA</t>
  </si>
  <si>
    <t>DELIANA PUTRI CAHYANI</t>
  </si>
  <si>
    <t>DENDI M YAZID</t>
  </si>
  <si>
    <t>DIKA TAMITA PUTRA</t>
  </si>
  <si>
    <t>DINDA OKTAVIANI</t>
  </si>
  <si>
    <t>DINDA VANESSA NURISALMAH</t>
  </si>
  <si>
    <t>HOERUL RAMADAN</t>
  </si>
  <si>
    <t>INTAN SAFITRI</t>
  </si>
  <si>
    <t>LIVIA AFRILIANTI</t>
  </si>
  <si>
    <t>M ALBAR ALAMSYAH</t>
  </si>
  <si>
    <t>MARSHA INDIRA SUGANDI</t>
  </si>
  <si>
    <t>MASWAH KHAIRUNISA</t>
  </si>
  <si>
    <t>MH SAMBAS AIF KHOSYI</t>
  </si>
  <si>
    <t>MISYKA TSANIA</t>
  </si>
  <si>
    <t>MUHAMAD AZRIL ARKAKIANA</t>
  </si>
  <si>
    <t>MUHAMAD IKSAN</t>
  </si>
  <si>
    <t>MUHAMMAD NENDI SEPTIANA</t>
  </si>
  <si>
    <t>MUHAMMAD SULTHON ABDULLOH</t>
  </si>
  <si>
    <t>NAZWA MARWAH SYA'BINA</t>
  </si>
  <si>
    <t>PUTRIA SITA</t>
  </si>
  <si>
    <t>RAFA PUTRA ARDIANSYAH</t>
  </si>
  <si>
    <t>SAHRUL GUNAWAN</t>
  </si>
  <si>
    <t>SANI SAWALIAH</t>
  </si>
  <si>
    <t>SITI NURHOLIATUL ZAHRO FITRIAH</t>
  </si>
  <si>
    <t>ABDUL HAPIDT</t>
  </si>
  <si>
    <t>ALIA AULIA PUTRI</t>
  </si>
  <si>
    <t>ARI NURDIN</t>
  </si>
  <si>
    <t>CLAIRY NASYA VIANY</t>
  </si>
  <si>
    <t>DEA ABRILIA</t>
  </si>
  <si>
    <t>DEA NURVADILA</t>
  </si>
  <si>
    <t>HANI MAELANI</t>
  </si>
  <si>
    <t>KIKI BAEHAKI</t>
  </si>
  <si>
    <t>M DAPI MUKTI TAUPIKUROHMAN</t>
  </si>
  <si>
    <t>MUHAMAD NURHAKIM</t>
  </si>
  <si>
    <t>MUHAMAD RAKI RISKULAH RAZ'AN</t>
  </si>
  <si>
    <t>MUHAMMAD FARDANSAPUTRA</t>
  </si>
  <si>
    <t>NAISYA FEBRIANI</t>
  </si>
  <si>
    <t>NICO OCTABRIANA VERSA</t>
  </si>
  <si>
    <t>NURSAIDAH MARYAWATI</t>
  </si>
  <si>
    <t>RAFA NURNAFISHA FEBRIANI</t>
  </si>
  <si>
    <t>RAHFHIZIA NUR ALIFAH</t>
  </si>
  <si>
    <t>RAJA SAPUTRA</t>
  </si>
  <si>
    <t>REGINA APRILIA</t>
  </si>
  <si>
    <t>RESTU HERDIANSAH</t>
  </si>
  <si>
    <t>RIDAN KHOIRUL AKBAR</t>
  </si>
  <si>
    <t>RIRIN ANGGRAENI</t>
  </si>
  <si>
    <t>SAHIRA RIZKIA PUTRI</t>
  </si>
  <si>
    <t>SALMA LATANSA LUTFIA MUDAKIR</t>
  </si>
  <si>
    <t>SEPTI ARIYANTI</t>
  </si>
  <si>
    <t>SITI HUSNA FAUZIAH</t>
  </si>
  <si>
    <t>YASMIN ALMAIRA</t>
  </si>
  <si>
    <t>ZAHRA DESWITA R</t>
  </si>
  <si>
    <t>ADITIA DIKA PRATAMA</t>
  </si>
  <si>
    <t>AGUS SOPIAN</t>
  </si>
  <si>
    <t>AHYAR AFRIYANA</t>
  </si>
  <si>
    <t>ANAJWA NURLATIFAH</t>
  </si>
  <si>
    <t>CINTA SHARA NURISKA</t>
  </si>
  <si>
    <t>ERLINA KARTIKA</t>
  </si>
  <si>
    <t>HUSNA FATIMAHAZAHRA</t>
  </si>
  <si>
    <t>IRMA FITRIYANI PUTRI</t>
  </si>
  <si>
    <t>KAMILA GAIDA AZZAHRA HUDAYA</t>
  </si>
  <si>
    <t>KHEILA TRIATNA ELSANDI</t>
  </si>
  <si>
    <t>MELANI EKO PUTRI</t>
  </si>
  <si>
    <t>MOH KURNIA SUTIAWAN</t>
  </si>
  <si>
    <t>MUHAMAD ADHI SATRIO</t>
  </si>
  <si>
    <t>MUHAMAD RIFKI RIDWANULLOH</t>
  </si>
  <si>
    <t>NAUFAL DHAI FULLAH</t>
  </si>
  <si>
    <t>NAYLA ZAHRA TUNISA</t>
  </si>
  <si>
    <t>NAZWA CARISA</t>
  </si>
  <si>
    <t>NENENG MELINDA</t>
  </si>
  <si>
    <t>NUR'AINI ROHIMAH</t>
  </si>
  <si>
    <t>NURUL AIENI</t>
  </si>
  <si>
    <t>PIKI ALDIANSYAH</t>
  </si>
  <si>
    <t>REFA AULIA RAHMA</t>
  </si>
  <si>
    <t>RHAKA RIFHA RIYANA</t>
  </si>
  <si>
    <t>RIKA NUR FAUZIAH</t>
  </si>
  <si>
    <t>SALIS MAULIDIA</t>
  </si>
  <si>
    <t>SALSA AULIA</t>
  </si>
  <si>
    <t>SITI MARYANI</t>
  </si>
  <si>
    <t xml:space="preserve">SITI ZAHRA MAHARANI </t>
  </si>
  <si>
    <t>SIVA NURAENI</t>
  </si>
  <si>
    <t>SULTAN FIRDAUS</t>
  </si>
  <si>
    <t>WILDAN NUGRAHA</t>
  </si>
  <si>
    <t>ALFIN ILZI AKBAR</t>
  </si>
  <si>
    <t>ANJANI ALIYA PUTRI PERMANA</t>
  </si>
  <si>
    <t>ARLIF MUHAMMAD FAISAL S</t>
  </si>
  <si>
    <t>DWI FAJAR WICAKSONO</t>
  </si>
  <si>
    <t>ENTANG WILDAN SAPAAT</t>
  </si>
  <si>
    <t>FAJAR ARDI PUTRA</t>
  </si>
  <si>
    <t>GEMA AKBAR</t>
  </si>
  <si>
    <t>GYSCA NAZARA UTAMI</t>
  </si>
  <si>
    <t>HILMA HARYANTI NURFAUZIAH</t>
  </si>
  <si>
    <t>INDAH KAMILA PUTRI</t>
  </si>
  <si>
    <t>JIMMY ARDHIANSYAH</t>
  </si>
  <si>
    <t>KALTIMARA ADIPRATAMA</t>
  </si>
  <si>
    <t>LINDA ADELIAN</t>
  </si>
  <si>
    <t>M SAAD RASYA</t>
  </si>
  <si>
    <t>M SAEPUN NIJAR FAHRIZ</t>
  </si>
  <si>
    <t>MOCH FATHIR RAMDHANI</t>
  </si>
  <si>
    <t>MOHAMAD ROBBY AGUSTIN</t>
  </si>
  <si>
    <t>MUHAMAD PAHMI IDRIS</t>
  </si>
  <si>
    <t>MUHAMMAD ARFAN AL AZKA</t>
  </si>
  <si>
    <t>MUHAMMAD FATHIR NAZAZI</t>
  </si>
  <si>
    <t>MUHAMMAD ILZAM</t>
  </si>
  <si>
    <t>MUKHARIZUL MUSTAFA</t>
  </si>
  <si>
    <t>NIRBITA SAKHI RAHDATUL AISY</t>
  </si>
  <si>
    <t>RIDHO MAULANA FIRMANSYAH</t>
  </si>
  <si>
    <t>SALSABILA AZKIA PERTIWI</t>
  </si>
  <si>
    <t>SELLA RISTY BACHTIAR</t>
  </si>
  <si>
    <t>SHAKIRA ARPA DANICA</t>
  </si>
  <si>
    <t>SITI SRI RAHAYU</t>
  </si>
  <si>
    <t>SYIFA RABIATUSHOLIHAT</t>
  </si>
  <si>
    <t>ZAHIRA NUR AFIFA</t>
  </si>
  <si>
    <t>ADELIA SRI MULYANI</t>
  </si>
  <si>
    <t>AHMAD SAEPUL ZAM ZAM</t>
  </si>
  <si>
    <t>ANGGA PRATAMA</t>
  </si>
  <si>
    <t>BILQIS PATIMATUN NAZWA</t>
  </si>
  <si>
    <t>DEDE LULU MARYANI</t>
  </si>
  <si>
    <t>FAREL ASWIN FAUZI</t>
  </si>
  <si>
    <t>FAWAZ FATURAHMAN</t>
  </si>
  <si>
    <t>GILAR FAHRY ALZAUJI</t>
  </si>
  <si>
    <t>HAFI HAFSYA ATTAFWIZI</t>
  </si>
  <si>
    <t>IDAY LESTARI</t>
  </si>
  <si>
    <t>KHAYLA INAYATUL WAHDAH</t>
  </si>
  <si>
    <t>M FERDI PIRMANSYAH</t>
  </si>
  <si>
    <t>MUHAMAD ABI FADILAH</t>
  </si>
  <si>
    <t>MUHAMAD FAJAR SIDIK</t>
  </si>
  <si>
    <t>MUHAMAD PUTRA ALPINJA</t>
  </si>
  <si>
    <t>MUHAMAD RISQI ADITYA</t>
  </si>
  <si>
    <t>MUHAMAD ROBY RAMDANI</t>
  </si>
  <si>
    <t>MUHAMMAD RANDI PADILAH</t>
  </si>
  <si>
    <t>NESHA AULIA PUTRI</t>
  </si>
  <si>
    <t>NURMA LAILA SAFITRI</t>
  </si>
  <si>
    <t>PEBY PAUZIAH</t>
  </si>
  <si>
    <t>RANDI ALEXCANDRA</t>
  </si>
  <si>
    <t>RAVA NURMAWAN</t>
  </si>
  <si>
    <t>RIZKI ADITIA SAPUTRA</t>
  </si>
  <si>
    <t>RIZKI MAULANA</t>
  </si>
  <si>
    <t>SILPI PITRIANI</t>
  </si>
  <si>
    <t>WILDA AZKIA HERMAWAN</t>
  </si>
  <si>
    <t>ZAHRA SYAFAWA QOLBI</t>
  </si>
  <si>
    <t>Melani Eko Putri</t>
  </si>
  <si>
    <t>CIPONGKOR</t>
  </si>
  <si>
    <t>NIA ROSMIATI</t>
  </si>
  <si>
    <t>SITI MARIAM</t>
  </si>
  <si>
    <t>21691/DISP/2011</t>
  </si>
  <si>
    <t>477/071/DIDUK CASIP/2012</t>
  </si>
  <si>
    <t>NURJANAH</t>
  </si>
  <si>
    <t>3217-LU-12112012-0005</t>
  </si>
  <si>
    <t>FITRI ANGGUN SARI</t>
  </si>
  <si>
    <t>10591/TPW/2011</t>
  </si>
  <si>
    <t>3217-LT-28092017-0685</t>
  </si>
  <si>
    <t>IMAS MASRIAH</t>
  </si>
  <si>
    <t>ENDANG SURYADI</t>
  </si>
  <si>
    <t>AI SONIA</t>
  </si>
  <si>
    <t>3217-LT-12022016-0032</t>
  </si>
  <si>
    <t>DADAN HERMAWAN</t>
  </si>
  <si>
    <t>AAH SUPITA</t>
  </si>
  <si>
    <t>CIRA FAUWNIA WIRAHMAN</t>
  </si>
  <si>
    <t>3217-LT-01042016-0045</t>
  </si>
  <si>
    <t>DEDE WIRAHMAN</t>
  </si>
  <si>
    <t>3217-LT-18032014-0125</t>
  </si>
  <si>
    <t>NANA SUKMANA</t>
  </si>
  <si>
    <t>7900/UMUM/2010</t>
  </si>
  <si>
    <t>NINA PURNAMA</t>
  </si>
  <si>
    <t>5460/ISTIMEWA/2010</t>
  </si>
  <si>
    <t>KUSNADI</t>
  </si>
  <si>
    <t>MUHAMAD ADHA SAPUTRA</t>
  </si>
  <si>
    <t>3217-LT-09022015-0074</t>
  </si>
  <si>
    <t>ODIH SUDRAJAT</t>
  </si>
  <si>
    <t>SITI NURLAELA</t>
  </si>
  <si>
    <t>3217-LT-13022018-0577</t>
  </si>
  <si>
    <t>AJU</t>
  </si>
  <si>
    <t>EPON</t>
  </si>
  <si>
    <t>YAYAH KOMARIAH</t>
  </si>
  <si>
    <t>10589/TPW/2011</t>
  </si>
  <si>
    <t>CIANJUR</t>
  </si>
  <si>
    <t>EVI</t>
  </si>
  <si>
    <t>MUHAMAD ALVIN ALDIANSYAH</t>
  </si>
  <si>
    <t>8102/KLT/JB/2013</t>
  </si>
  <si>
    <t>ADE SUGANDI</t>
  </si>
  <si>
    <t>WAWAH</t>
  </si>
  <si>
    <t>SUKABUMI</t>
  </si>
  <si>
    <t>5824/TPW/2011</t>
  </si>
  <si>
    <t>AAT ATIKAH</t>
  </si>
  <si>
    <t>YETI SUMIATI</t>
  </si>
  <si>
    <t>SUGANDI</t>
  </si>
  <si>
    <t>DIYONO</t>
  </si>
  <si>
    <t>YULIYANTI</t>
  </si>
  <si>
    <t>ADE SUMYATI</t>
  </si>
  <si>
    <t>DAIM</t>
  </si>
  <si>
    <t>ABDUL ROHIM</t>
  </si>
  <si>
    <t>AAH KOMARIAH</t>
  </si>
  <si>
    <t>23-10-26-1-0841-0033</t>
  </si>
  <si>
    <t>TETI TRISNAWATI</t>
  </si>
  <si>
    <t>ENTIS SUTISNA</t>
  </si>
  <si>
    <t>IKA ROSTIKAWATI</t>
  </si>
  <si>
    <t>23-10-26-1-0841-0021</t>
  </si>
  <si>
    <t>23-10-26-1-0841-0002</t>
  </si>
  <si>
    <t>23-10-26-1-0841-0003</t>
  </si>
  <si>
    <t>NENG ASMA</t>
  </si>
  <si>
    <t>YUNIK</t>
  </si>
  <si>
    <t>23-10-26-1-0841-0008</t>
  </si>
  <si>
    <t>SUHAETI</t>
  </si>
  <si>
    <t>ENI HARYANI</t>
  </si>
  <si>
    <t>HATIJAH</t>
  </si>
  <si>
    <t>7708/TPW/2011</t>
  </si>
  <si>
    <t>43222/DISP/2011</t>
  </si>
  <si>
    <t>10877/UMUM/2010</t>
  </si>
  <si>
    <t>3217-LT-19092017-0125</t>
  </si>
  <si>
    <t>60484/DISP/2011</t>
  </si>
  <si>
    <t>KEBON AWI</t>
  </si>
  <si>
    <t>ICHAN PURNAMA</t>
  </si>
  <si>
    <t>3217-LT-29092014-0088</t>
  </si>
  <si>
    <t>SAHRONI</t>
  </si>
  <si>
    <t>SULASTRI</t>
  </si>
  <si>
    <t>DENI IRAWAN</t>
  </si>
  <si>
    <t>AI SOBARIAH</t>
  </si>
  <si>
    <t>26345/DISP/2011</t>
  </si>
  <si>
    <t>ENCENG SARONI</t>
  </si>
  <si>
    <t>DEDE KUSMIATI</t>
  </si>
  <si>
    <t>23-10-26-1-0843-0001</t>
  </si>
  <si>
    <t>DWI SRI. M</t>
  </si>
  <si>
    <t>20985/DISP/2011</t>
  </si>
  <si>
    <t>8052/UMUM/2010</t>
  </si>
  <si>
    <t>59430/DISP/2011</t>
  </si>
  <si>
    <t>874/UMUM/2011</t>
  </si>
  <si>
    <t>4059/UMUM/2010</t>
  </si>
  <si>
    <t>9298/TPW/2011</t>
  </si>
  <si>
    <t>67847/DISP/2011</t>
  </si>
  <si>
    <t>415/UMUM/2011</t>
  </si>
  <si>
    <t>5637/TPW/2011</t>
  </si>
  <si>
    <t>1326/UMUM/2011</t>
  </si>
  <si>
    <t>11171/TPW/2011</t>
  </si>
  <si>
    <t>4061/UMUM/2010</t>
  </si>
  <si>
    <t>9399/UMUM/2010</t>
  </si>
  <si>
    <t>46420/DISP/2011</t>
  </si>
  <si>
    <t>4758/UMUM/2010</t>
  </si>
  <si>
    <t>3217-LU-06102014-0058</t>
  </si>
  <si>
    <t>6980/UMUM/2010</t>
  </si>
  <si>
    <t>LINA</t>
  </si>
  <si>
    <t>3217-LT-16032017-0153</t>
  </si>
  <si>
    <t>3217-LT-19102013-0116</t>
  </si>
  <si>
    <t>MAMAT</t>
  </si>
  <si>
    <t>IMAS</t>
  </si>
  <si>
    <t>HUSNI ROMDONI</t>
  </si>
  <si>
    <t>SUMIATI</t>
  </si>
  <si>
    <t>ROYANI</t>
  </si>
  <si>
    <t>MIMIN</t>
  </si>
  <si>
    <t>2881/UMUM/2010</t>
  </si>
  <si>
    <t>ISAH</t>
  </si>
  <si>
    <t>3217-LT-20012015-0204</t>
  </si>
  <si>
    <t>HERMAWAN</t>
  </si>
  <si>
    <t>ADE MULYATI</t>
  </si>
  <si>
    <t>KARTO</t>
  </si>
  <si>
    <t>KIAH</t>
  </si>
  <si>
    <t>JAENAL MUTAKIN</t>
  </si>
  <si>
    <t>DENI</t>
  </si>
  <si>
    <t>AI RUKMINI</t>
  </si>
  <si>
    <t>TATANG NURJAMAN</t>
  </si>
  <si>
    <t>SENI SIAMI</t>
  </si>
  <si>
    <t>RIZWAN</t>
  </si>
  <si>
    <t>SRI MEGAWATI</t>
  </si>
  <si>
    <t>ACHMAD</t>
  </si>
  <si>
    <t>RISWANTO</t>
  </si>
  <si>
    <t>IIS TIARASARI</t>
  </si>
  <si>
    <t>SANTI HANIFAH</t>
  </si>
  <si>
    <t>RON HIDAYAT</t>
  </si>
  <si>
    <t>NUNUNG NURHAYATI</t>
  </si>
  <si>
    <t>ROSLI IRAWAN</t>
  </si>
  <si>
    <t>ATIK</t>
  </si>
  <si>
    <t>DADAN YUNUS</t>
  </si>
  <si>
    <t>ATI ROSMIATI</t>
  </si>
  <si>
    <t>ASEP AYUB</t>
  </si>
  <si>
    <t>NENENG NASRIAH</t>
  </si>
  <si>
    <t>10519/DISP/2011</t>
  </si>
  <si>
    <t>CECEP NURJAMAN</t>
  </si>
  <si>
    <t>3217-LT-06032017-0319</t>
  </si>
  <si>
    <t>AYI KOMAR</t>
  </si>
  <si>
    <t>7670/TPW/2011</t>
  </si>
  <si>
    <t>IWAN GUNAWAN</t>
  </si>
  <si>
    <t>AAN ROHAENI</t>
  </si>
  <si>
    <t>23-10-26-1-0010</t>
  </si>
  <si>
    <t>MI-23 100091949</t>
  </si>
  <si>
    <t>SOLIHIN</t>
  </si>
  <si>
    <t>UROH</t>
  </si>
  <si>
    <t>MIS MUSLIMIN SINDANGKERTA</t>
  </si>
  <si>
    <t>6766/UMUM/2010</t>
  </si>
  <si>
    <t>3217-LT-28052016-0047</t>
  </si>
  <si>
    <t>48836/DISP/2011</t>
  </si>
  <si>
    <t>7448/TPW/2011</t>
  </si>
  <si>
    <t>3217-LT-31102013-0002</t>
  </si>
  <si>
    <t>3217-LT-10102013-0253</t>
  </si>
  <si>
    <t>10770/UMUM/2010</t>
  </si>
  <si>
    <t>8861/UMUM/2010</t>
  </si>
  <si>
    <t>5603/UMUM/2010</t>
  </si>
  <si>
    <t>3962/UMUM/2010</t>
  </si>
  <si>
    <t>IWAN MUNAWAR</t>
  </si>
  <si>
    <t>ESIH</t>
  </si>
  <si>
    <t>JUARIAH</t>
  </si>
  <si>
    <t>CIMAHI</t>
  </si>
  <si>
    <t>7896/UMUM/2010</t>
  </si>
  <si>
    <t>MUHAMAD RIFALDI NURJAMAN</t>
  </si>
  <si>
    <t>3217-LT-15042014-0085</t>
  </si>
  <si>
    <t>AGUS GUNAWAN</t>
  </si>
  <si>
    <t>IIS</t>
  </si>
  <si>
    <t>15785/KLU/JP/2010</t>
  </si>
  <si>
    <t>8777/UMUM/2010</t>
  </si>
  <si>
    <t>23-10-26-1-0828-0004</t>
  </si>
  <si>
    <t>14142/DISP/2011</t>
  </si>
  <si>
    <t>3217-LT-21102021-0084</t>
  </si>
  <si>
    <t>447/UMUM/2011</t>
  </si>
  <si>
    <t>ELI</t>
  </si>
  <si>
    <t>NENG SILPA MAELANI</t>
  </si>
  <si>
    <t>3217-LT-13092017-2056</t>
  </si>
  <si>
    <t>EUIS ATIAH</t>
  </si>
  <si>
    <t>3217-LT-12092017-1594</t>
  </si>
  <si>
    <t>IIS SAADAH</t>
  </si>
  <si>
    <t>3217-LT-09092015-0263</t>
  </si>
  <si>
    <t>ATI SUMIYATI</t>
  </si>
  <si>
    <t>5655/ISTIMEWA/2011</t>
  </si>
  <si>
    <t>WANTI</t>
  </si>
  <si>
    <t>3217-LT-13092017-1637</t>
  </si>
  <si>
    <t>NUR EHA</t>
  </si>
  <si>
    <t>3217-LT-08102015-0123</t>
  </si>
  <si>
    <t>HJ CUCUM S</t>
  </si>
  <si>
    <t>NIFAL HARAVI MUSAROP</t>
  </si>
  <si>
    <t>1189/UMUM/2010</t>
  </si>
  <si>
    <t>KHORIYAH</t>
  </si>
  <si>
    <t>3928/TPW/2011</t>
  </si>
  <si>
    <t>NANANG IRAWAN</t>
  </si>
  <si>
    <t>OMIH ROSANTI</t>
  </si>
  <si>
    <t>3217-LU-30012015-0481</t>
  </si>
  <si>
    <t>MAMAN</t>
  </si>
  <si>
    <t>286/UMUM/2011</t>
  </si>
  <si>
    <t>AROM</t>
  </si>
  <si>
    <t>SITI FATIMAH</t>
  </si>
  <si>
    <t>3217-LT-21012015-0092</t>
  </si>
  <si>
    <t>CATUR KUSNANTO</t>
  </si>
  <si>
    <t>58937/DISP/2011</t>
  </si>
  <si>
    <t>OON NURHAYATI</t>
  </si>
  <si>
    <t>58977/DISP/2011</t>
  </si>
  <si>
    <t>DEDI ROHIDI</t>
  </si>
  <si>
    <t>NURSYAMSIAH</t>
  </si>
  <si>
    <t>3217-LT-02122013-0243</t>
  </si>
  <si>
    <t>ROHMAT</t>
  </si>
  <si>
    <t>LIA MARLIA</t>
  </si>
  <si>
    <t>9506/TPW/2011</t>
  </si>
  <si>
    <t>RAHMAT HIDAYAT</t>
  </si>
  <si>
    <t>EPI SUSANTI</t>
  </si>
  <si>
    <t>BOGOR</t>
  </si>
  <si>
    <t>JAMALUDIN</t>
  </si>
  <si>
    <t>OTIH ROHAETI</t>
  </si>
  <si>
    <t>MARNI SUMARNI</t>
  </si>
  <si>
    <t>8745/UMUM/2010</t>
  </si>
  <si>
    <t>ROKAYAH</t>
  </si>
  <si>
    <t>7083/TPW/2011</t>
  </si>
  <si>
    <t>JEJE JAENAL ABIDIN</t>
  </si>
  <si>
    <t>NENI MARLINA</t>
  </si>
  <si>
    <t>3217-LT-11082016-0059</t>
  </si>
  <si>
    <t>AJANG MULYANA</t>
  </si>
  <si>
    <t>KARTIKA</t>
  </si>
  <si>
    <t>ROPI SUPRIATNA</t>
  </si>
  <si>
    <t>DIANA ARIF</t>
  </si>
  <si>
    <t>3217-LT-02122013-0229</t>
  </si>
  <si>
    <t>DEDI</t>
  </si>
  <si>
    <t>NURMALA</t>
  </si>
  <si>
    <t>BATAM</t>
  </si>
  <si>
    <t>13834/KU-CS-BTM/2010</t>
  </si>
  <si>
    <t>ABDUL RAHMAN</t>
  </si>
  <si>
    <t>FERAWATI</t>
  </si>
  <si>
    <t>NURHASANAH</t>
  </si>
  <si>
    <t>2751/UMUM/2011</t>
  </si>
  <si>
    <t>ADIN</t>
  </si>
  <si>
    <t>MUHAMAD NENDI SEPTIANA</t>
  </si>
  <si>
    <t>5736/ISTIMEWA/2011</t>
  </si>
  <si>
    <t>KOKO SOPYAN</t>
  </si>
  <si>
    <t>3217-LU-15122015-0297</t>
  </si>
  <si>
    <t>SUWANDI</t>
  </si>
  <si>
    <t>LOMRAH</t>
  </si>
  <si>
    <t>1757/2011</t>
  </si>
  <si>
    <t>RONI IRAWAN</t>
  </si>
  <si>
    <t>SAADAH</t>
  </si>
  <si>
    <t>FATIMATUL ZAHROH</t>
  </si>
  <si>
    <t>SDN JAMPANG 01</t>
  </si>
  <si>
    <t>ASEP MISBAH</t>
  </si>
  <si>
    <t>HANA</t>
  </si>
  <si>
    <t>OON</t>
  </si>
  <si>
    <t>DANI KUSNADI</t>
  </si>
  <si>
    <t>NISMAH HANDAYANI</t>
  </si>
  <si>
    <t>ABDUR ROPI</t>
  </si>
  <si>
    <t>TATI SUHAETI</t>
  </si>
  <si>
    <t>AZZAHRA RAMADHANI</t>
  </si>
  <si>
    <t>MUHAMMAD AKBAR PAUJAN</t>
  </si>
  <si>
    <t>NISA APRILIYANI</t>
  </si>
  <si>
    <t>MUHAMMAD ARYA RAMADHAN</t>
  </si>
  <si>
    <t>22.23.07.202</t>
  </si>
  <si>
    <t>22.23.07.203</t>
  </si>
  <si>
    <t>22.23.07.204</t>
  </si>
  <si>
    <t>22.23.07.205</t>
  </si>
  <si>
    <t>TEGUH SUSENO</t>
  </si>
  <si>
    <t>22.23.07.206</t>
  </si>
  <si>
    <t xml:space="preserve">  </t>
  </si>
  <si>
    <t>NURJAMAN REVANDI MAULANA. R</t>
  </si>
  <si>
    <t>FARHAN ALAMSYAH</t>
  </si>
  <si>
    <t>21.22.07.255</t>
  </si>
  <si>
    <t>M.JULIS VEVA HIFZHAN.H</t>
  </si>
  <si>
    <t>22.23.07.210</t>
  </si>
  <si>
    <t>Ade Nurmugni, S.Pd.</t>
  </si>
  <si>
    <t>DESTIYA MILATI PADLAH</t>
  </si>
  <si>
    <t>23.24.07.001</t>
  </si>
  <si>
    <t>23.24.07.002</t>
  </si>
  <si>
    <t>23.24.07.003</t>
  </si>
  <si>
    <t>23.24.07.004</t>
  </si>
  <si>
    <t>23.24.07.005</t>
  </si>
  <si>
    <t>23.24.07.006</t>
  </si>
  <si>
    <t>23.24.07.007</t>
  </si>
  <si>
    <t>23.24.07.008</t>
  </si>
  <si>
    <t>23.24.07.009</t>
  </si>
  <si>
    <t>23.24.07.010</t>
  </si>
  <si>
    <t>23.24.07.011</t>
  </si>
  <si>
    <t>23.24.07.012</t>
  </si>
  <si>
    <t>23.24.07.013</t>
  </si>
  <si>
    <t>23.24.07.014</t>
  </si>
  <si>
    <t>23.24.07.015</t>
  </si>
  <si>
    <t>23.24.07.016</t>
  </si>
  <si>
    <t>23.24.07.017</t>
  </si>
  <si>
    <t>23.24.07.018</t>
  </si>
  <si>
    <t>23.24.07.019</t>
  </si>
  <si>
    <t>23.24.07.020</t>
  </si>
  <si>
    <t>23.24.07.021</t>
  </si>
  <si>
    <t>23.24.07.022</t>
  </si>
  <si>
    <t>23.24.07.023</t>
  </si>
  <si>
    <t>23.24.07.024</t>
  </si>
  <si>
    <t>23.24.07.025</t>
  </si>
  <si>
    <t>23.24.07.026</t>
  </si>
  <si>
    <t>23.24.07.027</t>
  </si>
  <si>
    <t>23.24.07.028</t>
  </si>
  <si>
    <t>23.24.07.029</t>
  </si>
  <si>
    <t>23.24.07.030</t>
  </si>
  <si>
    <t>23.24.07.031</t>
  </si>
  <si>
    <t>23.24.07.032</t>
  </si>
  <si>
    <t>23.24.07.033</t>
  </si>
  <si>
    <t>23.24.07.034</t>
  </si>
  <si>
    <t>23.24.07.035</t>
  </si>
  <si>
    <t>23.24.07.036</t>
  </si>
  <si>
    <t>23.24.07.037</t>
  </si>
  <si>
    <t>23.24.07.038</t>
  </si>
  <si>
    <t>23.24.07.039</t>
  </si>
  <si>
    <t>23.24.07.040</t>
  </si>
  <si>
    <t>23.24.07.041</t>
  </si>
  <si>
    <t>23.24.07.042</t>
  </si>
  <si>
    <t>23.24.07.043</t>
  </si>
  <si>
    <t>23.24.07.044</t>
  </si>
  <si>
    <t>23.24.07.045</t>
  </si>
  <si>
    <t>23.24.07.046</t>
  </si>
  <si>
    <t>23.24.07.047</t>
  </si>
  <si>
    <t>23.24.07.048</t>
  </si>
  <si>
    <t>23.24.07.049</t>
  </si>
  <si>
    <t>23.24.07.050</t>
  </si>
  <si>
    <t>23.24.07.051</t>
  </si>
  <si>
    <t>23.24.07.052</t>
  </si>
  <si>
    <t>23.24.07.053</t>
  </si>
  <si>
    <t>23.24.07.054</t>
  </si>
  <si>
    <t>23.24.07.055</t>
  </si>
  <si>
    <t>23.24.07.056</t>
  </si>
  <si>
    <t>23.24.07.057</t>
  </si>
  <si>
    <t>23.24.07.058</t>
  </si>
  <si>
    <t>23.24.07.059</t>
  </si>
  <si>
    <t>23.24.07.060</t>
  </si>
  <si>
    <t>23.24.07.061</t>
  </si>
  <si>
    <t>23.24.07.062</t>
  </si>
  <si>
    <t>23.24.07.063</t>
  </si>
  <si>
    <t>23.24.07.064</t>
  </si>
  <si>
    <t>23.24.07.065</t>
  </si>
  <si>
    <t>23.24.07.066</t>
  </si>
  <si>
    <t>23.24.07.067</t>
  </si>
  <si>
    <t>23.24.07.068</t>
  </si>
  <si>
    <t>23.24.07.069</t>
  </si>
  <si>
    <t>23.24.07.070</t>
  </si>
  <si>
    <t>23.24.07.071</t>
  </si>
  <si>
    <t>23.24.07.072</t>
  </si>
  <si>
    <t>23.24.07.073</t>
  </si>
  <si>
    <t>23.24.07.074</t>
  </si>
  <si>
    <t>23.24.07.075</t>
  </si>
  <si>
    <t>23.24.07.076</t>
  </si>
  <si>
    <t>23.24.07.077</t>
  </si>
  <si>
    <t>23.24.07.078</t>
  </si>
  <si>
    <t>23.24.07.079</t>
  </si>
  <si>
    <t>23.24.07.080</t>
  </si>
  <si>
    <t>23.24.07.081</t>
  </si>
  <si>
    <t>23.24.07.082</t>
  </si>
  <si>
    <t>23.24.07.083</t>
  </si>
  <si>
    <t>23.24.07.084</t>
  </si>
  <si>
    <t>23.24.07.085</t>
  </si>
  <si>
    <t>23.24.07.086</t>
  </si>
  <si>
    <t>23.24.07.087</t>
  </si>
  <si>
    <t>23.24.07.088</t>
  </si>
  <si>
    <t>23.24.07.089</t>
  </si>
  <si>
    <t>23.24.07.090</t>
  </si>
  <si>
    <t>23.24.07.091</t>
  </si>
  <si>
    <t>23.24.07.092</t>
  </si>
  <si>
    <t>23.24.07.093</t>
  </si>
  <si>
    <t>23.24.07.094</t>
  </si>
  <si>
    <t>23.24.07.095</t>
  </si>
  <si>
    <t>23.24.07.096</t>
  </si>
  <si>
    <t>23.24.07.097</t>
  </si>
  <si>
    <t>23.24.07.098</t>
  </si>
  <si>
    <t>23.24.07.099</t>
  </si>
  <si>
    <t>23.24.07.100</t>
  </si>
  <si>
    <t>23.24.07.101</t>
  </si>
  <si>
    <t>23.24.07.102</t>
  </si>
  <si>
    <t>23.24.07.103</t>
  </si>
  <si>
    <t>23.24.07.104</t>
  </si>
  <si>
    <t>23.24.07.105</t>
  </si>
  <si>
    <t>23.24.07.106</t>
  </si>
  <si>
    <t>23.24.07.107</t>
  </si>
  <si>
    <t>23.24.07.108</t>
  </si>
  <si>
    <t>23.24.07.109</t>
  </si>
  <si>
    <t>23.24.07.110</t>
  </si>
  <si>
    <t>23.24.07.111</t>
  </si>
  <si>
    <t>23.24.07.112</t>
  </si>
  <si>
    <t>23.24.07.113</t>
  </si>
  <si>
    <t>23.24.07.114</t>
  </si>
  <si>
    <t>23.24.07.115</t>
  </si>
  <si>
    <t>23.24.07.116</t>
  </si>
  <si>
    <t>23.24.07.117</t>
  </si>
  <si>
    <t>23.24.07.118</t>
  </si>
  <si>
    <t>23.24.07.119</t>
  </si>
  <si>
    <t>23.24.07.120</t>
  </si>
  <si>
    <t>23.24.07.121</t>
  </si>
  <si>
    <t>23.24.07.122</t>
  </si>
  <si>
    <t>23.24.07.123</t>
  </si>
  <si>
    <t>23.24.07.124</t>
  </si>
  <si>
    <t>23.24.07.125</t>
  </si>
  <si>
    <t>23.24.07.126</t>
  </si>
  <si>
    <t>23.24.07.127</t>
  </si>
  <si>
    <t>23.24.07.128</t>
  </si>
  <si>
    <t>23.24.07.129</t>
  </si>
  <si>
    <t>23.24.07.130</t>
  </si>
  <si>
    <t>23.24.07.131</t>
  </si>
  <si>
    <t>23.24.07.132</t>
  </si>
  <si>
    <t>23.24.07.133</t>
  </si>
  <si>
    <t>23.24.07.134</t>
  </si>
  <si>
    <t>23.24.07.135</t>
  </si>
  <si>
    <t>23.24.07.137</t>
  </si>
  <si>
    <t>23.24.07.138</t>
  </si>
  <si>
    <t>23.24.07.139</t>
  </si>
  <si>
    <t>23.24.07.140</t>
  </si>
  <si>
    <t>23.24.07.141</t>
  </si>
  <si>
    <t>23.24.07.142</t>
  </si>
  <si>
    <t>23.24.07.143</t>
  </si>
  <si>
    <t>23.24.07.144</t>
  </si>
  <si>
    <t>23.24.07.145</t>
  </si>
  <si>
    <t>23.24.07.146</t>
  </si>
  <si>
    <t>23.24.07.147</t>
  </si>
  <si>
    <t>23.24.07.148</t>
  </si>
  <si>
    <t>23.24.07.149</t>
  </si>
  <si>
    <t>23.24.07.150</t>
  </si>
  <si>
    <t>23.24.07.151</t>
  </si>
  <si>
    <t>23.24.07.152</t>
  </si>
  <si>
    <t>23.24.07.153</t>
  </si>
  <si>
    <t>23.24.07.154</t>
  </si>
  <si>
    <t>23.24.07.155</t>
  </si>
  <si>
    <t>23.24.07.156</t>
  </si>
  <si>
    <t>23.24.07.157</t>
  </si>
  <si>
    <t>23.24.07.158</t>
  </si>
  <si>
    <t>23.24.07.159</t>
  </si>
  <si>
    <t>23.24.07.160</t>
  </si>
  <si>
    <t>23.24.07.161</t>
  </si>
  <si>
    <t>23.24.07.162</t>
  </si>
  <si>
    <t>23.24.07.163</t>
  </si>
  <si>
    <t>23.24.07.164</t>
  </si>
  <si>
    <t>23.24.07.165</t>
  </si>
  <si>
    <t>23.24.07.166</t>
  </si>
  <si>
    <t>23.24.07.167</t>
  </si>
  <si>
    <t>23.24.07.168</t>
  </si>
  <si>
    <t>23.24.07.169</t>
  </si>
  <si>
    <t>23.24.07.170</t>
  </si>
  <si>
    <t>23.24.07.171</t>
  </si>
  <si>
    <t>23.24.07.172</t>
  </si>
  <si>
    <t>23.24.07.173</t>
  </si>
  <si>
    <t>23.24.07.174</t>
  </si>
  <si>
    <t>23.24.07.175</t>
  </si>
  <si>
    <t>23.24.07.176</t>
  </si>
  <si>
    <t>23.24.07.177</t>
  </si>
  <si>
    <t>23.24.07.178</t>
  </si>
  <si>
    <t>23.24.07.179</t>
  </si>
  <si>
    <t>23.24.07.180</t>
  </si>
  <si>
    <t>23.24.07.181</t>
  </si>
  <si>
    <t>23.24.07.182</t>
  </si>
  <si>
    <t>23.24.07.183</t>
  </si>
  <si>
    <t>23.24.07.184</t>
  </si>
  <si>
    <t>23.24.07.185</t>
  </si>
  <si>
    <t>23.24.07.186</t>
  </si>
  <si>
    <t>23.24.07.187</t>
  </si>
  <si>
    <t>23.24.07.188</t>
  </si>
  <si>
    <t>23.24.07.189</t>
  </si>
  <si>
    <t>23.24.07.190</t>
  </si>
  <si>
    <t>23.24.07.191</t>
  </si>
  <si>
    <t>23.24.07.192</t>
  </si>
  <si>
    <t>23.24.07.193</t>
  </si>
  <si>
    <t>23.24.07.194</t>
  </si>
  <si>
    <t>MUHAMAD AGUS RIYANTO</t>
  </si>
  <si>
    <t>MUHAMAD ABI KRISNA</t>
  </si>
  <si>
    <t>22.23.07.211</t>
  </si>
  <si>
    <t>Muhamamad Yasir Gnanjar</t>
  </si>
  <si>
    <t>22.23.07.212</t>
  </si>
  <si>
    <t>NAJRIL AURAHMAN WAHYUDIN</t>
  </si>
  <si>
    <t>NAZRIL AURAHMAN WAHYUDIN</t>
  </si>
  <si>
    <t>TATANG WAHYUDIN</t>
  </si>
  <si>
    <t>JUJU JULAEHA</t>
  </si>
  <si>
    <t>Ulpi Alhusni Roudatul Jannah</t>
  </si>
  <si>
    <t>23.24.07.196</t>
  </si>
  <si>
    <t>Bulan</t>
  </si>
  <si>
    <t>.......................</t>
  </si>
  <si>
    <t>Jumlah</t>
  </si>
  <si>
    <t>RAFLI SAEPUL AZIS</t>
  </si>
  <si>
    <t>M.ZAKI ABDUL NAFIS</t>
  </si>
  <si>
    <t>23.24.07.197</t>
  </si>
  <si>
    <t>IMAS SUSANTI</t>
  </si>
  <si>
    <t>ALFHIANSYAH</t>
  </si>
  <si>
    <t>MUHAMAD FEBY FADILAH</t>
  </si>
  <si>
    <t>1909/UMUM/2011</t>
  </si>
  <si>
    <t>23.24.07.198</t>
  </si>
  <si>
    <t>Daftar Peserta Didik</t>
  </si>
  <si>
    <t>SMP MUSLIMIN CILILIN</t>
  </si>
  <si>
    <t>Kecamatan Kec. Cililin, Kabupaten Kab. Bandung Barat, Provinsi Prov. Jawa Barat</t>
  </si>
  <si>
    <t>Tanggal Unduh: 2024-06-08 21:00:51</t>
  </si>
  <si>
    <t>Pengunduh: YANDI MULYANA KHALID (yandimkh82@gmail.com)</t>
  </si>
  <si>
    <t>Rombel Saat Ini</t>
  </si>
  <si>
    <t>Tahun Lahir</t>
  </si>
  <si>
    <t>Jenjang Pendidikan</t>
  </si>
  <si>
    <t>Pekerjaan</t>
  </si>
  <si>
    <t>Penghasilan</t>
  </si>
  <si>
    <t>DN-02/D-SD/K13/0071404</t>
  </si>
  <si>
    <t>Desa/Kel. Budiharja</t>
  </si>
  <si>
    <t>Ade</t>
  </si>
  <si>
    <t>Kp Budiharja</t>
  </si>
  <si>
    <t>Kp. Cipongkor</t>
  </si>
  <si>
    <t>MIS CIPONGKOR I</t>
  </si>
  <si>
    <t>Wari</t>
  </si>
  <si>
    <t>DN-02/D-SD/K13/23 0068</t>
  </si>
  <si>
    <t>AGUNG FADILAH</t>
  </si>
  <si>
    <t>Sarip Munawar</t>
  </si>
  <si>
    <t>ESIH SUKAESIH</t>
  </si>
  <si>
    <t>10512/UMUM/2010</t>
  </si>
  <si>
    <t>Desa/Kel. Mekarsari</t>
  </si>
  <si>
    <t>SERANG</t>
  </si>
  <si>
    <t>Jl. Muara Baru</t>
  </si>
  <si>
    <t>PENJARINGAN</t>
  </si>
  <si>
    <t>Kec. Penjaringan</t>
  </si>
  <si>
    <t>ROSIDIN</t>
  </si>
  <si>
    <t>DESI KEMALASARI</t>
  </si>
  <si>
    <t>460/KLT/JU/2013</t>
  </si>
  <si>
    <t>SDN Pluit 01 Pg.</t>
  </si>
  <si>
    <t>Desa/Kel. Cicangkang Hilir</t>
  </si>
  <si>
    <t>474.1/157/D-006/VI/2010</t>
  </si>
  <si>
    <t>Kp. Jambe</t>
  </si>
  <si>
    <t>Sopyan</t>
  </si>
  <si>
    <t>23-10-26-1-0841-0001</t>
  </si>
  <si>
    <t>MI-23 100089991</t>
  </si>
  <si>
    <t>65479/DISP/2011</t>
  </si>
  <si>
    <t>MIS CICANGKANG HILIR II</t>
  </si>
  <si>
    <t>AI LUTFIANIE NUR SALISA</t>
  </si>
  <si>
    <t>KP. CIBURUY</t>
  </si>
  <si>
    <t>NENG ASRI P</t>
  </si>
  <si>
    <t>8826/ISTIMEWA/2009</t>
  </si>
  <si>
    <t>Kec. Rancaekek</t>
  </si>
  <si>
    <t>FITRIA NURMAYANTI</t>
  </si>
  <si>
    <t>22-10-04-1-5050-0001</t>
  </si>
  <si>
    <t>mi-22 100037875</t>
  </si>
  <si>
    <t>MIS Al Huda</t>
  </si>
  <si>
    <t>Jl. Rawa Maya Tengah No. 52A</t>
  </si>
  <si>
    <t>Desa/Kel. Beji</t>
  </si>
  <si>
    <t>Kec. Beji</t>
  </si>
  <si>
    <t>Muhlisin</t>
  </si>
  <si>
    <t>3507-KJT-15012018-1174</t>
  </si>
  <si>
    <t>MIS CICANGKANGHILIR II</t>
  </si>
  <si>
    <t>Aldy Adithia</t>
  </si>
  <si>
    <t>KP. TIPAR</t>
  </si>
  <si>
    <t>Ratna Dewi</t>
  </si>
  <si>
    <t>KP. CEMPAKA</t>
  </si>
  <si>
    <t>Desa/Kel. Citeureup</t>
  </si>
  <si>
    <t>Kec. Cimahi Utara</t>
  </si>
  <si>
    <t>ACENG SUTIAWAN</t>
  </si>
  <si>
    <t>3277-LT-21092015-0026</t>
  </si>
  <si>
    <t>SD NEGERI CITEUREUP MANDIRI 1</t>
  </si>
  <si>
    <t>ALFIN ALZI AKBAR</t>
  </si>
  <si>
    <t>Desa/Kel. Bongas</t>
  </si>
  <si>
    <t>ISMAIL</t>
  </si>
  <si>
    <t>Jayusman</t>
  </si>
  <si>
    <t>KP PASIRPANJANG</t>
  </si>
  <si>
    <t>Alvino Pirmansah</t>
  </si>
  <si>
    <t>Deni Mulyana</t>
  </si>
  <si>
    <t>Cica Maesaroh</t>
  </si>
  <si>
    <t>10-26-833-005</t>
  </si>
  <si>
    <t>ANAJWA NUR LATIFAH</t>
  </si>
  <si>
    <t>Cempput Brt Gg.C Baru/21</t>
  </si>
  <si>
    <t>Desa/Kel. Cempaka Putih Barat</t>
  </si>
  <si>
    <t>Kec. Cempaka Putih</t>
  </si>
  <si>
    <t>Budi Achmadi</t>
  </si>
  <si>
    <t>DEDE IDA ROSITA</t>
  </si>
  <si>
    <t>Agus Saepudin</t>
  </si>
  <si>
    <t>9445/ISTIMEWA/2010</t>
  </si>
  <si>
    <t>Kp. Mekarsaluyu</t>
  </si>
  <si>
    <t>Andini Syavitri</t>
  </si>
  <si>
    <t>Kp Ciwaru</t>
  </si>
  <si>
    <t>Desa/Kel. Citalem</t>
  </si>
  <si>
    <t>Agus Maulana</t>
  </si>
  <si>
    <t>Patimah</t>
  </si>
  <si>
    <t>3217-LT-16122016-0094</t>
  </si>
  <si>
    <t>Dede Muhamad</t>
  </si>
  <si>
    <t>MI-23 100089992</t>
  </si>
  <si>
    <t>9138/UMUM/2010</t>
  </si>
  <si>
    <t>ITANG</t>
  </si>
  <si>
    <t>3217-LT-05112014-0071</t>
  </si>
  <si>
    <t>ANJANI ALIA PUTRI PERMANA</t>
  </si>
  <si>
    <t>Anjas Permana</t>
  </si>
  <si>
    <t>NURMA YUNITA</t>
  </si>
  <si>
    <t>AQILAH RIFQI AWWALUDDIN</t>
  </si>
  <si>
    <t>Ari Nurdin</t>
  </si>
  <si>
    <t>Sunaryat</t>
  </si>
  <si>
    <t>Aas Asliah</t>
  </si>
  <si>
    <t>ARINI AGUSTINI</t>
  </si>
  <si>
    <t>AGUS SISWANTO</t>
  </si>
  <si>
    <t>ARI SUSANTI</t>
  </si>
  <si>
    <t>3217-LT-24062013-0016</t>
  </si>
  <si>
    <t>Hata</t>
  </si>
  <si>
    <t>MI-23 100089993</t>
  </si>
  <si>
    <t>3317/TPW/2011</t>
  </si>
  <si>
    <t>Arlif Muhammad Faisal S</t>
  </si>
  <si>
    <t>Reni Herlina</t>
  </si>
  <si>
    <t>ASHYA AL-VANESA</t>
  </si>
  <si>
    <t>ASEP RANTOW</t>
  </si>
  <si>
    <t>3217-LT-26022015-0127</t>
  </si>
  <si>
    <t>Pendi Ependi</t>
  </si>
  <si>
    <t>Kp. Pasar Lama</t>
  </si>
  <si>
    <t>Desa/Kel. Sukamulya</t>
  </si>
  <si>
    <t>anton</t>
  </si>
  <si>
    <t>Santi Supriati</t>
  </si>
  <si>
    <t>SOPYAN HADI</t>
  </si>
  <si>
    <t>KP.TANJUNGSARI</t>
  </si>
  <si>
    <t>H. Wahyu.S</t>
  </si>
  <si>
    <t>10595/DISP/2011</t>
  </si>
  <si>
    <t>Hendi</t>
  </si>
  <si>
    <t>Kp. Peusing Hilir</t>
  </si>
  <si>
    <t>Desa/Kel. Sindangkerta</t>
  </si>
  <si>
    <t>Deden Mutakin</t>
  </si>
  <si>
    <t>7367/TPW/2011</t>
  </si>
  <si>
    <t>Cinta Shara Nuriska</t>
  </si>
  <si>
    <t>Suhaya Ependi</t>
  </si>
  <si>
    <t>Nyai Aan Ningsih</t>
  </si>
  <si>
    <t>DN-02/D-SD/K13/23 0068210</t>
  </si>
  <si>
    <t>3376/TPW/2011</t>
  </si>
  <si>
    <t>Kp. Selagombong</t>
  </si>
  <si>
    <t>DN-02/D-SD/K13/23 0072608</t>
  </si>
  <si>
    <t>Clairy Nasya Viany</t>
  </si>
  <si>
    <t>Diki Ardiyanto</t>
  </si>
  <si>
    <t>Fitriati</t>
  </si>
  <si>
    <t>KP. TANJUNGSARI</t>
  </si>
  <si>
    <t>PXOHMH</t>
  </si>
  <si>
    <t>SDN 03 Rancapanggung</t>
  </si>
  <si>
    <t>T29U5O</t>
  </si>
  <si>
    <t>MARTINI</t>
  </si>
  <si>
    <t>32-10-26-1-0840-0003</t>
  </si>
  <si>
    <t>10-26-833-0011</t>
  </si>
  <si>
    <t>Deliana Putri Cahyani</t>
  </si>
  <si>
    <t>Danu Bin Sapta</t>
  </si>
  <si>
    <t>Ani Sumarni</t>
  </si>
  <si>
    <t>Gk1xed</t>
  </si>
  <si>
    <t>Dendi M. Yazid</t>
  </si>
  <si>
    <t>Sobur</t>
  </si>
  <si>
    <t>3217-LT-04062013-0154</t>
  </si>
  <si>
    <t>SD N 3 RANCAPANGGUNG</t>
  </si>
  <si>
    <t>Kp. Cibiru 01/08</t>
  </si>
  <si>
    <t>Tatang</t>
  </si>
  <si>
    <t>Asep Ating S</t>
  </si>
  <si>
    <t>ENI SUARNI</t>
  </si>
  <si>
    <t>23--10-26-1-0841-0004</t>
  </si>
  <si>
    <t>MI-23 100089994</t>
  </si>
  <si>
    <t>Diki Maulana</t>
  </si>
  <si>
    <t>Jojo Sulaeman</t>
  </si>
  <si>
    <t>Titi Kuraesin</t>
  </si>
  <si>
    <t>Suhandi</t>
  </si>
  <si>
    <t>Desa/Kel. Rancapanggung</t>
  </si>
  <si>
    <t>ROBIAH</t>
  </si>
  <si>
    <t>Tidak dapat diterapkan</t>
  </si>
  <si>
    <t>Sujoko</t>
  </si>
  <si>
    <t>35488/DISP/2011</t>
  </si>
  <si>
    <t>Enur</t>
  </si>
  <si>
    <t>3217-LT-17102013-0012</t>
  </si>
  <si>
    <t>Donny Fadhyla Brilian</t>
  </si>
  <si>
    <t>Kp Cipeuteuy</t>
  </si>
  <si>
    <t>Bojong Suhono</t>
  </si>
  <si>
    <t>Neni Mulyani</t>
  </si>
  <si>
    <t>3264/TPW/2011</t>
  </si>
  <si>
    <t>DWI PAJAR WICAKSONO</t>
  </si>
  <si>
    <t>2754/UMUM/2011</t>
  </si>
  <si>
    <t>Entang Wildan Sapaat</t>
  </si>
  <si>
    <t>Samsudin</t>
  </si>
  <si>
    <t>Dini</t>
  </si>
  <si>
    <t>Erlina Kartika</t>
  </si>
  <si>
    <t>Kp. Bojong Sempur</t>
  </si>
  <si>
    <t>Atin Supartin</t>
  </si>
  <si>
    <t>Kurniasari</t>
  </si>
  <si>
    <t>14.438/KI/II.I/2010</t>
  </si>
  <si>
    <t>Cece Suryana</t>
  </si>
  <si>
    <t>SANTI</t>
  </si>
  <si>
    <t>23-10-26-1-0841-0006</t>
  </si>
  <si>
    <t>MI-23 100089996</t>
  </si>
  <si>
    <t>3.364/TPW/2011</t>
  </si>
  <si>
    <t>21.22.07.253</t>
  </si>
  <si>
    <t>SMP SUMUR BANDUNG</t>
  </si>
  <si>
    <t>KP. JAMPANG</t>
  </si>
  <si>
    <t>Desa/Kel. Jampang</t>
  </si>
  <si>
    <t>Kec. Gunung Sindur</t>
  </si>
  <si>
    <t>Fitri Nur Dewi</t>
  </si>
  <si>
    <t>Yana Kurniawan</t>
  </si>
  <si>
    <t>Iin Widawati</t>
  </si>
  <si>
    <t>Agus Sopandi</t>
  </si>
  <si>
    <t>Gilar Fahry Alzauji</t>
  </si>
  <si>
    <t>Ade Wahyuy</t>
  </si>
  <si>
    <t>Rohmah</t>
  </si>
  <si>
    <t>Novi Krisyantini</t>
  </si>
  <si>
    <t>Kp. nagrak</t>
  </si>
  <si>
    <t>Elan Kurnia</t>
  </si>
  <si>
    <t>DEDE ANGGRAENI</t>
  </si>
  <si>
    <t>MI-23 100089998</t>
  </si>
  <si>
    <t>7168/TPW/2011</t>
  </si>
  <si>
    <t>Hafi Hafsya Attafwizi</t>
  </si>
  <si>
    <t>Acep Uus Ulumudin</t>
  </si>
  <si>
    <t>Elis Siti Sopiah</t>
  </si>
  <si>
    <t>9135/UMUM/2010</t>
  </si>
  <si>
    <t>Hani Maelani</t>
  </si>
  <si>
    <t>Aseng Budiman</t>
  </si>
  <si>
    <t>Neneng</t>
  </si>
  <si>
    <t>Hilma Haryanti Nurfauziah</t>
  </si>
  <si>
    <t>Dede Haryanto</t>
  </si>
  <si>
    <t>Siti Nurlaela</t>
  </si>
  <si>
    <t>3217-LT-31102013-0254</t>
  </si>
  <si>
    <t>Hoerul Ramadan</t>
  </si>
  <si>
    <t>Hamdani</t>
  </si>
  <si>
    <t>Halimah</t>
  </si>
  <si>
    <t>Husna Fatimah Azahra</t>
  </si>
  <si>
    <t>Asep Usman</t>
  </si>
  <si>
    <t>Eva Rahmawati Dewi</t>
  </si>
  <si>
    <t>DN-02/D-SD/K13/23/ 0072336</t>
  </si>
  <si>
    <t>Iday Lestari</t>
  </si>
  <si>
    <t>Kp. Pasir panjang</t>
  </si>
  <si>
    <t>Ade Jaelani</t>
  </si>
  <si>
    <t>AL. 953.0068502</t>
  </si>
  <si>
    <t>Abdu Rohman</t>
  </si>
  <si>
    <t>Ajum</t>
  </si>
  <si>
    <t>4504/UMUM/2010</t>
  </si>
  <si>
    <t>INAS AINIL HALAF</t>
  </si>
  <si>
    <t>Kp. Bojong Ranca</t>
  </si>
  <si>
    <t>Desa/Kel. Cijenuk</t>
  </si>
  <si>
    <t>Said Tajudin</t>
  </si>
  <si>
    <t>SAROH</t>
  </si>
  <si>
    <t>23-10-26-1-0837-0008</t>
  </si>
  <si>
    <t>MI-23 100089936</t>
  </si>
  <si>
    <t>4886/UMUM/2010</t>
  </si>
  <si>
    <t>MIS BOJONGRANCA</t>
  </si>
  <si>
    <t>Kamaludin</t>
  </si>
  <si>
    <t>23-10-26-1-0840-0009</t>
  </si>
  <si>
    <t>MI-23 100089979</t>
  </si>
  <si>
    <t>Kp. Babakan Pisitan</t>
  </si>
  <si>
    <t>13289/2009</t>
  </si>
  <si>
    <t>KP. SUKAJADI</t>
  </si>
  <si>
    <t>Desa/Kel. Cicangkang Girang</t>
  </si>
  <si>
    <t>AL.644.0049256</t>
  </si>
  <si>
    <t>SD NEGERI SUKAJADI</t>
  </si>
  <si>
    <t>KP.PASIRPANJANG</t>
  </si>
  <si>
    <t>SD NEGERI 1 RANCAPANGGUNG</t>
  </si>
  <si>
    <t>Irma Fitriyani Putri</t>
  </si>
  <si>
    <t>Abun</t>
  </si>
  <si>
    <t>Cicin Komalasari</t>
  </si>
  <si>
    <t>DN-02/D-SD/K13/23/0068215</t>
  </si>
  <si>
    <t>Kaltimara Adi Pratama</t>
  </si>
  <si>
    <t>Kp Cibiru</t>
  </si>
  <si>
    <t>Tarso</t>
  </si>
  <si>
    <t>Sari Kurnia</t>
  </si>
  <si>
    <t>Kamila Gaida Azzahra Hudaya</t>
  </si>
  <si>
    <t>Cipereng</t>
  </si>
  <si>
    <t>Wisnu Hudaya</t>
  </si>
  <si>
    <t>Siska Popi Yuliana</t>
  </si>
  <si>
    <t>22.23.07.208</t>
  </si>
  <si>
    <t>Wempi Sandi Aji</t>
  </si>
  <si>
    <t>Neng Asri Masriah</t>
  </si>
  <si>
    <t>SD NEGERI 1 CIJENUK</t>
  </si>
  <si>
    <t>KHEILA TRIATNA ELSANDY</t>
  </si>
  <si>
    <t>Adi Budiman</t>
  </si>
  <si>
    <t>ELIS HERAWATI</t>
  </si>
  <si>
    <t>Kiki Baehaki</t>
  </si>
  <si>
    <t>Lina</t>
  </si>
  <si>
    <t>P8z3fp</t>
  </si>
  <si>
    <t>Kirana Melani Alhafid Fauzi</t>
  </si>
  <si>
    <t>Fitra Aristiawan</t>
  </si>
  <si>
    <t>Imas Masitoh</t>
  </si>
  <si>
    <t>Kisti</t>
  </si>
  <si>
    <t>Suhertin</t>
  </si>
  <si>
    <t>Gqhftv</t>
  </si>
  <si>
    <t>Dadang Nurjanah</t>
  </si>
  <si>
    <t>KP. CIJAMBE</t>
  </si>
  <si>
    <t>ECIN KURAESIN</t>
  </si>
  <si>
    <t>Linda Adelian</t>
  </si>
  <si>
    <t>D. Supriatna</t>
  </si>
  <si>
    <t>Yuningsih</t>
  </si>
  <si>
    <t>Livia Afrilianti</t>
  </si>
  <si>
    <t>Aji</t>
  </si>
  <si>
    <t>Elis Herniati</t>
  </si>
  <si>
    <t>Agus Supriatna</t>
  </si>
  <si>
    <t>Sp-1</t>
  </si>
  <si>
    <t>4549/TPW/2011</t>
  </si>
  <si>
    <t>Dede Suherman</t>
  </si>
  <si>
    <t>21753/ISTIMEWA/2010</t>
  </si>
  <si>
    <t>Ishaq Abdul Qodir</t>
  </si>
  <si>
    <t>M. ADHI SATRIO</t>
  </si>
  <si>
    <t>Kp. Cimalingping</t>
  </si>
  <si>
    <t>Dusun 1</t>
  </si>
  <si>
    <t>Desa/Kel. Karanganyar</t>
  </si>
  <si>
    <t>AL 9530019364</t>
  </si>
  <si>
    <t>SD NEGERI PANARUBAN</t>
  </si>
  <si>
    <t>M. DAPI MUKTI TAUPIKUROHMAN</t>
  </si>
  <si>
    <t>Desa/Kel. Karangtanjung</t>
  </si>
  <si>
    <t>AL 9530019377</t>
  </si>
  <si>
    <t>Hendra</t>
  </si>
  <si>
    <t>M RIFKI</t>
  </si>
  <si>
    <t>M. SAAD RASYA</t>
  </si>
  <si>
    <t>M. ZAKI ABDUL NAFIS</t>
  </si>
  <si>
    <t>KP. CIKADU</t>
  </si>
  <si>
    <t>(tidak diisi)</t>
  </si>
  <si>
    <t>3217-LT-20102016-0152</t>
  </si>
  <si>
    <t>M.SAEPUN NIJAR FAHRIZ</t>
  </si>
  <si>
    <t>Kp. Buni Jaya</t>
  </si>
  <si>
    <t>Desa/Kel. Cintakarya</t>
  </si>
  <si>
    <t>SD NEGERI SUKAMANAH 01</t>
  </si>
  <si>
    <t>Kapuk Gg. Burung</t>
  </si>
  <si>
    <t>Desa/Kel. Kapuk</t>
  </si>
  <si>
    <t>Kec. Cengkareng</t>
  </si>
  <si>
    <t>INDAH PURWATI</t>
  </si>
  <si>
    <t>Apoy</t>
  </si>
  <si>
    <t>MAYLA KURNIA KASIH</t>
  </si>
  <si>
    <t>NENEG LISNAWATI</t>
  </si>
  <si>
    <t>MIS CICANGKANG HILIR 2</t>
  </si>
  <si>
    <t>Kp. Pamoyanan</t>
  </si>
  <si>
    <t>Sudrto Eko Saputro</t>
  </si>
  <si>
    <t>Nina Rohayati</t>
  </si>
  <si>
    <t>Amung Sutisna</t>
  </si>
  <si>
    <t>23-10-26-1-0841-0013</t>
  </si>
  <si>
    <t>MI-23 100090003</t>
  </si>
  <si>
    <t>59082/disp/2011</t>
  </si>
  <si>
    <t>Abdul Kodir</t>
  </si>
  <si>
    <t>Kp. Ciawi</t>
  </si>
  <si>
    <t>39dppv40563009</t>
  </si>
  <si>
    <t>Moh. Kurnia Sutiawan</t>
  </si>
  <si>
    <t>Sutisna</t>
  </si>
  <si>
    <t>Tuti</t>
  </si>
  <si>
    <t>SD NEGERI 3 RANCAPANGGUNG</t>
  </si>
  <si>
    <t>KP.NAGRAK</t>
  </si>
  <si>
    <t>Mobil/bus antar jemput</t>
  </si>
  <si>
    <t>Muhamad Abi Krisna</t>
  </si>
  <si>
    <t>Agus Bustonu ZA</t>
  </si>
  <si>
    <t>Rina Risnawati</t>
  </si>
  <si>
    <t>1255/UMUM/2010</t>
  </si>
  <si>
    <t>b</t>
  </si>
  <si>
    <t>PATMAWATI</t>
  </si>
  <si>
    <t>22.23.07.175</t>
  </si>
  <si>
    <t>GURIL</t>
  </si>
  <si>
    <t>Muhamad Agus Riyanto</t>
  </si>
  <si>
    <t>Yaya Yuliana</t>
  </si>
  <si>
    <t>DN-02/D-SD/K13/23 0072340</t>
  </si>
  <si>
    <t>3217-LT-08022018-2820</t>
  </si>
  <si>
    <t>Kp Ciranca</t>
  </si>
  <si>
    <t>ADE SAPE'I</t>
  </si>
  <si>
    <t>MURNI</t>
  </si>
  <si>
    <t>Muhamad Azril Arkakiana</t>
  </si>
  <si>
    <t>Kp. Cipereng</t>
  </si>
  <si>
    <t>Badru</t>
  </si>
  <si>
    <t>Lilis</t>
  </si>
  <si>
    <t>Muhamad Fajar Sidik</t>
  </si>
  <si>
    <t>Bandung barat</t>
  </si>
  <si>
    <t>Didin</t>
  </si>
  <si>
    <t>Sumidah</t>
  </si>
  <si>
    <t>Muhamad Falah Ramdani</t>
  </si>
  <si>
    <t>Wawan Saeful Rahman</t>
  </si>
  <si>
    <t>Heti Nurhayati</t>
  </si>
  <si>
    <t>Muhamad Feby Fadillah</t>
  </si>
  <si>
    <t>Siti Aisyah</t>
  </si>
  <si>
    <t>YAYAT SISWANTO</t>
  </si>
  <si>
    <t>LINA MARLINA</t>
  </si>
  <si>
    <t>DN-02/D-SD/K13/0071527</t>
  </si>
  <si>
    <t>23369/DISP/2011</t>
  </si>
  <si>
    <t>MUHAMAD IKBAL BASIR</t>
  </si>
  <si>
    <t>Asep Muhtar</t>
  </si>
  <si>
    <t>3217-LT-31102013-0217</t>
  </si>
  <si>
    <t>MIS KARANGANYAR</t>
  </si>
  <si>
    <t>Muhamad Iksan</t>
  </si>
  <si>
    <t>Acu Samsu</t>
  </si>
  <si>
    <t>N, Eka</t>
  </si>
  <si>
    <t>SH-USD:11-541-011-6</t>
  </si>
  <si>
    <t>22.23.07.209</t>
  </si>
  <si>
    <t>MUHAMAD NUR ALIANSYAH</t>
  </si>
  <si>
    <t>ALI NURDIN</t>
  </si>
  <si>
    <t>ENCIH MINTARSIH</t>
  </si>
  <si>
    <t>1024/UMUM/2009</t>
  </si>
  <si>
    <t>HENDRIANA ABDUROHMAN</t>
  </si>
  <si>
    <t>NGADIRAH</t>
  </si>
  <si>
    <t>59071/DISP/2011</t>
  </si>
  <si>
    <t>Muhamad Pahmi Idris</t>
  </si>
  <si>
    <t>Bohim</t>
  </si>
  <si>
    <t>Hodijah</t>
  </si>
  <si>
    <t>DN-02/D-SD/K13/23/0068218</t>
  </si>
  <si>
    <t>3217-LT-27032015-4807</t>
  </si>
  <si>
    <t>MUHAMAD RAFA RAMADHAN</t>
  </si>
  <si>
    <t>8607/UMUM/2010</t>
  </si>
  <si>
    <t>UNUNG</t>
  </si>
  <si>
    <t>DN-02/D-SD/K13/0069600</t>
  </si>
  <si>
    <t>AL 953.0193354</t>
  </si>
  <si>
    <t>Muhamad Rafli Saepul Aziz</t>
  </si>
  <si>
    <t>Cecep Saepudin</t>
  </si>
  <si>
    <t>Dewi Yulianti</t>
  </si>
  <si>
    <t>10540/DISP/2011</t>
  </si>
  <si>
    <t>9511/ISTIMEWA/2010</t>
  </si>
  <si>
    <t>'953.0056247</t>
  </si>
  <si>
    <t>IBAN NUDIN</t>
  </si>
  <si>
    <t>Muhamad Rifaldi Nurjaman</t>
  </si>
  <si>
    <t>Jajang Nurjaman</t>
  </si>
  <si>
    <t>YANI MULYANI</t>
  </si>
  <si>
    <t>27962/DISP/2011</t>
  </si>
  <si>
    <t>Muhamad Rifki Ridwanulloh</t>
  </si>
  <si>
    <t>Dedi Suharna</t>
  </si>
  <si>
    <t>SARIMANAH</t>
  </si>
  <si>
    <t>DN-02/D-SD/K13/23/0072388</t>
  </si>
  <si>
    <t>71/UMUM/2011</t>
  </si>
  <si>
    <t>MUHAMAD RISQI ADITIYA</t>
  </si>
  <si>
    <t>G5gxj0</t>
  </si>
  <si>
    <t>3.373/UMUM/2010</t>
  </si>
  <si>
    <t>Muhamad Roby Ramdani</t>
  </si>
  <si>
    <t>Rahmat Sudrajat</t>
  </si>
  <si>
    <t>Siti Rodiah</t>
  </si>
  <si>
    <t>Yusup Anwarudin</t>
  </si>
  <si>
    <t>22-10-26-1-0828-0012</t>
  </si>
  <si>
    <t>MI-22 100105135</t>
  </si>
  <si>
    <t>3162/UMUM/2009</t>
  </si>
  <si>
    <t>MIS MUSLIMIN BONGAS III</t>
  </si>
  <si>
    <t>10-26-828-0007</t>
  </si>
  <si>
    <t>MUHAMMAD ANRDIYANSYAH</t>
  </si>
  <si>
    <t>Rina Suryana</t>
  </si>
  <si>
    <t>Kp. Cibinong</t>
  </si>
  <si>
    <t>Sukarno</t>
  </si>
  <si>
    <t>EULIS SUSILAWATI</t>
  </si>
  <si>
    <t>AL 9530364659</t>
  </si>
  <si>
    <t>SMP IT Baiturahman</t>
  </si>
  <si>
    <t>MUHAMMAD DHAWI ZAHIR LUTFAN HAZIM</t>
  </si>
  <si>
    <t>4545/TPW/2011</t>
  </si>
  <si>
    <t>MUHAMMAD FARDAN SAPUTRA</t>
  </si>
  <si>
    <t>AHMAD RIJAL</t>
  </si>
  <si>
    <t>SUHENDI</t>
  </si>
  <si>
    <t>1331/UMUM/2011</t>
  </si>
  <si>
    <t>AL 9530021132</t>
  </si>
  <si>
    <t>Muhammad Fauzi Supriatna</t>
  </si>
  <si>
    <t>39d5eo40562008</t>
  </si>
  <si>
    <t>Sapru</t>
  </si>
  <si>
    <t>Nani Sumiati</t>
  </si>
  <si>
    <t>DN-02/D-SD/K13/0069363</t>
  </si>
  <si>
    <t>5580/ISTIMEWA/2010</t>
  </si>
  <si>
    <t>19086 U / 2010</t>
  </si>
  <si>
    <t>MUHAMMAD JULISVEVA HIFZHAN HAUNA</t>
  </si>
  <si>
    <t>Kp. Bongas</t>
  </si>
  <si>
    <t>LUSI SEPTIAWATI</t>
  </si>
  <si>
    <t>5552/UMUM/2009</t>
  </si>
  <si>
    <t>A ROHAETI</t>
  </si>
  <si>
    <t>KP. SUKAMAJU</t>
  </si>
  <si>
    <t>Muhammad Yasir Ginanjar</t>
  </si>
  <si>
    <t>Cecep Ridwan</t>
  </si>
  <si>
    <t>Eka Kartini</t>
  </si>
  <si>
    <t>3217-LT-07032014-0107</t>
  </si>
  <si>
    <t>Mukharizul Mustafa</t>
  </si>
  <si>
    <t>Deni Hermawan</t>
  </si>
  <si>
    <t>Susan Siti Mulya</t>
  </si>
  <si>
    <t>3217-LT-12092013-0012</t>
  </si>
  <si>
    <t>Nagita Raudatul Irawan</t>
  </si>
  <si>
    <t>Bangbang Irawan</t>
  </si>
  <si>
    <t>Yani Sumarni</t>
  </si>
  <si>
    <t>A. RIDWAN EFENDI</t>
  </si>
  <si>
    <t>NENENG YUNINGSIH</t>
  </si>
  <si>
    <t>3217-LU-05062012-0064</t>
  </si>
  <si>
    <t>DN-02/D-SD/K13/23/0072364</t>
  </si>
  <si>
    <t>1947/U/JB/2012</t>
  </si>
  <si>
    <t>NAWAP NURJAMAN</t>
  </si>
  <si>
    <t>NURHAENI</t>
  </si>
  <si>
    <t>UNANG HERMAWAN</t>
  </si>
  <si>
    <t>10-26-846-0005</t>
  </si>
  <si>
    <t>MI-13 100087312</t>
  </si>
  <si>
    <t>MIS SYARIF HIDAYATULLOH</t>
  </si>
  <si>
    <t>KP CIBUNGUR</t>
  </si>
  <si>
    <t>TIGA</t>
  </si>
  <si>
    <t>37191/DISP/2011</t>
  </si>
  <si>
    <t>Kp. Pasir Bantu</t>
  </si>
  <si>
    <t>Dadang</t>
  </si>
  <si>
    <t>SADIAH</t>
  </si>
  <si>
    <t>MI-23 100090011</t>
  </si>
  <si>
    <t>1445/UMUM/2011</t>
  </si>
  <si>
    <t>MIS Cicangkanghilir II</t>
  </si>
  <si>
    <t>Nazwa Marwah Sya'bina</t>
  </si>
  <si>
    <t>Arifin Rukmana</t>
  </si>
  <si>
    <t>Nursuminar</t>
  </si>
  <si>
    <t>Kp. Pasir wareng</t>
  </si>
  <si>
    <t>Asum Sumarna</t>
  </si>
  <si>
    <t>Adnan</t>
  </si>
  <si>
    <t>Kp Bebedahan</t>
  </si>
  <si>
    <t>Setiawan</t>
  </si>
  <si>
    <t>Siti Agustini</t>
  </si>
  <si>
    <t>3217-LT-15062017-0121</t>
  </si>
  <si>
    <t>SD NEGERI 1 CIPONGKOR</t>
  </si>
  <si>
    <t>NURHASANUDIN</t>
  </si>
  <si>
    <t>Gunawan Hadi</t>
  </si>
  <si>
    <t>ADE RUSMANA</t>
  </si>
  <si>
    <t>2753/UMUM/2011</t>
  </si>
  <si>
    <t>KP. CIPEUTEUY</t>
  </si>
  <si>
    <t>ASEP SAEPULOH</t>
  </si>
  <si>
    <t>SITI NURAINI</t>
  </si>
  <si>
    <t>4149/TPW/2011</t>
  </si>
  <si>
    <t>Rohim</t>
  </si>
  <si>
    <t>10537/DISP/2011</t>
  </si>
  <si>
    <t>Nur'aini Rohimah</t>
  </si>
  <si>
    <t>Ade Kosasih</t>
  </si>
  <si>
    <t>DN-02/D-SD/K13/23/0072345</t>
  </si>
  <si>
    <t>NURJAMAN REVANDI MAULANA .R</t>
  </si>
  <si>
    <t>Imas Masriah</t>
  </si>
  <si>
    <t>DN-02/D-SD/K13/23/0072417</t>
  </si>
  <si>
    <t>Kikin Sodikin</t>
  </si>
  <si>
    <t>Siti Nursaadah</t>
  </si>
  <si>
    <t>23365/DISP/2011</t>
  </si>
  <si>
    <t>NURUL AHDI RAMADANI</t>
  </si>
  <si>
    <t>Moh. Salim Patoni</t>
  </si>
  <si>
    <t>Nurul Aieni</t>
  </si>
  <si>
    <t>Yustiana</t>
  </si>
  <si>
    <t>Handayani</t>
  </si>
  <si>
    <t>DN-02/D-SD/K13/23/0068386</t>
  </si>
  <si>
    <t>SD NEGERI I GIRIWANGI</t>
  </si>
  <si>
    <t>KP. CICALENGKA</t>
  </si>
  <si>
    <t>CIRANJI</t>
  </si>
  <si>
    <t>SAGULING</t>
  </si>
  <si>
    <t>Kec. Saguling</t>
  </si>
  <si>
    <t>BUDI MIHARJA</t>
  </si>
  <si>
    <t>OOM AMINAH</t>
  </si>
  <si>
    <t>DN-02/D-SD/K13/0278698</t>
  </si>
  <si>
    <t>5954/ISTIMEWA/2011</t>
  </si>
  <si>
    <t>SD NEGERI BOJONGLARANG</t>
  </si>
  <si>
    <t>Adung</t>
  </si>
  <si>
    <t>23-10-26-1-0841-0026</t>
  </si>
  <si>
    <t>MI-23 100090016</t>
  </si>
  <si>
    <t>2752/UMUM/2011</t>
  </si>
  <si>
    <t>DIDIN DAHLAN</t>
  </si>
  <si>
    <t>Sukabumi</t>
  </si>
  <si>
    <t>Kp Legokcau</t>
  </si>
  <si>
    <t>Tapos</t>
  </si>
  <si>
    <t>Mekarnangka</t>
  </si>
  <si>
    <t>Kec. Cikidang</t>
  </si>
  <si>
    <t>Muhamad Ikbal FZ</t>
  </si>
  <si>
    <t>Anita</t>
  </si>
  <si>
    <t>3202-LT-15072016-0229</t>
  </si>
  <si>
    <t>RAFA NURMAWAN</t>
  </si>
  <si>
    <t>KP. CIJANTEN</t>
  </si>
  <si>
    <t>BATULAYANG</t>
  </si>
  <si>
    <t>474.1/138/Pemdes</t>
  </si>
  <si>
    <t>Rafa Nurnafisha Febriani</t>
  </si>
  <si>
    <t>Sastra Indra Setiawan</t>
  </si>
  <si>
    <t>Nuriska Hermawati</t>
  </si>
  <si>
    <t>MILA INDRI YANI</t>
  </si>
  <si>
    <t>DIG2XX</t>
  </si>
  <si>
    <t>Rudi</t>
  </si>
  <si>
    <t>RAKA DESTA AR RAHMAH</t>
  </si>
  <si>
    <t>Kp. Kebon Aw</t>
  </si>
  <si>
    <t>Hilmanudin</t>
  </si>
  <si>
    <t>2.219/JT/KLTB/WNI/2012</t>
  </si>
  <si>
    <t>Regina Aprilia</t>
  </si>
  <si>
    <t>Rohman</t>
  </si>
  <si>
    <t>Lilis Widyawati</t>
  </si>
  <si>
    <t>Ambari</t>
  </si>
  <si>
    <t>10-26-827-0011</t>
  </si>
  <si>
    <t>MI-13 100084249</t>
  </si>
  <si>
    <t>MIS MUSLIMIN BONGAS II</t>
  </si>
  <si>
    <t>KP TANJUNGSARI</t>
  </si>
  <si>
    <t>KP. Cibeureum</t>
  </si>
  <si>
    <t>AGUNG RIYANA</t>
  </si>
  <si>
    <t>DN-02/D-SD/K13/23/0072631</t>
  </si>
  <si>
    <t>Arip Syaripudin</t>
  </si>
  <si>
    <t>SUSANTI PITRIA H</t>
  </si>
  <si>
    <t>58930/DISP/2011</t>
  </si>
  <si>
    <t>Wandi Mulyawan</t>
  </si>
  <si>
    <t>59007/DISP/2011</t>
  </si>
  <si>
    <t>Dani Ramdani</t>
  </si>
  <si>
    <t>6983/UMUM/2009</t>
  </si>
  <si>
    <t>Rika Nur fauziah</t>
  </si>
  <si>
    <t>Dian S</t>
  </si>
  <si>
    <t>Tika Kartika</t>
  </si>
  <si>
    <t>DN-02/D-SD/K13/23 0072347</t>
  </si>
  <si>
    <t>Warung</t>
  </si>
  <si>
    <t>Anwar</t>
  </si>
  <si>
    <t>Imas Farida</t>
  </si>
  <si>
    <t>RIPALDI ARDIANSYAH</t>
  </si>
  <si>
    <t>Nina Purwati</t>
  </si>
  <si>
    <t>Ririn Anggraeni</t>
  </si>
  <si>
    <t>Nani Royani</t>
  </si>
  <si>
    <t>6068/TPW/2011</t>
  </si>
  <si>
    <t>DITI DEWI NOPIANTI</t>
  </si>
  <si>
    <t>HENRI SODIKIN</t>
  </si>
  <si>
    <t>LISTA ANISA HIKMAWATI</t>
  </si>
  <si>
    <t>Rizki Maulana</t>
  </si>
  <si>
    <t>Adid</t>
  </si>
  <si>
    <t>Wida</t>
  </si>
  <si>
    <t>3217-LT-08012014-0029</t>
  </si>
  <si>
    <t>RIZKI MIFTAHUL ULUM</t>
  </si>
  <si>
    <t>Ciburuy</t>
  </si>
  <si>
    <t>Cintakarya</t>
  </si>
  <si>
    <t>Edi Yusup. S</t>
  </si>
  <si>
    <t>Irma Widianti</t>
  </si>
  <si>
    <t>AL.953.0169002</t>
  </si>
  <si>
    <t>Toni</t>
  </si>
  <si>
    <t>Sifa Nur Rohmah</t>
  </si>
  <si>
    <t>3217-LT-27082015-0206</t>
  </si>
  <si>
    <t>DODOH JULIANI</t>
  </si>
  <si>
    <t>KP. CIBALOK</t>
  </si>
  <si>
    <t>ASEP MU'MIN</t>
  </si>
  <si>
    <t>DN-02/D-SD/K13/23 0072529</t>
  </si>
  <si>
    <t>35331/DISP/2011</t>
  </si>
  <si>
    <t>Salma Latansa Lutfia Mudakir</t>
  </si>
  <si>
    <t>Asep Munzin Mudakir</t>
  </si>
  <si>
    <t>Erni</t>
  </si>
  <si>
    <t>MIS CISELANG</t>
  </si>
  <si>
    <t>Salsabila Azkia Pertiwi</t>
  </si>
  <si>
    <t>Heri Setiadi</t>
  </si>
  <si>
    <t>Mira Nurhanipah</t>
  </si>
  <si>
    <t>Salva Ami</t>
  </si>
  <si>
    <t>Ruspandi</t>
  </si>
  <si>
    <t>Mimin Misriah</t>
  </si>
  <si>
    <t>Asep Agus iskandar</t>
  </si>
  <si>
    <t>DN-02/D-SD/K13/0069639</t>
  </si>
  <si>
    <t>Sani Sawaliah</t>
  </si>
  <si>
    <t>Sohandi</t>
  </si>
  <si>
    <t>Cicih</t>
  </si>
  <si>
    <t>Asep Bahtiar</t>
  </si>
  <si>
    <t>MI-23 100090023</t>
  </si>
  <si>
    <t>30275/DISP/2011</t>
  </si>
  <si>
    <t>Septi Ariyanti</t>
  </si>
  <si>
    <t>Yanto</t>
  </si>
  <si>
    <t>Cucu</t>
  </si>
  <si>
    <t>Kampung Poris Gg Warung</t>
  </si>
  <si>
    <t>Shakira Arpa Danica</t>
  </si>
  <si>
    <t>Suhendar Efendi</t>
  </si>
  <si>
    <t>Wulan Silvina Vista</t>
  </si>
  <si>
    <t>3217-LT-03122013-0282</t>
  </si>
  <si>
    <t>Kp. Cipeucang</t>
  </si>
  <si>
    <t>TINI FERATIWI</t>
  </si>
  <si>
    <t>SITI AZZAHRA</t>
  </si>
  <si>
    <t>23.24.07.195</t>
  </si>
  <si>
    <t>YAYU</t>
  </si>
  <si>
    <t>23-10-26-1-0828-0020</t>
  </si>
  <si>
    <t>MI-23 100089094</t>
  </si>
  <si>
    <t>Kp Ciloa</t>
  </si>
  <si>
    <t>Komar</t>
  </si>
  <si>
    <t>15456/2010</t>
  </si>
  <si>
    <t>Siti Husna Fauziah</t>
  </si>
  <si>
    <t>Ahyar Hoerudin</t>
  </si>
  <si>
    <t>ANA SUMARNA</t>
  </si>
  <si>
    <t>Nurdin</t>
  </si>
  <si>
    <t>H. Ujang Asep K</t>
  </si>
  <si>
    <t>EMPAT PATMAWATI</t>
  </si>
  <si>
    <t>Kp. Babakan Citalem</t>
  </si>
  <si>
    <t>Herman Jode</t>
  </si>
  <si>
    <t>Siti Sri Rahayu</t>
  </si>
  <si>
    <t>Sahudin</t>
  </si>
  <si>
    <t>Ade Popon</t>
  </si>
  <si>
    <t>Siti Zahra Maharani</t>
  </si>
  <si>
    <t>Deden</t>
  </si>
  <si>
    <t>Ani lilis Suryani</t>
  </si>
  <si>
    <t>DN-02/S-SD/K13/23/ 0072575</t>
  </si>
  <si>
    <t>3217-LT-24092013-0005</t>
  </si>
  <si>
    <t>Desa/Kel. Cijambu</t>
  </si>
  <si>
    <t>H. Beni</t>
  </si>
  <si>
    <t>Liliek Mairisni</t>
  </si>
  <si>
    <t>DN-02/S-SD/K13/23/0068227</t>
  </si>
  <si>
    <t>Syifa Rabiatusholihat</t>
  </si>
  <si>
    <t>Bobi Sugandi</t>
  </si>
  <si>
    <t>3374/TPW/2011</t>
  </si>
  <si>
    <t>SAROJI</t>
  </si>
  <si>
    <t>RUSTINI</t>
  </si>
  <si>
    <t>USMAN DHOMIRI</t>
  </si>
  <si>
    <t>Desa/Kel. Padasuka</t>
  </si>
  <si>
    <t>Kec. Cimahi Tengah</t>
  </si>
  <si>
    <t>G7FOZN40500008</t>
  </si>
  <si>
    <t>SD NEGERI PADASUKA MANDIRI 2</t>
  </si>
  <si>
    <t>Ade Gojin Rukmana</t>
  </si>
  <si>
    <t>Rini Adawiyah</t>
  </si>
  <si>
    <t>G3lxnz</t>
  </si>
  <si>
    <t>Wida Nuri Maulida</t>
  </si>
  <si>
    <t>Kp Pasirkuya</t>
  </si>
  <si>
    <t>Warman</t>
  </si>
  <si>
    <t>55002/DISP/2011</t>
  </si>
  <si>
    <t>Bambang Hermawan</t>
  </si>
  <si>
    <t>3217-LT-02082012-0132</t>
  </si>
  <si>
    <t>MIS PEUSING GIRANG</t>
  </si>
  <si>
    <t>DIF65B</t>
  </si>
  <si>
    <t>3217-LT-12092017-0674</t>
  </si>
  <si>
    <t>Asep Suhendar</t>
  </si>
  <si>
    <t>7899/UMUM/2010</t>
  </si>
  <si>
    <t>Zahira Nur Afifa</t>
  </si>
  <si>
    <t>Ajat</t>
  </si>
  <si>
    <t>Windaningsih</t>
  </si>
  <si>
    <t>Kp. Cibeureuem</t>
  </si>
  <si>
    <t>ENENG KOMARIAH</t>
  </si>
  <si>
    <t>Mikho Suhaja</t>
  </si>
  <si>
    <t>Zulfa Fitriana Sya'bani</t>
  </si>
  <si>
    <t>Jl. Gandok-Sindangkerta</t>
  </si>
  <si>
    <t>Kp. Gandok</t>
  </si>
  <si>
    <t>Desa/Kel. Cikadu</t>
  </si>
  <si>
    <t>Saeful Bahjat</t>
  </si>
  <si>
    <t>Cucuh Kurniawati</t>
  </si>
  <si>
    <t>AL. 953.0088175</t>
  </si>
  <si>
    <t>SD NEGERI GAPURAWINAYA</t>
  </si>
  <si>
    <t>MUHAMAD PASRI NAWAWI</t>
  </si>
  <si>
    <t>23.24.07.200</t>
  </si>
  <si>
    <t>TAHUN PELAJARAN 2024 / 2025</t>
  </si>
  <si>
    <t>Kelas 9A</t>
  </si>
  <si>
    <t>9MLULUSAN 2024</t>
  </si>
  <si>
    <t>Kelas 9F</t>
  </si>
  <si>
    <t>Kelas 9B</t>
  </si>
  <si>
    <t>Kelas 9C</t>
  </si>
  <si>
    <t>Kelas 9E</t>
  </si>
  <si>
    <t>Kelas 9D</t>
  </si>
  <si>
    <t>3105472004</t>
  </si>
  <si>
    <t>3217140908100001</t>
  </si>
  <si>
    <t>BOJONG JAMBU</t>
  </si>
  <si>
    <t>03</t>
  </si>
  <si>
    <t>006</t>
  </si>
  <si>
    <t>DESA/SINDANGKERTA</t>
  </si>
  <si>
    <t>KEC.SINDANGKERTA</t>
  </si>
  <si>
    <t>YUSUP TOJIRI</t>
  </si>
  <si>
    <t>HANI ROHAENI</t>
  </si>
  <si>
    <t>DHIRA HAERNI ( KELUAR )</t>
  </si>
  <si>
    <t>NAIRA JULIANA</t>
  </si>
  <si>
    <t>22.23.07.213</t>
  </si>
  <si>
    <t>BUNGA NURFAJRIAH</t>
  </si>
  <si>
    <t>22.23.07.214</t>
  </si>
  <si>
    <t>RIFKI PRATAMA</t>
  </si>
  <si>
    <t>QORIATULL KHATAM</t>
  </si>
  <si>
    <t>ALENA NAZWA CAROLENA</t>
  </si>
  <si>
    <t>RHEINALDY OKTAVIANUS SETIAWAN</t>
  </si>
  <si>
    <t>MAKAILA FAKHIRAH</t>
  </si>
  <si>
    <t>WILDAN TUBAGUS</t>
  </si>
  <si>
    <t>MARVIN RIZWAN EFFENDI</t>
  </si>
  <si>
    <t>MUHAMAD PAZRI</t>
  </si>
  <si>
    <t>MUHAMMAD SALMAN ALFARIZI</t>
  </si>
  <si>
    <t>NADIA SILVI NURPAIDA</t>
  </si>
  <si>
    <t>MUHAMMAD ISYAK IBRAHIM</t>
  </si>
  <si>
    <t>RAFIE ZHAFRAN KHAIRY</t>
  </si>
  <si>
    <t>MUHAMAD ILYAS</t>
  </si>
  <si>
    <t>ANITA NURIJPAH</t>
  </si>
  <si>
    <t>MUHAMAD SHIDIK ABDUL GANI</t>
  </si>
  <si>
    <t>RAFIQ MUZZAKI ZADDA</t>
  </si>
  <si>
    <t>ATFA AZKIYA</t>
  </si>
  <si>
    <t>FIRDA RAMADHANI NURANDINI</t>
  </si>
  <si>
    <t>NAJAH KHOERUNNISA</t>
  </si>
  <si>
    <t>AKHTAR AL FATAHILAH</t>
  </si>
  <si>
    <t>APEP ARDIANSYAH</t>
  </si>
  <si>
    <t>SITI AISYAH AZKATUL JANAH</t>
  </si>
  <si>
    <t>NARAZHA WILDAN AL HAFYZEE</t>
  </si>
  <si>
    <t>MOHAMAD RIZQY FADILAH</t>
  </si>
  <si>
    <t>DINDA SEPTI ANGGRAENI</t>
  </si>
  <si>
    <t>SANTIKA DEWI</t>
  </si>
  <si>
    <t>AREKA MU'AYAD FADIL HIDAYATULLOH</t>
  </si>
  <si>
    <t>M. RIDO SOLEHUDIN</t>
  </si>
  <si>
    <t>RIRI RIZKIYA PITRIANI</t>
  </si>
  <si>
    <t>SILMA SITI NURKAMILA</t>
  </si>
  <si>
    <t xml:space="preserve">M TRI RIJALI </t>
  </si>
  <si>
    <t>ALEA SELINA PUTRI</t>
  </si>
  <si>
    <t>SRI RAHAYU NURWASILAH</t>
  </si>
  <si>
    <t>AHMAD SETIAWAN GUMELAR PURNAMA</t>
  </si>
  <si>
    <t>NENG WAFIQUNNAJAH</t>
  </si>
  <si>
    <t>ASPIRA HERAWATI</t>
  </si>
  <si>
    <t>NAFIIZH ALAMSYAH NURJAMAN</t>
  </si>
  <si>
    <t>DEDE RIZKI</t>
  </si>
  <si>
    <t>MUHAMAD RIZKY NUR MAULANA</t>
  </si>
  <si>
    <t>BADAI TRI ROHMATAN</t>
  </si>
  <si>
    <t>SITY KEYZIA NURLATIFAH</t>
  </si>
  <si>
    <t>PUSPITA RIZKY FITRIYANI</t>
  </si>
  <si>
    <t>SALMA AL NAZMA</t>
  </si>
  <si>
    <t>MUHAMMAD RIZKY HERMAWAN</t>
  </si>
  <si>
    <t>ARIS MAULANA R</t>
  </si>
  <si>
    <t>NENG SULASTRI OKTOPIA</t>
  </si>
  <si>
    <t>AGUNG SOPIAN</t>
  </si>
  <si>
    <t>HANA NAFIAH</t>
  </si>
  <si>
    <t>AHMAD TAUPIK</t>
  </si>
  <si>
    <t>NAZREL ALL FARISKY</t>
  </si>
  <si>
    <t>NENG SITI HERLINA</t>
  </si>
  <si>
    <t>MUHAMAD IRSAL MAULANA</t>
  </si>
  <si>
    <t>NAYLA CANTIKA FITRI</t>
  </si>
  <si>
    <t>MOCH RIDZKY ANGGARA SYAH PUTRA</t>
  </si>
  <si>
    <t>ALIF MUNFAJRI</t>
  </si>
  <si>
    <t>MUHAMMAD FARIS BURHANUDIN</t>
  </si>
  <si>
    <t>ALIA MAULIDA</t>
  </si>
  <si>
    <t>ARMAN MAULANA</t>
  </si>
  <si>
    <t>ARYA PRAWIRA</t>
  </si>
  <si>
    <t>DINDA RAHAYU</t>
  </si>
  <si>
    <t>SHEILA PUTRI WULANDARI</t>
  </si>
  <si>
    <t>AINAYYA FATHIYYATURAHMAN HAMDANI</t>
  </si>
  <si>
    <t>REINA ARTALITA LAILATUL IQLIMA</t>
  </si>
  <si>
    <t>MUHAMAD IKBAL</t>
  </si>
  <si>
    <t>ALDI HERDIANSAH</t>
  </si>
  <si>
    <t>AZKA MUHAMAD AKBAR</t>
  </si>
  <si>
    <t>ZIDNI ILMA AULIA</t>
  </si>
  <si>
    <t>NAILA AISHA NURFARIHA</t>
  </si>
  <si>
    <t>AIRA PUTRI SUKMAWATI</t>
  </si>
  <si>
    <t>ANGGIH AGUSTIAN</t>
  </si>
  <si>
    <t>DEVITA APRIYANI</t>
  </si>
  <si>
    <t>MILATUTAUHID ABDUL QODIR</t>
  </si>
  <si>
    <t>MUHAMAD ANGGA SAPUTRA</t>
  </si>
  <si>
    <t>DANDY PUTRA RHAMDANI</t>
  </si>
  <si>
    <t>KHAIRIL ANWAR</t>
  </si>
  <si>
    <t>KINANTY APRILIA NURUL KHOLID</t>
  </si>
  <si>
    <t>SYIFA DWI ANGGRAENI</t>
  </si>
  <si>
    <t>AHMAD AZAM SUKAEZI</t>
  </si>
  <si>
    <t>ZULFI AL FAHRI GUNAWAN</t>
  </si>
  <si>
    <t>SITI IHDA AULIA</t>
  </si>
  <si>
    <t>SITI MAILANI</t>
  </si>
  <si>
    <t>MUHAMAD ALFAT ALBIANTARA</t>
  </si>
  <si>
    <t>ROHMAT ERZA ZAUHARI</t>
  </si>
  <si>
    <t>AL ZAHRA SAYRA RAHMA</t>
  </si>
  <si>
    <t>DESWITA SUCI OKTAVIANI</t>
  </si>
  <si>
    <t>MUHAMAD RIZDWAN</t>
  </si>
  <si>
    <t>M. ERGA ANANDRA</t>
  </si>
  <si>
    <t>NAYSILA PUTRI PRATAMI</t>
  </si>
  <si>
    <t>DESTY ADINDA PUTRI</t>
  </si>
  <si>
    <t>MUHAMMAD FAWAZ PRATAMA</t>
  </si>
  <si>
    <t>RIZKI FAHRI HUSAIRI</t>
  </si>
  <si>
    <t>HILYATUL AULIA APRIANI</t>
  </si>
  <si>
    <t>SRI AYU RAMADHAN</t>
  </si>
  <si>
    <t>MUHAMAD IBNU WAFA SUPRIATNA</t>
  </si>
  <si>
    <t>MUHAMAD NOVAL INDRA</t>
  </si>
  <si>
    <t>MUHAMAD BA'IS ADITIYA SAPAAT</t>
  </si>
  <si>
    <t>M. ARFA ANDRIANSYAH PURNAMA</t>
  </si>
  <si>
    <t>DESWITA TRIANA KOMALASARI</t>
  </si>
  <si>
    <t>ALFIAH DAMAYANTI</t>
  </si>
  <si>
    <t>MAULIDA PUTRI KEILA</t>
  </si>
  <si>
    <t>MUHAMAD FAKHRI NURFAZRI</t>
  </si>
  <si>
    <t>MUHAMAD ARIF RIFA'I</t>
  </si>
  <si>
    <t>M.FAHMI ALLATIF</t>
  </si>
  <si>
    <t>RIPKA AULIA DEWI</t>
  </si>
  <si>
    <t>AIRA NUR AZAHRA</t>
  </si>
  <si>
    <t>RAFA HAFIZ NURULLOH NOVIANSAH</t>
  </si>
  <si>
    <t>MUHAMAD FADLA BADRA DUZA</t>
  </si>
  <si>
    <t>MUHAMAD RIZKI MAULANA</t>
  </si>
  <si>
    <t>GALUH SAPUTRA</t>
  </si>
  <si>
    <t>MUHAMMAD SAEPUL ROHMAN</t>
  </si>
  <si>
    <t>NADIA FEBRIANA</t>
  </si>
  <si>
    <t>RENATA PITRIYANI</t>
  </si>
  <si>
    <t>NAVIRA DESVITA</t>
  </si>
  <si>
    <t>MUMTAZ RUJHANUL ULUM</t>
  </si>
  <si>
    <t>MUHAMMAD AYI NUGRAHA</t>
  </si>
  <si>
    <t>M.NIZAM GUNAWAN</t>
  </si>
  <si>
    <t>MARSYA AZIZAH</t>
  </si>
  <si>
    <t>AZRILAH SAIDAH NUR SAFIRAH</t>
  </si>
  <si>
    <t>MUHAMAD ARMAN AZWI</t>
  </si>
  <si>
    <t>SHIFA AIKO NAKEMURI</t>
  </si>
  <si>
    <t>AZKIA RAMADANI</t>
  </si>
  <si>
    <t>SAPUTRA</t>
  </si>
  <si>
    <t>M ARYA BIMA PANGESTU</t>
  </si>
  <si>
    <t>TRIYANI AZAHRA KALIMATUNISA</t>
  </si>
  <si>
    <t>ARIN ROSTIANI</t>
  </si>
  <si>
    <t>MUHAMMAD EDVIN ABDUL MUZAKI</t>
  </si>
  <si>
    <t>SITI SALMA MEIDA</t>
  </si>
  <si>
    <t>SINTIA ANABELA</t>
  </si>
  <si>
    <t>MUHAMAD PAISAL</t>
  </si>
  <si>
    <t>RIJKY ADITIA</t>
  </si>
  <si>
    <t>SOPIAN</t>
  </si>
  <si>
    <t>WENDY AFRIANDA SAPUTRA</t>
  </si>
  <si>
    <t>JULIA SELMA</t>
  </si>
  <si>
    <t>MUHAMMAD ILHAM MULYANA</t>
  </si>
  <si>
    <t>SITI SALWA AULIA</t>
  </si>
  <si>
    <t>ARUL RAZABBI</t>
  </si>
  <si>
    <t>M.RASYID ASIDIK</t>
  </si>
  <si>
    <t>MUHAMMAD RAFA PERMANA</t>
  </si>
  <si>
    <t>MUHAMAD KHAIRUNNIZAM</t>
  </si>
  <si>
    <t>R.ASHYA NINDYA EFENDI</t>
  </si>
  <si>
    <t>RAJA NABIL HERMANSYAH</t>
  </si>
  <si>
    <t>REIFHAN RISKI ARDIANSYAH</t>
  </si>
  <si>
    <t>NATASYA AULIA ULFA</t>
  </si>
  <si>
    <t>SITI RIHMAH AULIYA</t>
  </si>
  <si>
    <t>AZAHRA AMANDA PUTRI</t>
  </si>
  <si>
    <t>NAZWA SAYYIDATUN NISA</t>
  </si>
  <si>
    <t>SITI NURHAYATI</t>
  </si>
  <si>
    <t>FITRI LESTARI</t>
  </si>
  <si>
    <t>PATIMAH NURZAINAWATI</t>
  </si>
  <si>
    <t>ALFIA HANA NABILLA</t>
  </si>
  <si>
    <t>MUHAMAD RICHIE ALISYAHBANI</t>
  </si>
  <si>
    <t>MUHAMMAD HAKIM HALIMI</t>
  </si>
  <si>
    <t>MUHAMMAD RISKI ADITIA</t>
  </si>
  <si>
    <t>MUHAMAD ADITYA DARAJATULOH</t>
  </si>
  <si>
    <t>WINANDRA AMELIA PUTRA</t>
  </si>
  <si>
    <t>AMELIA SISCA NELFA</t>
  </si>
  <si>
    <t>HISNI AWWALIYAH</t>
  </si>
  <si>
    <t>NASYA DENAZA</t>
  </si>
  <si>
    <t>MUHAMAD PUTRA NURMUGNI</t>
  </si>
  <si>
    <t>SITI NUR RIPNA PAUJIAH</t>
  </si>
  <si>
    <t>IRSA MALENDA ANISIAH</t>
  </si>
  <si>
    <t>SITI ASA</t>
  </si>
  <si>
    <t>CITRA NURDIANA</t>
  </si>
  <si>
    <t>RIFKI MAULANA MALIK</t>
  </si>
  <si>
    <t>MUHAMAD FIKRI AL GIFARI</t>
  </si>
  <si>
    <t>SITI AULIA SAFWA</t>
  </si>
  <si>
    <t>SIFA PERMATA</t>
  </si>
  <si>
    <t>MUHAMAD FAJRI MAULANA</t>
  </si>
  <si>
    <t>DWI EFENDI</t>
  </si>
  <si>
    <t>MUHAMMAD NOVAL SIHABUDIN ISKANDAR</t>
  </si>
  <si>
    <t>IBNU ALWA</t>
  </si>
  <si>
    <t>NURI MAULIDA</t>
  </si>
  <si>
    <t>IBRAHIM PRATAMA SAPUTRA</t>
  </si>
  <si>
    <t>MUHAMAD HABIL ZULFIKAR</t>
  </si>
  <si>
    <t>MUHAMAD ANGGI KURNIAWAN</t>
  </si>
  <si>
    <t>ANISA FARIDATULLATIFAH</t>
  </si>
  <si>
    <t>ZASKIA RAMADANI AGUSTINA</t>
  </si>
  <si>
    <t>REVALINA FUTRI</t>
  </si>
  <si>
    <t>ALIA ROHMAH</t>
  </si>
  <si>
    <t>M. ISMAN NUGRAHA</t>
  </si>
  <si>
    <t>FAHMI AHMAD MUBAROQ</t>
  </si>
  <si>
    <t>MUHAMAD AZHAR</t>
  </si>
  <si>
    <t>KESYA ALZUPRI NURDIANSYAH</t>
  </si>
  <si>
    <t>SHABRY ALTHAF ZAKY</t>
  </si>
  <si>
    <t>MUHAMAD HADI PAUJAN</t>
  </si>
  <si>
    <t>FARID ABDULLAH</t>
  </si>
  <si>
    <t>MUHAMAD PAHRI PAUJI</t>
  </si>
  <si>
    <t>MUHAMAD PAHRA PAUJI</t>
  </si>
  <si>
    <t>NINA</t>
  </si>
  <si>
    <t>ILMAN NURMANA</t>
  </si>
  <si>
    <t>RAYYAN SAUD ABDUL AZIZ</t>
  </si>
  <si>
    <t>RADIANA MARYAM</t>
  </si>
  <si>
    <t>23.24.07.201</t>
  </si>
  <si>
    <t>SITI DIANIKA SARTIKA</t>
  </si>
  <si>
    <t>MOH RENO FIRMANSYAH</t>
  </si>
  <si>
    <t>22.23.07.215</t>
  </si>
  <si>
    <t>NADIA LUPITASARI</t>
  </si>
  <si>
    <t>SITI AINUN HUSNA QUROTUL AIN</t>
  </si>
  <si>
    <t>ARIF RAHMAN</t>
  </si>
  <si>
    <t>MUHAMAD FAISAL HAMZAH</t>
  </si>
  <si>
    <t>MUHAMMAD AKBAR RAMADHAN</t>
  </si>
  <si>
    <t>FEBRIYANI NUR AJIZAH</t>
  </si>
  <si>
    <t>NO daftar</t>
  </si>
  <si>
    <t>KELAS</t>
  </si>
  <si>
    <t>TGL LAHIR</t>
  </si>
  <si>
    <t>JENIS KELAMIN</t>
  </si>
  <si>
    <t>AGAMA</t>
  </si>
  <si>
    <t>NO KK</t>
  </si>
  <si>
    <t>NO AKTA LAHIR</t>
  </si>
  <si>
    <t>NO IJAZAH</t>
  </si>
  <si>
    <t>NO PESERTA UJIAN</t>
  </si>
  <si>
    <t>ALAMAT</t>
  </si>
  <si>
    <t>DUSUN</t>
  </si>
  <si>
    <t>KODE POS</t>
  </si>
  <si>
    <t>Data ORTU</t>
  </si>
  <si>
    <t>ASAL SEKOLAH</t>
  </si>
  <si>
    <t>NO KIP</t>
  </si>
  <si>
    <t>ANAK KE</t>
  </si>
  <si>
    <t>NO HP</t>
  </si>
  <si>
    <t>KP</t>
  </si>
  <si>
    <t>Desa</t>
  </si>
  <si>
    <t>Kec</t>
  </si>
  <si>
    <t>Ayah</t>
  </si>
  <si>
    <t>Tmpat Lahir</t>
  </si>
  <si>
    <t>JENJANG PENDIDIKAN</t>
  </si>
  <si>
    <t>PEKERJAAN</t>
  </si>
  <si>
    <t>Ibu</t>
  </si>
  <si>
    <t>001</t>
  </si>
  <si>
    <t>0125445792</t>
  </si>
  <si>
    <t>ISLAM</t>
  </si>
  <si>
    <t>3273030208101250</t>
  </si>
  <si>
    <t>3273033101120005</t>
  </si>
  <si>
    <t>3273-LT-16032018-0078</t>
  </si>
  <si>
    <t>GGH ZAKARIA DALAM 4</t>
  </si>
  <si>
    <t>007</t>
  </si>
  <si>
    <t>SUKAHAJI</t>
  </si>
  <si>
    <t>BABAKAN CIPARAY</t>
  </si>
  <si>
    <t>DIYAN</t>
  </si>
  <si>
    <t>32730330805680003</t>
  </si>
  <si>
    <t>TASIKMALAYA, 08/05/1968</t>
  </si>
  <si>
    <t>SD/SE DERAJAT</t>
  </si>
  <si>
    <t>PEDAGANG</t>
  </si>
  <si>
    <t>NANI SUNANI</t>
  </si>
  <si>
    <t>3273035212680000</t>
  </si>
  <si>
    <t>BANDUNG, 12/02/1968</t>
  </si>
  <si>
    <t>IRT</t>
  </si>
  <si>
    <t>SD PASUNDAN 2</t>
  </si>
  <si>
    <t>081265840591</t>
  </si>
  <si>
    <t>002</t>
  </si>
  <si>
    <t>0119466896</t>
  </si>
  <si>
    <t>3217112203210005</t>
  </si>
  <si>
    <t>3204256705110004</t>
  </si>
  <si>
    <t>157/LT/2011</t>
  </si>
  <si>
    <t>CIBUNGUR</t>
  </si>
  <si>
    <t>013</t>
  </si>
  <si>
    <t>CILILIN</t>
  </si>
  <si>
    <t>BARSI ASARI</t>
  </si>
  <si>
    <t>3204251505840003</t>
  </si>
  <si>
    <t>BANDUNG,15/05/1984</t>
  </si>
  <si>
    <t>SLTA/SE DERAJAT</t>
  </si>
  <si>
    <t>KARYAWAN SWASTA</t>
  </si>
  <si>
    <t>SITI MASRIAH</t>
  </si>
  <si>
    <t>3204256112890001</t>
  </si>
  <si>
    <t>BANDUNG, 21/12/1989</t>
  </si>
  <si>
    <t>SDN SUKARESMI 01 CIKARANG</t>
  </si>
  <si>
    <t>003</t>
  </si>
  <si>
    <t>3100638646</t>
  </si>
  <si>
    <t>3217111204100016</t>
  </si>
  <si>
    <t>3217114409100003</t>
  </si>
  <si>
    <t>8769/UMUM/2010</t>
  </si>
  <si>
    <t>MI-23 100089095</t>
  </si>
  <si>
    <t>23-10-26-1-0828-0021</t>
  </si>
  <si>
    <t>RIKI RIADUL AJHAR</t>
  </si>
  <si>
    <t>3217112610890006</t>
  </si>
  <si>
    <t>BANDUNG, 11/12/1989</t>
  </si>
  <si>
    <t>BURUH HARIAN LEPAS</t>
  </si>
  <si>
    <t>YETI MUSTAPIDAH</t>
  </si>
  <si>
    <t>3217115112900010</t>
  </si>
  <si>
    <t>BANDUNG, 11/12/1990</t>
  </si>
  <si>
    <t>MIS MUSLIMIN BONGAS 3</t>
  </si>
  <si>
    <t>083806813288</t>
  </si>
  <si>
    <t>004</t>
  </si>
  <si>
    <t>3126874409</t>
  </si>
  <si>
    <t>3217112712210004</t>
  </si>
  <si>
    <t>3217115907120001</t>
  </si>
  <si>
    <t>3217-LT-28072017-0663</t>
  </si>
  <si>
    <t>PANARUBAN</t>
  </si>
  <si>
    <t>UUS NURUL</t>
  </si>
  <si>
    <t>IIM RISMAYANTI</t>
  </si>
  <si>
    <t>3217114305940002</t>
  </si>
  <si>
    <t>BANDUNG, 08/09/1995</t>
  </si>
  <si>
    <t>SDN PANARUBAN</t>
  </si>
  <si>
    <t>32171709021937</t>
  </si>
  <si>
    <t>083116065173</t>
  </si>
  <si>
    <t>005</t>
  </si>
  <si>
    <t>30/04/1011</t>
  </si>
  <si>
    <t>3217110711140003</t>
  </si>
  <si>
    <t>3217117004110002</t>
  </si>
  <si>
    <t>5636/TPW/2011</t>
  </si>
  <si>
    <t>MI-13 100089085</t>
  </si>
  <si>
    <t>23-10-26-1-0828-0011</t>
  </si>
  <si>
    <t>ASEP ELAN DADIN SANTONI</t>
  </si>
  <si>
    <t>3217111503840001</t>
  </si>
  <si>
    <t>BANDUNG, 13/03/1984</t>
  </si>
  <si>
    <t>LISMA</t>
  </si>
  <si>
    <t>3217115504940007</t>
  </si>
  <si>
    <t>BANDUNG, 15/04/1994</t>
  </si>
  <si>
    <t>SLTP/SE DERAJAT</t>
  </si>
  <si>
    <t>083155482754</t>
  </si>
  <si>
    <t>0112414019</t>
  </si>
  <si>
    <t>3217122403150003</t>
  </si>
  <si>
    <t>3217102510110002</t>
  </si>
  <si>
    <t>10811/TPW/2011</t>
  </si>
  <si>
    <t>CIBOGO</t>
  </si>
  <si>
    <t>SHENDY FARIANDY</t>
  </si>
  <si>
    <t>3217102103760002</t>
  </si>
  <si>
    <t>BANDUNG,21/03/1976</t>
  </si>
  <si>
    <t>SITI ROHMAH</t>
  </si>
  <si>
    <t>3217106803860006</t>
  </si>
  <si>
    <t>BANDUNG, 26/03/1986</t>
  </si>
  <si>
    <t>SDN CIBANGBAN</t>
  </si>
  <si>
    <t>08318688221</t>
  </si>
  <si>
    <t>3128280289</t>
  </si>
  <si>
    <t>3217111905090026</t>
  </si>
  <si>
    <t>3217114102120001</t>
  </si>
  <si>
    <t>3217-LU-14052012-0083</t>
  </si>
  <si>
    <t>ADE GUNAWAN</t>
  </si>
  <si>
    <t>3217110807840022</t>
  </si>
  <si>
    <t>BANDUNG,08/07/1984</t>
  </si>
  <si>
    <t>HENI HERAWATI</t>
  </si>
  <si>
    <t>3217116201850009</t>
  </si>
  <si>
    <t>BANDUNG,22/01/1985</t>
  </si>
  <si>
    <t>MIS MUSLIMIN BONGAS 2</t>
  </si>
  <si>
    <t>23211123130191</t>
  </si>
  <si>
    <t>083844621977</t>
  </si>
  <si>
    <t>008</t>
  </si>
  <si>
    <t>AENI PUTRI ( TIDAK ADA )</t>
  </si>
  <si>
    <t>3217110902220004</t>
  </si>
  <si>
    <t>3211155705110001</t>
  </si>
  <si>
    <t>3211-LT-13072018-0070</t>
  </si>
  <si>
    <t>GEROGOL</t>
  </si>
  <si>
    <t>BUDIMAN HERWIYADI</t>
  </si>
  <si>
    <t>NIA KURNIASIH</t>
  </si>
  <si>
    <t>3217114811840015</t>
  </si>
  <si>
    <t>BANDUNG,  08/11/1984</t>
  </si>
  <si>
    <t>SDN JATIROKE 1</t>
  </si>
  <si>
    <t>083830314272</t>
  </si>
  <si>
    <t>009</t>
  </si>
  <si>
    <t>0105502083</t>
  </si>
  <si>
    <t>321721704050799</t>
  </si>
  <si>
    <t>3217122201100004</t>
  </si>
  <si>
    <t>1379/UMUM/2010</t>
  </si>
  <si>
    <t>PASIR KOLOTOK</t>
  </si>
  <si>
    <t>010</t>
  </si>
  <si>
    <t>40764</t>
  </si>
  <si>
    <t>ACENG</t>
  </si>
  <si>
    <t>3217120306610002</t>
  </si>
  <si>
    <t>BANDUNG,03/06/1981</t>
  </si>
  <si>
    <t>N.ANAH</t>
  </si>
  <si>
    <t>SDN CIBEREUM</t>
  </si>
  <si>
    <t>083854855300</t>
  </si>
  <si>
    <t>011314553</t>
  </si>
  <si>
    <t>3217120805120026</t>
  </si>
  <si>
    <t>3217120509110001</t>
  </si>
  <si>
    <t>9508/TPW/2011</t>
  </si>
  <si>
    <t>CIPEUCANG</t>
  </si>
  <si>
    <t>DADAN TUBAGUS</t>
  </si>
  <si>
    <t>3217121808680012</t>
  </si>
  <si>
    <t>BANDUNG,18/08/1968</t>
  </si>
  <si>
    <t>WIWIN NURWIANI</t>
  </si>
  <si>
    <t>3217124406830021</t>
  </si>
  <si>
    <t>BANDUNG,04/06/1983</t>
  </si>
  <si>
    <t>SD CIBEREUM</t>
  </si>
  <si>
    <t>1946902693629539/KKS</t>
  </si>
  <si>
    <t>085974534337</t>
  </si>
  <si>
    <t>011</t>
  </si>
  <si>
    <t>0129432917</t>
  </si>
  <si>
    <t>3217120404120043</t>
  </si>
  <si>
    <t>3217123003120003</t>
  </si>
  <si>
    <t>3217-LU-09072012-0148</t>
  </si>
  <si>
    <t>40564</t>
  </si>
  <si>
    <t>MIRWAN EFFENDI</t>
  </si>
  <si>
    <t>'3217120706860025</t>
  </si>
  <si>
    <t>BANDUNG,07/06/1986</t>
  </si>
  <si>
    <t>WIRASWASTA</t>
  </si>
  <si>
    <t>MIRANTI NUR AGUSTINA</t>
  </si>
  <si>
    <t>3217124808930015</t>
  </si>
  <si>
    <t>BANDUNG,08/08/1993</t>
  </si>
  <si>
    <t>083829876966</t>
  </si>
  <si>
    <t>012</t>
  </si>
  <si>
    <t>3129762480</t>
  </si>
  <si>
    <t>3217120908120041</t>
  </si>
  <si>
    <t>3217122008120007</t>
  </si>
  <si>
    <t>CIC HILIR</t>
  </si>
  <si>
    <t>4076</t>
  </si>
  <si>
    <t>ASEP IRPAN</t>
  </si>
  <si>
    <t>321712305810017</t>
  </si>
  <si>
    <t>BANDUNG,13/05/1981</t>
  </si>
  <si>
    <t>3217125203800030</t>
  </si>
  <si>
    <t>BANDUNG,12/03/1980</t>
  </si>
  <si>
    <t>MI CIC HILIR 2</t>
  </si>
  <si>
    <t>3115718130</t>
  </si>
  <si>
    <t xml:space="preserve">ISLAM </t>
  </si>
  <si>
    <t>3217122606120032</t>
  </si>
  <si>
    <t>32171229110003</t>
  </si>
  <si>
    <t>3217-LT-13112012-0131</t>
  </si>
  <si>
    <t>MI-24 100094263</t>
  </si>
  <si>
    <t>24-10-26-1-0841-0021</t>
  </si>
  <si>
    <t>PASIR BUNTU</t>
  </si>
  <si>
    <t>01</t>
  </si>
  <si>
    <t>08</t>
  </si>
  <si>
    <t>MULYANA</t>
  </si>
  <si>
    <t>321712280860003</t>
  </si>
  <si>
    <t>BANDUNG,28-08-1986</t>
  </si>
  <si>
    <t>SLTP/SEDRAJAT</t>
  </si>
  <si>
    <t>321712101930023</t>
  </si>
  <si>
    <t>BANDUNG 01-01-1993</t>
  </si>
  <si>
    <t>014</t>
  </si>
  <si>
    <t>3122434104</t>
  </si>
  <si>
    <t xml:space="preserve">BANDUNG BARAT </t>
  </si>
  <si>
    <t>3217120204080080</t>
  </si>
  <si>
    <t>32171290112004</t>
  </si>
  <si>
    <t>24-10-26-1-0841-0010</t>
  </si>
  <si>
    <t>HADI</t>
  </si>
  <si>
    <t>3217122301760001</t>
  </si>
  <si>
    <t>BANDUNG,23/01/1976</t>
  </si>
  <si>
    <t>3217124104770001</t>
  </si>
  <si>
    <t>BANDUNG,01/04/1977</t>
  </si>
  <si>
    <t>015</t>
  </si>
  <si>
    <t>31200421102</t>
  </si>
  <si>
    <t>321712704056725</t>
  </si>
  <si>
    <t>3217126604120003</t>
  </si>
  <si>
    <t>3217-LT-27092017-1366</t>
  </si>
  <si>
    <t>24-10-26-1-0841-0022</t>
  </si>
  <si>
    <t>3217120104730001</t>
  </si>
  <si>
    <t>BANDUNG,01/04/1973</t>
  </si>
  <si>
    <t>IPAH</t>
  </si>
  <si>
    <t>3217124706790001</t>
  </si>
  <si>
    <t>BANDUNG,07/06/1979</t>
  </si>
  <si>
    <t/>
  </si>
  <si>
    <t>016</t>
  </si>
  <si>
    <t>3123744668</t>
  </si>
  <si>
    <t>3217120905080017</t>
  </si>
  <si>
    <t>3217126902120005</t>
  </si>
  <si>
    <t>3217-LU-14062012-0119</t>
  </si>
  <si>
    <t>24-10-26-1-0841-0006</t>
  </si>
  <si>
    <t>YADI SUPRIADI</t>
  </si>
  <si>
    <t>321712011860010</t>
  </si>
  <si>
    <t>BANDUNG,01/10/1986</t>
  </si>
  <si>
    <t>AAN ANDRIYANI</t>
  </si>
  <si>
    <t>3217124803880002</t>
  </si>
  <si>
    <t>BANDUNG,08/03/1988</t>
  </si>
  <si>
    <t>083146803996</t>
  </si>
  <si>
    <t>017</t>
  </si>
  <si>
    <t>0116921181</t>
  </si>
  <si>
    <t>3217110410110006</t>
  </si>
  <si>
    <t>321711230110001</t>
  </si>
  <si>
    <t>3217-LT-08082012-0243</t>
  </si>
  <si>
    <t>11-10-2020-7005-014</t>
  </si>
  <si>
    <t>PASIR PANJANG</t>
  </si>
  <si>
    <t>GUGUNG SETIAWAN</t>
  </si>
  <si>
    <t>3217112610840001</t>
  </si>
  <si>
    <t>BANDUNG, 26/10/1984</t>
  </si>
  <si>
    <t>LIA NUR HALIMAH</t>
  </si>
  <si>
    <t>SDN 1 BOJONG</t>
  </si>
  <si>
    <t>018</t>
  </si>
  <si>
    <t>0117024091</t>
  </si>
  <si>
    <t>3277032404130001</t>
  </si>
  <si>
    <t>3277030311110003</t>
  </si>
  <si>
    <t>5477/2011</t>
  </si>
  <si>
    <t>SUKAWARGI</t>
  </si>
  <si>
    <t>CIBABAT</t>
  </si>
  <si>
    <t>CIMAHI UTARA</t>
  </si>
  <si>
    <t>40513</t>
  </si>
  <si>
    <t>AHMAD SOLEH</t>
  </si>
  <si>
    <t>3277032808790024</t>
  </si>
  <si>
    <t>CIMAHI,28/08/1979</t>
  </si>
  <si>
    <t>NURHAYAH</t>
  </si>
  <si>
    <t>3277034406800020</t>
  </si>
  <si>
    <t>BANDUNG,04/06/1980</t>
  </si>
  <si>
    <t>SDN KARANG MEKAR MANDIRI 1</t>
  </si>
  <si>
    <t>081395202573</t>
  </si>
  <si>
    <t>019</t>
  </si>
  <si>
    <t>0129151091</t>
  </si>
  <si>
    <t>3217112003120016</t>
  </si>
  <si>
    <t>3217111104120003</t>
  </si>
  <si>
    <t>3217-LU-19072012-0117</t>
  </si>
  <si>
    <t>02-11-20205381-019</t>
  </si>
  <si>
    <t>CIMALIMPING</t>
  </si>
  <si>
    <t>KARANG ANYAR</t>
  </si>
  <si>
    <t>40562</t>
  </si>
  <si>
    <t>HASAN SOBANDI</t>
  </si>
  <si>
    <t>3217111909730012</t>
  </si>
  <si>
    <t>BANDUNG,19/09/1973</t>
  </si>
  <si>
    <t>DEDE HASANAH</t>
  </si>
  <si>
    <t>3217114708810025</t>
  </si>
  <si>
    <t>BANDUNG,07/08/1981</t>
  </si>
  <si>
    <t>DIF90Y</t>
  </si>
  <si>
    <t>083833663639</t>
  </si>
  <si>
    <t>020</t>
  </si>
  <si>
    <t>0114424877</t>
  </si>
  <si>
    <t>3217110203180003</t>
  </si>
  <si>
    <t>3217126910110002</t>
  </si>
  <si>
    <t>3217-lt-23042012-0185</t>
  </si>
  <si>
    <t>02-11-20205381-005</t>
  </si>
  <si>
    <t>3217121608620004</t>
  </si>
  <si>
    <t>BANDUNG BARAT,</t>
  </si>
  <si>
    <t>MIMI</t>
  </si>
  <si>
    <t>3217125708740014</t>
  </si>
  <si>
    <t>BANDUNG,17/08/1974</t>
  </si>
  <si>
    <t>1946902693854996</t>
  </si>
  <si>
    <t>083841869347</t>
  </si>
  <si>
    <t>021</t>
  </si>
  <si>
    <t>3217111010120071</t>
  </si>
  <si>
    <t>3217112703110002</t>
  </si>
  <si>
    <t>33274/DISP/2011</t>
  </si>
  <si>
    <t>02-11-20205381-013</t>
  </si>
  <si>
    <t>SOLEH</t>
  </si>
  <si>
    <t>3217110305820018</t>
  </si>
  <si>
    <t>BANDUNG,03/05/1982</t>
  </si>
  <si>
    <t>3217115209880009</t>
  </si>
  <si>
    <t>BANDUNG,12/09/1988</t>
  </si>
  <si>
    <t>083833493275</t>
  </si>
  <si>
    <t>022</t>
  </si>
  <si>
    <t>3217112009110019</t>
  </si>
  <si>
    <t>3217114310110002</t>
  </si>
  <si>
    <t>52352/DISP/2011</t>
  </si>
  <si>
    <t>02-11-20205381-003</t>
  </si>
  <si>
    <t>ASEP DIMYATI</t>
  </si>
  <si>
    <t>3217110606830019</t>
  </si>
  <si>
    <t>BANDUNG,06/06/1983</t>
  </si>
  <si>
    <t>NENG PUSPITASARI</t>
  </si>
  <si>
    <t>3217114806920011</t>
  </si>
  <si>
    <t>BANDUNG,08/06/1992</t>
  </si>
  <si>
    <t>083829468731</t>
  </si>
  <si>
    <t>023</t>
  </si>
  <si>
    <t>0123020854</t>
  </si>
  <si>
    <t>ISLSM</t>
  </si>
  <si>
    <t>02-11-20205381-030</t>
  </si>
  <si>
    <t>083104973951</t>
  </si>
  <si>
    <t>024</t>
  </si>
  <si>
    <t>0112502426</t>
  </si>
  <si>
    <t>3217111608120006</t>
  </si>
  <si>
    <t>3217110111120008</t>
  </si>
  <si>
    <t>3217-LU-04012013-0079</t>
  </si>
  <si>
    <t>02-11-20205381-001</t>
  </si>
  <si>
    <t>BOJONG MASDIN</t>
  </si>
  <si>
    <t>ANO</t>
  </si>
  <si>
    <t>3217110208760014</t>
  </si>
  <si>
    <t>BANDUNG,02/08/1976</t>
  </si>
  <si>
    <t>YATI</t>
  </si>
  <si>
    <t>3217114607810022</t>
  </si>
  <si>
    <t>BANDUNG,06/07/1981</t>
  </si>
  <si>
    <t>083199046082</t>
  </si>
  <si>
    <t>025</t>
  </si>
  <si>
    <t>0113531060</t>
  </si>
  <si>
    <t>3217111504052277</t>
  </si>
  <si>
    <t>3217114107120006</t>
  </si>
  <si>
    <t>3217-LU-05092012-0051</t>
  </si>
  <si>
    <t>02-11-20205381-028</t>
  </si>
  <si>
    <t>HAUR NGAMBANG</t>
  </si>
  <si>
    <t>3217111101750005</t>
  </si>
  <si>
    <t>BANDUNG,11/01/1975</t>
  </si>
  <si>
    <t>MARNI</t>
  </si>
  <si>
    <t>3217115103820005</t>
  </si>
  <si>
    <t>BANDUNG,11/03/1982</t>
  </si>
  <si>
    <t>083841985116</t>
  </si>
  <si>
    <t>026</t>
  </si>
  <si>
    <t>3127928923</t>
  </si>
  <si>
    <t>3217-LU-31082012-0039</t>
  </si>
  <si>
    <t>LEMBUR SAWAH</t>
  </si>
  <si>
    <t>NEGLASARI</t>
  </si>
  <si>
    <t>SOPANDI</t>
  </si>
  <si>
    <t>3217120101690056</t>
  </si>
  <si>
    <t>BANDUNG,01/01/1969</t>
  </si>
  <si>
    <t>NIA KURNIAWATI</t>
  </si>
  <si>
    <t>3217126102800001</t>
  </si>
  <si>
    <t>BANDUNG,21/02/1980</t>
  </si>
  <si>
    <t>MI KHOERUNIKMAH</t>
  </si>
  <si>
    <t>083869406956</t>
  </si>
  <si>
    <t>027</t>
  </si>
  <si>
    <t>3114928010</t>
  </si>
  <si>
    <t>3217150507130014</t>
  </si>
  <si>
    <t>3217150802110002</t>
  </si>
  <si>
    <t>3217-LT-25092013-0368</t>
  </si>
  <si>
    <t>MEKAR JAYA</t>
  </si>
  <si>
    <t>SUKASARI</t>
  </si>
  <si>
    <t>GUNUNG HALU</t>
  </si>
  <si>
    <t>ASEP</t>
  </si>
  <si>
    <t>3217150107790223</t>
  </si>
  <si>
    <t>BANDUNG,01/07/1979</t>
  </si>
  <si>
    <t>NURYANTI</t>
  </si>
  <si>
    <t>3217155908850002</t>
  </si>
  <si>
    <t>BANDUNG,19/08/1985</t>
  </si>
  <si>
    <t>MIS MUSLIMIN</t>
  </si>
  <si>
    <t>08815180235</t>
  </si>
  <si>
    <t>028</t>
  </si>
  <si>
    <t>0112405084</t>
  </si>
  <si>
    <t>3217121709120054</t>
  </si>
  <si>
    <t>3217121409110003</t>
  </si>
  <si>
    <t>3217-LT-1872021-0034</t>
  </si>
  <si>
    <t>CIHUNI</t>
  </si>
  <si>
    <t>JAEN</t>
  </si>
  <si>
    <t>3217122808820007</t>
  </si>
  <si>
    <t>BANDUNG,28/08/1982</t>
  </si>
  <si>
    <t>SLTP/SEDERAJAT</t>
  </si>
  <si>
    <t>SIFA SAUBIAH</t>
  </si>
  <si>
    <t>3217126110880004</t>
  </si>
  <si>
    <t>BANDUNG, 21/10/1988</t>
  </si>
  <si>
    <t>SDN PASIR DADALI</t>
  </si>
  <si>
    <t>085723626295</t>
  </si>
  <si>
    <t>181901004</t>
  </si>
  <si>
    <t>3217141512120000</t>
  </si>
  <si>
    <t>3217143107120000</t>
  </si>
  <si>
    <t>22313/UMUM/2012</t>
  </si>
  <si>
    <t>GUNUNG SANGAR</t>
  </si>
  <si>
    <t>DANI BANA</t>
  </si>
  <si>
    <t>BANDUNG,15/03/1991</t>
  </si>
  <si>
    <t>SLTA/SEDERAJAT</t>
  </si>
  <si>
    <t>FITRIYANI</t>
  </si>
  <si>
    <t>3217024611950000</t>
  </si>
  <si>
    <t>BANDUNG, 06/11/1995</t>
  </si>
  <si>
    <t>SDN GANDASARI</t>
  </si>
  <si>
    <t>030</t>
  </si>
  <si>
    <t>0123605331</t>
  </si>
  <si>
    <t>3217141504055980</t>
  </si>
  <si>
    <t>3217146801120000</t>
  </si>
  <si>
    <t>3217-LU-29052012-0050</t>
  </si>
  <si>
    <t>11-13-20270308-004</t>
  </si>
  <si>
    <t>PEUSINGHILIR</t>
  </si>
  <si>
    <t>40553</t>
  </si>
  <si>
    <t>ACCENG SOPANDI</t>
  </si>
  <si>
    <t>3217141110650001</t>
  </si>
  <si>
    <t>BANDUNG, 11/01/1965</t>
  </si>
  <si>
    <t>3217144911720001</t>
  </si>
  <si>
    <t>BANDUNG, 09/11/1972</t>
  </si>
  <si>
    <t xml:space="preserve">SDN MUSLIMIN </t>
  </si>
  <si>
    <t>083817184608</t>
  </si>
  <si>
    <t>031</t>
  </si>
  <si>
    <t>0112033415</t>
  </si>
  <si>
    <t>32171217022120042</t>
  </si>
  <si>
    <t>3217121507110001</t>
  </si>
  <si>
    <t>11-12-20207729-032</t>
  </si>
  <si>
    <t>CIAWI</t>
  </si>
  <si>
    <t>SUPIAN HASBULAH</t>
  </si>
  <si>
    <t>32171211080018</t>
  </si>
  <si>
    <t>BANDUNG,11/08/1976</t>
  </si>
  <si>
    <t>HARIRI NURJANAH</t>
  </si>
  <si>
    <t>321712584880012</t>
  </si>
  <si>
    <t>BANDUNG,15/04/1988</t>
  </si>
  <si>
    <t>085603734402</t>
  </si>
  <si>
    <t>032</t>
  </si>
  <si>
    <t>ALVERINA RAISSA GHASSANI ( TIDAK ADA )</t>
  </si>
  <si>
    <t>0109026761</t>
  </si>
  <si>
    <t>CIKOLAK</t>
  </si>
  <si>
    <t>SDN KARET TENGSIN</t>
  </si>
  <si>
    <t>081400591923</t>
  </si>
  <si>
    <t>033</t>
  </si>
  <si>
    <t>0129836836</t>
  </si>
  <si>
    <t>3217110110120049</t>
  </si>
  <si>
    <t>3217113103120001</t>
  </si>
  <si>
    <t>3217-LU-17072012-0113</t>
  </si>
  <si>
    <t>SAEPUL</t>
  </si>
  <si>
    <t>3217112207780007</t>
  </si>
  <si>
    <t>BANDUNG, 22/07/1978</t>
  </si>
  <si>
    <t>3217116806840011</t>
  </si>
  <si>
    <t>BANDUNG, 28/06/1984</t>
  </si>
  <si>
    <t>SDN 1 RANCAPANGGUNG</t>
  </si>
  <si>
    <t>083829821117</t>
  </si>
  <si>
    <t>034</t>
  </si>
  <si>
    <t>0119517699</t>
  </si>
  <si>
    <t>3217120711070095</t>
  </si>
  <si>
    <t>3217127010110003</t>
  </si>
  <si>
    <t>12856/TPW/2011</t>
  </si>
  <si>
    <t>11-12-20207729-054</t>
  </si>
  <si>
    <t>CIBEREUM</t>
  </si>
  <si>
    <t>ASEP SAEPUDIN</t>
  </si>
  <si>
    <t>3217121603680004</t>
  </si>
  <si>
    <t>BANDUNG,16/03/1968</t>
  </si>
  <si>
    <t>NENENG MARYATI</t>
  </si>
  <si>
    <t>3217124504740022</t>
  </si>
  <si>
    <t>BANDUNG,05/04/1974</t>
  </si>
  <si>
    <t>1946902691780102</t>
  </si>
  <si>
    <t>083820812103</t>
  </si>
  <si>
    <t>035</t>
  </si>
  <si>
    <t>0121986890</t>
  </si>
  <si>
    <t>3217110808180005</t>
  </si>
  <si>
    <t>3217110408120006</t>
  </si>
  <si>
    <t>11-11-20206587-008</t>
  </si>
  <si>
    <t>GALIH NURANGGA</t>
  </si>
  <si>
    <t>3201041609850003</t>
  </si>
  <si>
    <t>BANDUNG,16/09/1985</t>
  </si>
  <si>
    <t>AI BATNI PURWANI</t>
  </si>
  <si>
    <t>3217116301910013</t>
  </si>
  <si>
    <t>BANDUNG,23/01/1991</t>
  </si>
  <si>
    <t>SDN SIRNAGALIH</t>
  </si>
  <si>
    <t>08388269065</t>
  </si>
  <si>
    <t>036</t>
  </si>
  <si>
    <t>0123676382</t>
  </si>
  <si>
    <t>3217112509120012</t>
  </si>
  <si>
    <t>3217110703120001</t>
  </si>
  <si>
    <t>3217-LT-16032017-0141</t>
  </si>
  <si>
    <t>BALONG</t>
  </si>
  <si>
    <t>HADI KUSTIADI</t>
  </si>
  <si>
    <t>32167112008870010</t>
  </si>
  <si>
    <t>BANDUNG,20/08/1986</t>
  </si>
  <si>
    <t>SARIPAH LALA</t>
  </si>
  <si>
    <t>3217114512920001</t>
  </si>
  <si>
    <t>BANDUNG,05/12/1992</t>
  </si>
  <si>
    <t>G1PCRD</t>
  </si>
  <si>
    <t>08387744914</t>
  </si>
  <si>
    <t>037</t>
  </si>
  <si>
    <t>3114355899</t>
  </si>
  <si>
    <t>3217120212070007</t>
  </si>
  <si>
    <t>3217126412110004</t>
  </si>
  <si>
    <t>3217-LT-27092017-0475</t>
  </si>
  <si>
    <t>CICANGKANG</t>
  </si>
  <si>
    <t>ASEP SOMANTRI</t>
  </si>
  <si>
    <t>3217120707770035</t>
  </si>
  <si>
    <t>BANDUNG,07/08/1977</t>
  </si>
  <si>
    <t>AI NURAENI</t>
  </si>
  <si>
    <t>3217124304840027</t>
  </si>
  <si>
    <t>BANDUNG,02/02/1984</t>
  </si>
  <si>
    <t>SDN 1 CIC HILIR</t>
  </si>
  <si>
    <t>083130600373</t>
  </si>
  <si>
    <t>038</t>
  </si>
  <si>
    <t>0111095466</t>
  </si>
  <si>
    <t>3217120905120020</t>
  </si>
  <si>
    <t>3217126808110001</t>
  </si>
  <si>
    <t>4671/DISP/2011</t>
  </si>
  <si>
    <t>PASIR KUYA</t>
  </si>
  <si>
    <t>REPKI ALAMSAH</t>
  </si>
  <si>
    <t>3217120408870007</t>
  </si>
  <si>
    <t>BANDUNG,04/08/1987</t>
  </si>
  <si>
    <t>ELIS NURAENI</t>
  </si>
  <si>
    <t>3217126605930006</t>
  </si>
  <si>
    <t>BANDUNG,16/05/1993</t>
  </si>
  <si>
    <t>SD/SEDERAJAT</t>
  </si>
  <si>
    <t>085724282640</t>
  </si>
  <si>
    <t>039</t>
  </si>
  <si>
    <t>0117688092</t>
  </si>
  <si>
    <t>3217111807120014</t>
  </si>
  <si>
    <t>3217113009110002</t>
  </si>
  <si>
    <t>3217-LT-15092017-1571</t>
  </si>
  <si>
    <t>ENDAY HIDAYATULLOH</t>
  </si>
  <si>
    <t>3217111605850006</t>
  </si>
  <si>
    <t>BANDUNG, 16/05/1985</t>
  </si>
  <si>
    <t>YULIANAH</t>
  </si>
  <si>
    <t>3217114207860015</t>
  </si>
  <si>
    <t>BANDUNG, 02/07/1986</t>
  </si>
  <si>
    <t>SDN 3 RANCAPANGGUNG</t>
  </si>
  <si>
    <t>081220547673</t>
  </si>
  <si>
    <t>040</t>
  </si>
  <si>
    <t>0117739856</t>
  </si>
  <si>
    <t>3217111511070005</t>
  </si>
  <si>
    <t>3217111111011001</t>
  </si>
  <si>
    <t>3217-LT-08082012-0244</t>
  </si>
  <si>
    <t>DADIN</t>
  </si>
  <si>
    <t>3217111112750005</t>
  </si>
  <si>
    <t>BANDUNG,11//12/1975</t>
  </si>
  <si>
    <t>YULIANTI</t>
  </si>
  <si>
    <t>3217114509800013</t>
  </si>
  <si>
    <t>BANDUNG,05/09/1980</t>
  </si>
  <si>
    <t>SDN 1 CICANGKANG HILIR</t>
  </si>
  <si>
    <t>041</t>
  </si>
  <si>
    <t>0113680406</t>
  </si>
  <si>
    <t>3217122011070051</t>
  </si>
  <si>
    <t>3217126609110001</t>
  </si>
  <si>
    <t>CIPETEUY</t>
  </si>
  <si>
    <t>DIDIN</t>
  </si>
  <si>
    <t>3217122602750004</t>
  </si>
  <si>
    <t>BANDUNG,26/02/1975</t>
  </si>
  <si>
    <t>AI NURAINI</t>
  </si>
  <si>
    <t>3217124702840013</t>
  </si>
  <si>
    <t>BANDUNG,07/02/1984</t>
  </si>
  <si>
    <t>083807073559</t>
  </si>
  <si>
    <t>042</t>
  </si>
  <si>
    <t>0124289810</t>
  </si>
  <si>
    <t>ENCEP SUDRAJAT</t>
  </si>
  <si>
    <t>NINING</t>
  </si>
  <si>
    <t>083142152116</t>
  </si>
  <si>
    <t>043</t>
  </si>
  <si>
    <t>0111246355</t>
  </si>
  <si>
    <t>SUKATANI</t>
  </si>
  <si>
    <t>ENDANG STAJUDIN</t>
  </si>
  <si>
    <t>NANI MULYANI</t>
  </si>
  <si>
    <t>044</t>
  </si>
  <si>
    <t>0104901182</t>
  </si>
  <si>
    <t>10801/UMUM/2010</t>
  </si>
  <si>
    <t>BOJONG RANCA</t>
  </si>
  <si>
    <t>KARMANUDIN</t>
  </si>
  <si>
    <t>3217121207740010</t>
  </si>
  <si>
    <t>BANDUNG, 12/07/197</t>
  </si>
  <si>
    <t>3217126402840005</t>
  </si>
  <si>
    <t>BANDUNG,24/02/1984</t>
  </si>
  <si>
    <t>SDN 1 CIJENUK</t>
  </si>
  <si>
    <t>083179643918</t>
  </si>
  <si>
    <t>045</t>
  </si>
  <si>
    <t>0129871263</t>
  </si>
  <si>
    <t>3217120203120033</t>
  </si>
  <si>
    <t>3217122205120004</t>
  </si>
  <si>
    <t>3217-LU-30072012-0012</t>
  </si>
  <si>
    <t>WARUNG</t>
  </si>
  <si>
    <t>JAJANG NURJAMAN</t>
  </si>
  <si>
    <t>3217122007860006</t>
  </si>
  <si>
    <t>BANDUNG, 20/07/1986</t>
  </si>
  <si>
    <t>RANI WIDANINGSIH</t>
  </si>
  <si>
    <t>3217126010910009</t>
  </si>
  <si>
    <t>BANDUNG, 20/10/1991</t>
  </si>
  <si>
    <t>081646857530</t>
  </si>
  <si>
    <t>046</t>
  </si>
  <si>
    <t>3217120208210022</t>
  </si>
  <si>
    <t>3671122411110000</t>
  </si>
  <si>
    <t>3671-LT-07042017-0293</t>
  </si>
  <si>
    <t>HOPID RUSTANDI</t>
  </si>
  <si>
    <t>3217120310790001</t>
  </si>
  <si>
    <t>BANDUNG,10/10/1976</t>
  </si>
  <si>
    <t>TATI NINGSIH</t>
  </si>
  <si>
    <t>3671124508720008</t>
  </si>
  <si>
    <t>CIAMIS,05/08/1972</t>
  </si>
  <si>
    <t>GURU</t>
  </si>
  <si>
    <t>SDN BINAWARGA</t>
  </si>
  <si>
    <t>047</t>
  </si>
  <si>
    <t>0118317881</t>
  </si>
  <si>
    <t>3217121604055639</t>
  </si>
  <si>
    <t>3217122608110003</t>
  </si>
  <si>
    <t>3217-LT-30112013-0246</t>
  </si>
  <si>
    <t>11-12-20206992-005</t>
  </si>
  <si>
    <t>IKIN</t>
  </si>
  <si>
    <t>3217121106620001</t>
  </si>
  <si>
    <t>BANDUNG, 11/06/1962</t>
  </si>
  <si>
    <t>TUTI</t>
  </si>
  <si>
    <t>321126109950002</t>
  </si>
  <si>
    <t>BANDUNG, 21/09/1995</t>
  </si>
  <si>
    <t>083848561560</t>
  </si>
  <si>
    <t>048</t>
  </si>
  <si>
    <t>0127811078</t>
  </si>
  <si>
    <t>3217121604056623</t>
  </si>
  <si>
    <t>3217122701120002</t>
  </si>
  <si>
    <t>11-12-20206992-004</t>
  </si>
  <si>
    <t>EMAN</t>
  </si>
  <si>
    <t>3217121210660001</t>
  </si>
  <si>
    <t>BANDUNG, 12/10/1986</t>
  </si>
  <si>
    <t>YAYAH</t>
  </si>
  <si>
    <t>3217125012720001</t>
  </si>
  <si>
    <t>BANDUNG, 10/12/1972</t>
  </si>
  <si>
    <t>083931901595</t>
  </si>
  <si>
    <t>049</t>
  </si>
  <si>
    <t>0125081382</t>
  </si>
  <si>
    <t>GARUT</t>
  </si>
  <si>
    <t>3217111407210005</t>
  </si>
  <si>
    <t>3205-LT-23092022-0058</t>
  </si>
  <si>
    <t>11-11-20206353-005</t>
  </si>
  <si>
    <t>TANJUNGSARI</t>
  </si>
  <si>
    <t>SDN PASIR PANJANG</t>
  </si>
  <si>
    <t>083824640141</t>
  </si>
  <si>
    <t>050</t>
  </si>
  <si>
    <t>0121413650</t>
  </si>
  <si>
    <t>3217121104120032</t>
  </si>
  <si>
    <t>3217125806120001</t>
  </si>
  <si>
    <t>3217-LU-14082012-0154</t>
  </si>
  <si>
    <t>SEUSEUPAN</t>
  </si>
  <si>
    <t>HADIYANI</t>
  </si>
  <si>
    <t>3217120202820032</t>
  </si>
  <si>
    <t>BANDUNG,02/02/1982</t>
  </si>
  <si>
    <t>ELIS</t>
  </si>
  <si>
    <t>3217124909860021</t>
  </si>
  <si>
    <t>TANGGERANG,09/09/1976</t>
  </si>
  <si>
    <t>SDN PASANGGRAHAN 2</t>
  </si>
  <si>
    <t>083824331744</t>
  </si>
  <si>
    <t>051</t>
  </si>
  <si>
    <t>0119049192</t>
  </si>
  <si>
    <t>3203072209080052</t>
  </si>
  <si>
    <t>3203076012110003</t>
  </si>
  <si>
    <t>3203-LT-26062012-0064</t>
  </si>
  <si>
    <t>BABAKANCARINGIN</t>
  </si>
  <si>
    <t>KARANG TENGAH</t>
  </si>
  <si>
    <t>43281</t>
  </si>
  <si>
    <t>3203071703810004</t>
  </si>
  <si>
    <t>CIANJUR,17/03/1981</t>
  </si>
  <si>
    <t>SITI JUBAEDAH</t>
  </si>
  <si>
    <t>3203074503850003</t>
  </si>
  <si>
    <t>CIANJUR,05/03/1985</t>
  </si>
  <si>
    <t>SDN BABAKANCARINGIN 1</t>
  </si>
  <si>
    <t>085860973575</t>
  </si>
  <si>
    <t>052</t>
  </si>
  <si>
    <t>0117072124</t>
  </si>
  <si>
    <t>3217122205180005</t>
  </si>
  <si>
    <t>3217126708110002</t>
  </si>
  <si>
    <t>3217-LT-16102013-0130</t>
  </si>
  <si>
    <t>WARENG</t>
  </si>
  <si>
    <t>WARSONO</t>
  </si>
  <si>
    <t>3217141612800003</t>
  </si>
  <si>
    <t>BANDUNG,16/12/1980</t>
  </si>
  <si>
    <t>3217144711850003</t>
  </si>
  <si>
    <t>BANDUNG,07/11/1985</t>
  </si>
  <si>
    <t>SDN 180 PRAKARSA NUGRAHA</t>
  </si>
  <si>
    <t>087727265053</t>
  </si>
  <si>
    <t>053</t>
  </si>
  <si>
    <t xml:space="preserve">BANDUNG  </t>
  </si>
  <si>
    <t>3217122910210004</t>
  </si>
  <si>
    <t>3217125208110001</t>
  </si>
  <si>
    <t>8864/TPW/2011</t>
  </si>
  <si>
    <t>AGUS SUHAELI</t>
  </si>
  <si>
    <t>AI ISYE JUARIAH</t>
  </si>
  <si>
    <t>SDN PASIRBANTENG</t>
  </si>
  <si>
    <t>054</t>
  </si>
  <si>
    <t>3217112109110022</t>
  </si>
  <si>
    <t>3217115501120003</t>
  </si>
  <si>
    <t>3217-LT-22032012-0070</t>
  </si>
  <si>
    <t>24-10-26-1-0833-0030</t>
  </si>
  <si>
    <t>PERELAS</t>
  </si>
  <si>
    <t>BUDIHARJA</t>
  </si>
  <si>
    <t>AMAY SUHENA</t>
  </si>
  <si>
    <t>3217110304650016</t>
  </si>
  <si>
    <t>BANDUNG, 03/04/1985</t>
  </si>
  <si>
    <t>SANTI SUSANTI</t>
  </si>
  <si>
    <t>3217114702920006</t>
  </si>
  <si>
    <t>BANDUNG, 07/02/1992</t>
  </si>
  <si>
    <t>MI PERELAS</t>
  </si>
  <si>
    <t>085722068393</t>
  </si>
  <si>
    <t>055</t>
  </si>
  <si>
    <t>3217112511140002</t>
  </si>
  <si>
    <t>3217112003110002</t>
  </si>
  <si>
    <t>3217-LT-05092022-0068</t>
  </si>
  <si>
    <t>RAMDAN KURNIAWAN</t>
  </si>
  <si>
    <t>3217110706840027</t>
  </si>
  <si>
    <t>BANDUNG, 07/06/1984</t>
  </si>
  <si>
    <t>DEDE NURHAYATI</t>
  </si>
  <si>
    <t>3203106702920021</t>
  </si>
  <si>
    <t>BANDUNG, 27/02/1992</t>
  </si>
  <si>
    <t>083829717799</t>
  </si>
  <si>
    <t>056</t>
  </si>
  <si>
    <t>3217112905060104</t>
  </si>
  <si>
    <t>3217110702120002</t>
  </si>
  <si>
    <t>3217-LT-11012024-0006</t>
  </si>
  <si>
    <t>CECEP IIN SOLIHIN</t>
  </si>
  <si>
    <t>3217112103780005</t>
  </si>
  <si>
    <t>BANDUNG, 21/03/1978</t>
  </si>
  <si>
    <t>CICA HAYATI</t>
  </si>
  <si>
    <t>3217116608780003</t>
  </si>
  <si>
    <t>BANDUNG,26/08/1978</t>
  </si>
  <si>
    <t>2321123130366</t>
  </si>
  <si>
    <t>057</t>
  </si>
  <si>
    <t>3217111504052252</t>
  </si>
  <si>
    <t>3217110411100001</t>
  </si>
  <si>
    <t>10864/UMUM/2010</t>
  </si>
  <si>
    <t>PAHRUDIN</t>
  </si>
  <si>
    <t>3217111504710004</t>
  </si>
  <si>
    <t>BANDUNG,15/04/1971</t>
  </si>
  <si>
    <t>N NURHAYATI</t>
  </si>
  <si>
    <t>3217115004720007</t>
  </si>
  <si>
    <t>BANDUNG, 10/04/1972</t>
  </si>
  <si>
    <t>058</t>
  </si>
  <si>
    <t>3114811039</t>
  </si>
  <si>
    <t>12/07/2011</t>
  </si>
  <si>
    <t>3217112211120030</t>
  </si>
  <si>
    <t>3217111207110001</t>
  </si>
  <si>
    <t>3217-LT-14062013-0073</t>
  </si>
  <si>
    <t>RUSTANDI</t>
  </si>
  <si>
    <t>3217112609860005</t>
  </si>
  <si>
    <t>BANDUNG,16/09/1986</t>
  </si>
  <si>
    <t>3217115209830005</t>
  </si>
  <si>
    <t>BADUNG, 12/09/1983</t>
  </si>
  <si>
    <t>081223009053</t>
  </si>
  <si>
    <t>059</t>
  </si>
  <si>
    <t>3217112611130016</t>
  </si>
  <si>
    <t>3217112612110003</t>
  </si>
  <si>
    <t>3217-LT-13102022-0218</t>
  </si>
  <si>
    <t>SAMSU</t>
  </si>
  <si>
    <t>3217112808910008</t>
  </si>
  <si>
    <t>BANDUNG,28/08/1991</t>
  </si>
  <si>
    <t>YANI MARYANI</t>
  </si>
  <si>
    <t>3217114604870006</t>
  </si>
  <si>
    <t>BANDUNG, 06/04/1987</t>
  </si>
  <si>
    <t>08382085157</t>
  </si>
  <si>
    <t>060</t>
  </si>
  <si>
    <t>3118271884</t>
  </si>
  <si>
    <t>3217112412050038</t>
  </si>
  <si>
    <t>3217111009110001</t>
  </si>
  <si>
    <t>10209/TPW/2011</t>
  </si>
  <si>
    <t>24-10-26-1-0833-0017</t>
  </si>
  <si>
    <t>KODIR</t>
  </si>
  <si>
    <t>3217110805620004</t>
  </si>
  <si>
    <t>BANDUNG, 08/05/1962</t>
  </si>
  <si>
    <t>UUM</t>
  </si>
  <si>
    <t>3217116510690002</t>
  </si>
  <si>
    <t>BANDUNG, 25/10/1969</t>
  </si>
  <si>
    <t>082219796167</t>
  </si>
  <si>
    <t>061</t>
  </si>
  <si>
    <t>3114300307</t>
  </si>
  <si>
    <t>3217112109110021</t>
  </si>
  <si>
    <t>3217111111110009</t>
  </si>
  <si>
    <t>11754/TPW/2011</t>
  </si>
  <si>
    <t>24-10-26-1-0833-0016</t>
  </si>
  <si>
    <t>BAHRUL SAPAAT</t>
  </si>
  <si>
    <t>3217110307900009</t>
  </si>
  <si>
    <t>BANDUNG, 03/07/1990</t>
  </si>
  <si>
    <t>DEDEH YUNINGSIH</t>
  </si>
  <si>
    <t>3217116709920008</t>
  </si>
  <si>
    <t>BANDUNG, 27/09/1992</t>
  </si>
  <si>
    <t>32171709021908</t>
  </si>
  <si>
    <t>083169355563</t>
  </si>
  <si>
    <t>062</t>
  </si>
  <si>
    <t>3103860613</t>
  </si>
  <si>
    <t>3217111201060011</t>
  </si>
  <si>
    <t>3217116610100001</t>
  </si>
  <si>
    <t>24-10-26-1-0833-0026</t>
  </si>
  <si>
    <t>3217110510750015</t>
  </si>
  <si>
    <t>BANDUNG, 05/10/1975</t>
  </si>
  <si>
    <t>3217115009750006</t>
  </si>
  <si>
    <t>BANDUNG, 10/09/1975</t>
  </si>
  <si>
    <t>083110051313</t>
  </si>
  <si>
    <t>063</t>
  </si>
  <si>
    <t>3128981199</t>
  </si>
  <si>
    <t>19/01/20112</t>
  </si>
  <si>
    <t>3217112910120011</t>
  </si>
  <si>
    <t>3217115901120001</t>
  </si>
  <si>
    <t>3217-LT-28062019-0143</t>
  </si>
  <si>
    <t>24-10-26-1-0833-0012</t>
  </si>
  <si>
    <t>JAENUDIN</t>
  </si>
  <si>
    <t>3217113007870011</t>
  </si>
  <si>
    <t>BANDUNG, 30/07/1987</t>
  </si>
  <si>
    <t>LIANITA</t>
  </si>
  <si>
    <t>085927310157</t>
  </si>
  <si>
    <t>064</t>
  </si>
  <si>
    <t>3117322399</t>
  </si>
  <si>
    <t>3217111105090023</t>
  </si>
  <si>
    <t>3217115712110002</t>
  </si>
  <si>
    <t>13339/TPW/2011</t>
  </si>
  <si>
    <t>24-10-26-1-0833-0002</t>
  </si>
  <si>
    <t>DADANG NURJAMAN</t>
  </si>
  <si>
    <t>3217111704860007</t>
  </si>
  <si>
    <t>BANDUNG, 17/04/1986</t>
  </si>
  <si>
    <t>LATIPAH</t>
  </si>
  <si>
    <t>3217116003870005</t>
  </si>
  <si>
    <t>BANDUNG, 20/03/1987</t>
  </si>
  <si>
    <t>23211123130352</t>
  </si>
  <si>
    <t>065</t>
  </si>
  <si>
    <t>3129234131</t>
  </si>
  <si>
    <t>3217111711110002</t>
  </si>
  <si>
    <t>3217111301120001</t>
  </si>
  <si>
    <t>3217-LU-31052012-0103</t>
  </si>
  <si>
    <t>24-10-26-1-0833-0015</t>
  </si>
  <si>
    <t>WARUNG AWI</t>
  </si>
  <si>
    <t>ANDI LALA</t>
  </si>
  <si>
    <t>3217111511820000</t>
  </si>
  <si>
    <t>BANDUNG, 15/11/1982</t>
  </si>
  <si>
    <t>PUPU PURNAMASARI</t>
  </si>
  <si>
    <t>3217116804890001</t>
  </si>
  <si>
    <t>BANDUNG, 28/040/1989</t>
  </si>
  <si>
    <t>082129227239</t>
  </si>
  <si>
    <t>066</t>
  </si>
  <si>
    <t>3110479288</t>
  </si>
  <si>
    <t>3217112704120014</t>
  </si>
  <si>
    <t>3217115108110001</t>
  </si>
  <si>
    <t>9126-TPW-2011</t>
  </si>
  <si>
    <t>PERLAS</t>
  </si>
  <si>
    <t>DADANG SUPYAN,S.Pd</t>
  </si>
  <si>
    <t>3217110909750002</t>
  </si>
  <si>
    <t>BANDUNG, 09/09/1975</t>
  </si>
  <si>
    <t>DIPLOMA IV/STRATA I</t>
  </si>
  <si>
    <t>KARYAWAN HONORER</t>
  </si>
  <si>
    <t>085215593647</t>
  </si>
  <si>
    <t>067</t>
  </si>
  <si>
    <t>3110553906</t>
  </si>
  <si>
    <t>3217110109120007</t>
  </si>
  <si>
    <t>3217113003120001</t>
  </si>
  <si>
    <t>4126/TPW/2011</t>
  </si>
  <si>
    <t>3217110203880009</t>
  </si>
  <si>
    <t>BANDUNG, 02/03/1988</t>
  </si>
  <si>
    <t>3217114101940022</t>
  </si>
  <si>
    <t>BANDUNG, 01/01/1994</t>
  </si>
  <si>
    <t>TAMAT SD/SEDERAJAT</t>
  </si>
  <si>
    <t>083822112305</t>
  </si>
  <si>
    <t>068</t>
  </si>
  <si>
    <t>3115851780</t>
  </si>
  <si>
    <t>3217112809060019</t>
  </si>
  <si>
    <t>3217114512110001</t>
  </si>
  <si>
    <t>12322/TPW/2011</t>
  </si>
  <si>
    <t>KOMA</t>
  </si>
  <si>
    <t>3217110202660003</t>
  </si>
  <si>
    <t>BANDUNG, 02/01/1966</t>
  </si>
  <si>
    <t>WAWAN SUHAETI</t>
  </si>
  <si>
    <t>3217114406700018</t>
  </si>
  <si>
    <t>BANDUNG, 04/06/1970</t>
  </si>
  <si>
    <t>081223714767</t>
  </si>
  <si>
    <t>069</t>
  </si>
  <si>
    <t>3114936634</t>
  </si>
  <si>
    <t>3217111504052210</t>
  </si>
  <si>
    <t>3217116005110002</t>
  </si>
  <si>
    <t>5644/TPW/2011</t>
  </si>
  <si>
    <t>SOBIRIN</t>
  </si>
  <si>
    <t>3217111010720007</t>
  </si>
  <si>
    <t>BANDUNG, 10/10/1972</t>
  </si>
  <si>
    <t>3217116209790001</t>
  </si>
  <si>
    <t>BANDUNG, 22/09/1979</t>
  </si>
  <si>
    <t>083820895445</t>
  </si>
  <si>
    <t>070</t>
  </si>
  <si>
    <t>3117382232</t>
  </si>
  <si>
    <t>3217112202100013</t>
  </si>
  <si>
    <t>3217115105110001</t>
  </si>
  <si>
    <t>5640/TPW/2011</t>
  </si>
  <si>
    <t>IDRIS</t>
  </si>
  <si>
    <t>3217111712800002</t>
  </si>
  <si>
    <t>BANDUNG, 17/12/1980</t>
  </si>
  <si>
    <t>EPA NURHAYATI</t>
  </si>
  <si>
    <t>3217115002870014</t>
  </si>
  <si>
    <t>BANDUNG, 10/02/1987</t>
  </si>
  <si>
    <t>083829413064</t>
  </si>
  <si>
    <t>071</t>
  </si>
  <si>
    <t>60709489</t>
  </si>
  <si>
    <t>3277010912110001</t>
  </si>
  <si>
    <t>3277016105110003</t>
  </si>
  <si>
    <t>273/2012</t>
  </si>
  <si>
    <t>PADAKASIH</t>
  </si>
  <si>
    <t>CIBEBER</t>
  </si>
  <si>
    <t>CIMAHI SELATAN</t>
  </si>
  <si>
    <t>40531</t>
  </si>
  <si>
    <t>JENAL ARIPIN</t>
  </si>
  <si>
    <t>CIMAHI, 06/04/1991</t>
  </si>
  <si>
    <t>BELUM/TIDAK BEKERJA</t>
  </si>
  <si>
    <t>SITI MULYANI</t>
  </si>
  <si>
    <t>BANDUNG, 03/07/1993</t>
  </si>
  <si>
    <t>083838433632</t>
  </si>
  <si>
    <t>072</t>
  </si>
  <si>
    <t>3217112510120019</t>
  </si>
  <si>
    <t>3217112011110002</t>
  </si>
  <si>
    <t>3217-LT-06112012-0009</t>
  </si>
  <si>
    <t>ADE RAMLAN</t>
  </si>
  <si>
    <t>3217110607860022</t>
  </si>
  <si>
    <t>BANDUNG,06/07/1986</t>
  </si>
  <si>
    <t>WIWIN KOMALASARI</t>
  </si>
  <si>
    <t>3217116102840004</t>
  </si>
  <si>
    <t>BANDUNG,21/02/1984</t>
  </si>
  <si>
    <t>SDN CIBURUY</t>
  </si>
  <si>
    <t>073</t>
  </si>
  <si>
    <t>3217113105160003</t>
  </si>
  <si>
    <t>3217116809110001</t>
  </si>
  <si>
    <t>3217-LT-21072016-0006</t>
  </si>
  <si>
    <t>LEBAK SUMUR</t>
  </si>
  <si>
    <t>WIWIN DAMAYANRI</t>
  </si>
  <si>
    <t>3217116908870009</t>
  </si>
  <si>
    <t>CILILIN,29/08/1987</t>
  </si>
  <si>
    <t>DIPLOMA/ST RATA I</t>
  </si>
  <si>
    <t>SDN BOJONG SALAM</t>
  </si>
  <si>
    <t>074</t>
  </si>
  <si>
    <t>3117147942</t>
  </si>
  <si>
    <t>321721807070051</t>
  </si>
  <si>
    <t>3217126912110001</t>
  </si>
  <si>
    <t>13579/TPW/2011</t>
  </si>
  <si>
    <t>24-10-26-1-0940-0020</t>
  </si>
  <si>
    <t>BEBEDAHAN</t>
  </si>
  <si>
    <t>NEGLASRI</t>
  </si>
  <si>
    <t>NURDIN CAHYADI</t>
  </si>
  <si>
    <t>3217121005720016</t>
  </si>
  <si>
    <t>BANDUNG,10/05/1972</t>
  </si>
  <si>
    <t>H EUIS KOMARIAH</t>
  </si>
  <si>
    <t>3217125508780012</t>
  </si>
  <si>
    <t>BANDUNG,15/08/78</t>
  </si>
  <si>
    <t>MI KHOERUNNI'MAH</t>
  </si>
  <si>
    <t>075</t>
  </si>
  <si>
    <t>MUHAMAD AKBAR SOPYAN ( TIDAK ADA )</t>
  </si>
  <si>
    <t>0115295484</t>
  </si>
  <si>
    <t>3210381407100025</t>
  </si>
  <si>
    <t>3201381509110002</t>
  </si>
  <si>
    <t>3201-LT-06092017-0266</t>
  </si>
  <si>
    <t>DUREN GEDE</t>
  </si>
  <si>
    <t>TUGIJAYA</t>
  </si>
  <si>
    <t>CIGOMBONG</t>
  </si>
  <si>
    <t>ASEP SOPIAN</t>
  </si>
  <si>
    <t>3201382208880002</t>
  </si>
  <si>
    <t>BOGOR,22/08/1968</t>
  </si>
  <si>
    <t>YANTI YULIANTI</t>
  </si>
  <si>
    <t>3201386010910000</t>
  </si>
  <si>
    <t>BANDUNG,20/10/1991</t>
  </si>
  <si>
    <t>SDN BATU KARUT</t>
  </si>
  <si>
    <t>081399941685</t>
  </si>
  <si>
    <t>076</t>
  </si>
  <si>
    <t>3123517951</t>
  </si>
  <si>
    <t>3217120605120013</t>
  </si>
  <si>
    <t>3217121806120001</t>
  </si>
  <si>
    <t>3217-LT-26052014-0006</t>
  </si>
  <si>
    <t>24-10-26-1-0865-0002</t>
  </si>
  <si>
    <t>CIKAWUNG</t>
  </si>
  <si>
    <t>RUHIMAT</t>
  </si>
  <si>
    <t>3217122608830006</t>
  </si>
  <si>
    <t>BANDUNG, 28/08/1983</t>
  </si>
  <si>
    <t>IRA RESTI FAUZI</t>
  </si>
  <si>
    <t>3217126503900009</t>
  </si>
  <si>
    <t>BANDUNG, 25/03/1990</t>
  </si>
  <si>
    <t>MIPASIR POGOR</t>
  </si>
  <si>
    <t>081991393492</t>
  </si>
  <si>
    <t>077</t>
  </si>
  <si>
    <t>0129804676</t>
  </si>
  <si>
    <t>3217111709200017</t>
  </si>
  <si>
    <t>3217112203120002</t>
  </si>
  <si>
    <t>3217-LT-13112017-169</t>
  </si>
  <si>
    <t>CIKADU</t>
  </si>
  <si>
    <t>AHMAD SUNGKAWA</t>
  </si>
  <si>
    <t>ELI NURJANAH</t>
  </si>
  <si>
    <t>3217116706850002</t>
  </si>
  <si>
    <t>BANDUNG,27/06/1985</t>
  </si>
  <si>
    <t>078</t>
  </si>
  <si>
    <t>0124696148</t>
  </si>
  <si>
    <t>3205230812071517</t>
  </si>
  <si>
    <t>3205235007120001</t>
  </si>
  <si>
    <t>3205-LU-30112012-0166</t>
  </si>
  <si>
    <t>CILEUWEUNG</t>
  </si>
  <si>
    <t>PADAHURIP</t>
  </si>
  <si>
    <t>BANJARWANGI</t>
  </si>
  <si>
    <t>WAHYUDIN</t>
  </si>
  <si>
    <t>3205231004720001</t>
  </si>
  <si>
    <t>GARUT/10/04/1972</t>
  </si>
  <si>
    <t>EEN</t>
  </si>
  <si>
    <t>3205235807850001</t>
  </si>
  <si>
    <t>GARUT,18/07/11985</t>
  </si>
  <si>
    <t>083896935834</t>
  </si>
  <si>
    <t>079</t>
  </si>
  <si>
    <t>3217112007120001</t>
  </si>
  <si>
    <t>3217112703120002</t>
  </si>
  <si>
    <t>3217-LU-29062012-0071</t>
  </si>
  <si>
    <t>11-11-20206314-033</t>
  </si>
  <si>
    <t>RUDI SUKMANA</t>
  </si>
  <si>
    <t>3217110506780022</t>
  </si>
  <si>
    <t>BANDUNG, 05/06/1978</t>
  </si>
  <si>
    <t>BURURH HARIAN LEPAS</t>
  </si>
  <si>
    <t>IMAS MASRIPAH</t>
  </si>
  <si>
    <t>321717115510870008</t>
  </si>
  <si>
    <t>BANDUNG,15/10/1987</t>
  </si>
  <si>
    <t>080</t>
  </si>
  <si>
    <t>0123020194</t>
  </si>
  <si>
    <t>3217111512080003</t>
  </si>
  <si>
    <t>3217116008120001</t>
  </si>
  <si>
    <t>3217-LU-17092012-0089</t>
  </si>
  <si>
    <t>11-11-20206314-040</t>
  </si>
  <si>
    <t>UJANG SURYANA</t>
  </si>
  <si>
    <t>3217110911740002</t>
  </si>
  <si>
    <t>BANDUNG,09/11/1974</t>
  </si>
  <si>
    <t>IBU SUSANTI</t>
  </si>
  <si>
    <t>3217114605770019</t>
  </si>
  <si>
    <t>BANDUNG,06/05/1977</t>
  </si>
  <si>
    <t>F9MKZ2</t>
  </si>
  <si>
    <t>085708909039</t>
  </si>
  <si>
    <t>081</t>
  </si>
  <si>
    <t>0122585893</t>
  </si>
  <si>
    <t>3217112406130003</t>
  </si>
  <si>
    <t>3217115904120001</t>
  </si>
  <si>
    <t>3217-LT-16092017-0462</t>
  </si>
  <si>
    <t>11-11-20206314-002</t>
  </si>
  <si>
    <t>ASEP KOMARUDIN</t>
  </si>
  <si>
    <t>3217111508870015</t>
  </si>
  <si>
    <t>BANDUNG,15/08/1987</t>
  </si>
  <si>
    <t>DETI</t>
  </si>
  <si>
    <t>3217114505920025</t>
  </si>
  <si>
    <t>BANDUNG,065/06/1992</t>
  </si>
  <si>
    <t>083114914326</t>
  </si>
  <si>
    <t>082</t>
  </si>
  <si>
    <t>0129586922</t>
  </si>
  <si>
    <t>3217112201240005</t>
  </si>
  <si>
    <t>3217110906120006</t>
  </si>
  <si>
    <t>11-11-20206314-007</t>
  </si>
  <si>
    <t>JOHANAH</t>
  </si>
  <si>
    <t>LEBAK, 04/07/1972</t>
  </si>
  <si>
    <t>083</t>
  </si>
  <si>
    <t>0129691514</t>
  </si>
  <si>
    <t>3217112304120022</t>
  </si>
  <si>
    <t>3217116604120001</t>
  </si>
  <si>
    <t>3217-LU-231072012-0201</t>
  </si>
  <si>
    <t>11-11-20206314-014</t>
  </si>
  <si>
    <t>AIF IRMAWAN</t>
  </si>
  <si>
    <t>3217110307920023</t>
  </si>
  <si>
    <t>BANDUNG,03/07/1992</t>
  </si>
  <si>
    <t>DEWI NURJANAH</t>
  </si>
  <si>
    <t>3217116212920003</t>
  </si>
  <si>
    <t>BANDUNG, 22/12/1992</t>
  </si>
  <si>
    <t>08324200082</t>
  </si>
  <si>
    <t>084</t>
  </si>
  <si>
    <t>0129757947</t>
  </si>
  <si>
    <t>03/032012</t>
  </si>
  <si>
    <t>3217111404051874</t>
  </si>
  <si>
    <t>3217114303120002</t>
  </si>
  <si>
    <t>3217-LU-13072012-0025</t>
  </si>
  <si>
    <t>11-11-20206314-020</t>
  </si>
  <si>
    <t>TATING SUHERMAN</t>
  </si>
  <si>
    <t>3217111508670003</t>
  </si>
  <si>
    <t>BANDUNG,15/08/1967</t>
  </si>
  <si>
    <t>WAWAT</t>
  </si>
  <si>
    <t>3217114110730005</t>
  </si>
  <si>
    <t>BANDUNG, 01/10/1973</t>
  </si>
  <si>
    <t>083837398202</t>
  </si>
  <si>
    <t>085</t>
  </si>
  <si>
    <t>012894365</t>
  </si>
  <si>
    <t>32171112091100012</t>
  </si>
  <si>
    <t>3217114702120005</t>
  </si>
  <si>
    <t>3217-LU-08062012-0022</t>
  </si>
  <si>
    <t>TRISNO</t>
  </si>
  <si>
    <t>3217112405840004</t>
  </si>
  <si>
    <t>BANDUNG,24/05/1984</t>
  </si>
  <si>
    <t>YENI PUJI RAHAYU</t>
  </si>
  <si>
    <t>3217115507910015</t>
  </si>
  <si>
    <t>BANDUNG, 15/07/1991</t>
  </si>
  <si>
    <t>083821411816</t>
  </si>
  <si>
    <t>086</t>
  </si>
  <si>
    <t>0114062059</t>
  </si>
  <si>
    <t>3217120908120020</t>
  </si>
  <si>
    <t>3217121606110003</t>
  </si>
  <si>
    <t>6446/TPW/2011</t>
  </si>
  <si>
    <t>11-11-20206314-026</t>
  </si>
  <si>
    <t>SUKAMAJU</t>
  </si>
  <si>
    <t>BURHAN SALAM</t>
  </si>
  <si>
    <t>3217122506760009</t>
  </si>
  <si>
    <t>BANDUNG,25/06/1976</t>
  </si>
  <si>
    <t>TUTI DARMAWATI</t>
  </si>
  <si>
    <t>3217124805820026</t>
  </si>
  <si>
    <t>BANDUNG,08/05/1982</t>
  </si>
  <si>
    <t>083825700400</t>
  </si>
  <si>
    <t>087</t>
  </si>
  <si>
    <t>0123510491</t>
  </si>
  <si>
    <t>3217111907060013</t>
  </si>
  <si>
    <t>3217111706120002</t>
  </si>
  <si>
    <t>3217/LU-07092012-0075</t>
  </si>
  <si>
    <t>11-11-20206314-029</t>
  </si>
  <si>
    <t>ASEP MUSTAPA</t>
  </si>
  <si>
    <t>3217110604820009</t>
  </si>
  <si>
    <t>BANDUNG, 06/04/1982</t>
  </si>
  <si>
    <t>IBU SAADAH</t>
  </si>
  <si>
    <t>3217114101850059</t>
  </si>
  <si>
    <t>BANDUNG, 01/01/1985</t>
  </si>
  <si>
    <t>083820525651</t>
  </si>
  <si>
    <t>088</t>
  </si>
  <si>
    <t>0127802222</t>
  </si>
  <si>
    <t>321714030810010</t>
  </si>
  <si>
    <t>3217140702120001</t>
  </si>
  <si>
    <t>3217-LT-02102012-0078</t>
  </si>
  <si>
    <t>11-11-20206314-031</t>
  </si>
  <si>
    <t>GUNUNGSANGGAR</t>
  </si>
  <si>
    <t>GUN GUN GUMILAR</t>
  </si>
  <si>
    <t>3217141908840003</t>
  </si>
  <si>
    <t>BANDUNG, 19/08/1984</t>
  </si>
  <si>
    <t>AI YANTI</t>
  </si>
  <si>
    <t>3217145608900003</t>
  </si>
  <si>
    <t>BANDUNG, 16/08/1990</t>
  </si>
  <si>
    <t>083829906870</t>
  </si>
  <si>
    <t>089</t>
  </si>
  <si>
    <t>3271011111160028</t>
  </si>
  <si>
    <t>3217120607110003</t>
  </si>
  <si>
    <t>3217-LT-18112015-0164</t>
  </si>
  <si>
    <t>11-11-20206992-003</t>
  </si>
  <si>
    <t>LANI ARYANTI</t>
  </si>
  <si>
    <t>083169992004</t>
  </si>
  <si>
    <t>090</t>
  </si>
  <si>
    <t>3217120309120050</t>
  </si>
  <si>
    <t>3217120606110003</t>
  </si>
  <si>
    <t>25449/KLU/2011</t>
  </si>
  <si>
    <t>11-11-20205294-004</t>
  </si>
  <si>
    <t>CIKAREO</t>
  </si>
  <si>
    <t>SISWANTO</t>
  </si>
  <si>
    <t>3217120506780040</t>
  </si>
  <si>
    <t>3217124302820020</t>
  </si>
  <si>
    <t>BANDUNG, 03/02/1982</t>
  </si>
  <si>
    <t>SDN PASIRDADALI</t>
  </si>
  <si>
    <t>083148329054</t>
  </si>
  <si>
    <t>091</t>
  </si>
  <si>
    <t>0119091381</t>
  </si>
  <si>
    <t>3217122312110017</t>
  </si>
  <si>
    <t>3217121912110001</t>
  </si>
  <si>
    <t>13454/TPW/2011</t>
  </si>
  <si>
    <t>11-11-20205294-019</t>
  </si>
  <si>
    <t>RIDWAN ANWAR</t>
  </si>
  <si>
    <t>3217120405790013</t>
  </si>
  <si>
    <t>BANDUNG, 04/05/1979</t>
  </si>
  <si>
    <t>SITI WIKOYAH</t>
  </si>
  <si>
    <t>3217126912790001</t>
  </si>
  <si>
    <t>BANDUNG, 29/12/1979</t>
  </si>
  <si>
    <t>083843768493</t>
  </si>
  <si>
    <t>092</t>
  </si>
  <si>
    <t>0124994198</t>
  </si>
  <si>
    <t>3217121306120115</t>
  </si>
  <si>
    <t>3217125202120006</t>
  </si>
  <si>
    <t>3217-LU-14052012/0085</t>
  </si>
  <si>
    <t>11-12-20205543-002</t>
  </si>
  <si>
    <t>CIJOHO</t>
  </si>
  <si>
    <t>3217121605640011</t>
  </si>
  <si>
    <t>BANDUNG, 16/05/1964</t>
  </si>
  <si>
    <t>MINI</t>
  </si>
  <si>
    <t>3217125109780001</t>
  </si>
  <si>
    <t>BANDUNG, 11/09/1978</t>
  </si>
  <si>
    <t>SDN HARAPAN JAYA</t>
  </si>
  <si>
    <t>083821016278</t>
  </si>
  <si>
    <t>093</t>
  </si>
  <si>
    <t>0112628508</t>
  </si>
  <si>
    <t>11-12-20205543-004</t>
  </si>
  <si>
    <t>083838725921</t>
  </si>
  <si>
    <t>094</t>
  </si>
  <si>
    <t>0119875700</t>
  </si>
  <si>
    <t>3217121810110004</t>
  </si>
  <si>
    <t>3217122012110001</t>
  </si>
  <si>
    <t>3217-LU-04092014-0091</t>
  </si>
  <si>
    <t>MEKAR SALUYU</t>
  </si>
  <si>
    <t>PANA ZIPO</t>
  </si>
  <si>
    <t>'3217121710730002</t>
  </si>
  <si>
    <t>BANDUNG, 17/10/1973</t>
  </si>
  <si>
    <t>ELIS SUHAENI</t>
  </si>
  <si>
    <t>3217124505730023</t>
  </si>
  <si>
    <t>BANDUNG,05/05/1973</t>
  </si>
  <si>
    <t>085624278490</t>
  </si>
  <si>
    <t>095</t>
  </si>
  <si>
    <t>0027920679</t>
  </si>
  <si>
    <t>3217123010080006</t>
  </si>
  <si>
    <t>3217121608120001</t>
  </si>
  <si>
    <t>3217-LU-14092012-0051</t>
  </si>
  <si>
    <t>11-12-20205543-006</t>
  </si>
  <si>
    <t>AGUS MULYANA</t>
  </si>
  <si>
    <t>3217120408730021</t>
  </si>
  <si>
    <t>BANDUNG,04/08/1973</t>
  </si>
  <si>
    <t>3217125807810010</t>
  </si>
  <si>
    <t>BANDUNG, 18/07/1981</t>
  </si>
  <si>
    <t>083817987671</t>
  </si>
  <si>
    <t>096</t>
  </si>
  <si>
    <t>0119791347</t>
  </si>
  <si>
    <t>3217121406120080</t>
  </si>
  <si>
    <t>3217124406110001</t>
  </si>
  <si>
    <t>6442/TPW/2011</t>
  </si>
  <si>
    <t>11-12-20205543-007</t>
  </si>
  <si>
    <t>SAWAH LEGA</t>
  </si>
  <si>
    <t>DANI</t>
  </si>
  <si>
    <t>3217120807860012</t>
  </si>
  <si>
    <t>BANDUNG,08/07/1986</t>
  </si>
  <si>
    <t>PINA MARLINA</t>
  </si>
  <si>
    <t>3217125405870004</t>
  </si>
  <si>
    <t>BANDUNG,14/05/1987</t>
  </si>
  <si>
    <t>0859109909283</t>
  </si>
  <si>
    <t>097</t>
  </si>
  <si>
    <t>0114448683</t>
  </si>
  <si>
    <t>3217120804080064</t>
  </si>
  <si>
    <t>3217121608110002</t>
  </si>
  <si>
    <t>11-12-20205543-010</t>
  </si>
  <si>
    <t>MU'MIN IRAWAN</t>
  </si>
  <si>
    <t>3217120204710011</t>
  </si>
  <si>
    <t>BANDUNG, 02/04/1971</t>
  </si>
  <si>
    <t>DEWI KARTIWI</t>
  </si>
  <si>
    <t>3217125306780008</t>
  </si>
  <si>
    <t>BANDUNG, 24/04/1991</t>
  </si>
  <si>
    <t>083874580517</t>
  </si>
  <si>
    <t>098</t>
  </si>
  <si>
    <t>3217120203160001</t>
  </si>
  <si>
    <t>3217126104110001</t>
  </si>
  <si>
    <t>4546/TPW/2011</t>
  </si>
  <si>
    <t>\</t>
  </si>
  <si>
    <t>IDAM KHOLID</t>
  </si>
  <si>
    <t>ENENG NURHAYATI</t>
  </si>
  <si>
    <t>3217125510860008</t>
  </si>
  <si>
    <t>BANDUNG, 15/10/1986</t>
  </si>
  <si>
    <t>099</t>
  </si>
  <si>
    <t>0114360661</t>
  </si>
  <si>
    <t>3217122802190014</t>
  </si>
  <si>
    <t>3217123007110002</t>
  </si>
  <si>
    <t>58970/DISP/2011</t>
  </si>
  <si>
    <t>11-12-20205543-014</t>
  </si>
  <si>
    <t>SEMPUR BAJEG</t>
  </si>
  <si>
    <t>3217122105860008</t>
  </si>
  <si>
    <t>BANDUNG, 12/05/1986</t>
  </si>
  <si>
    <t>YANTI NURYANTI</t>
  </si>
  <si>
    <t>083150649397</t>
  </si>
  <si>
    <t>100</t>
  </si>
  <si>
    <t>0115352082</t>
  </si>
  <si>
    <t>3217120906170008</t>
  </si>
  <si>
    <t>3217121512110003</t>
  </si>
  <si>
    <t>3217-LT-04102017-0607</t>
  </si>
  <si>
    <t>11-12-20205543-016</t>
  </si>
  <si>
    <t>MUHAMMAD ATIP</t>
  </si>
  <si>
    <t>3175011210770004</t>
  </si>
  <si>
    <t>JAKARTA, 12/10/1977</t>
  </si>
  <si>
    <t>DEMI IHTIARINI</t>
  </si>
  <si>
    <t>3217125507790022</t>
  </si>
  <si>
    <t>BANDUNG, 15/07/1979</t>
  </si>
  <si>
    <t>085860694827</t>
  </si>
  <si>
    <t>101</t>
  </si>
  <si>
    <t>0116739484</t>
  </si>
  <si>
    <t>3217120110120122</t>
  </si>
  <si>
    <t>3217120903110006</t>
  </si>
  <si>
    <t>3217-LT-27092017-2430</t>
  </si>
  <si>
    <t>11-12-20205543-017</t>
  </si>
  <si>
    <t>DADAN RISBAWANSAH</t>
  </si>
  <si>
    <t>3217122512780004</t>
  </si>
  <si>
    <t>BANDUNG, 25/12/1978</t>
  </si>
  <si>
    <t>HERNIAWATI</t>
  </si>
  <si>
    <t>3217124105840022</t>
  </si>
  <si>
    <t>BANDUNG, 01/05/1984</t>
  </si>
  <si>
    <t>081572655909</t>
  </si>
  <si>
    <t>102</t>
  </si>
  <si>
    <t>3126231038</t>
  </si>
  <si>
    <t>3217120602170007</t>
  </si>
  <si>
    <t>3217121506120005</t>
  </si>
  <si>
    <t>11-12-20205543-033</t>
  </si>
  <si>
    <t>SUGANDA</t>
  </si>
  <si>
    <t>3203030211740009</t>
  </si>
  <si>
    <t>CIANJUR, 02/11/1974</t>
  </si>
  <si>
    <t>TATI NURHAYATI</t>
  </si>
  <si>
    <t>3203034606820028</t>
  </si>
  <si>
    <t>CIANJUR, 06/06/1982</t>
  </si>
  <si>
    <t>103</t>
  </si>
  <si>
    <t>0124356042</t>
  </si>
  <si>
    <t>3217122805210006</t>
  </si>
  <si>
    <t>3205085506120002</t>
  </si>
  <si>
    <t>3205-LT-27112012-0218</t>
  </si>
  <si>
    <t>11-12-20205543-023</t>
  </si>
  <si>
    <t>ACEP SUTIAWAN</t>
  </si>
  <si>
    <t>3205080101730023</t>
  </si>
  <si>
    <t>CIPONGKOR,01/01/1973</t>
  </si>
  <si>
    <t>NURAINI</t>
  </si>
  <si>
    <t>3205085011900009</t>
  </si>
  <si>
    <t>GARUT, 10/01/1991</t>
  </si>
  <si>
    <t>083138581713</t>
  </si>
  <si>
    <t>104</t>
  </si>
  <si>
    <t>3217122106130017</t>
  </si>
  <si>
    <t>3217120410120002</t>
  </si>
  <si>
    <t>11165/TPW/2011</t>
  </si>
  <si>
    <t>3217120408720012</t>
  </si>
  <si>
    <t>BANDUNG,04/06/1972</t>
  </si>
  <si>
    <t>TINI KARTINI</t>
  </si>
  <si>
    <t>3217125809800005</t>
  </si>
  <si>
    <t>BANDUNG,16/09/80</t>
  </si>
  <si>
    <t>105</t>
  </si>
  <si>
    <t>3217121406120049</t>
  </si>
  <si>
    <t>3217124308120002</t>
  </si>
  <si>
    <t>32-LT-19102012-0046</t>
  </si>
  <si>
    <t>ARI SETIAWAN</t>
  </si>
  <si>
    <t>3217120810880012</t>
  </si>
  <si>
    <t>BANDUNG,06/10/85</t>
  </si>
  <si>
    <t>INA ANGGRAENI</t>
  </si>
  <si>
    <t>3217126604910003</t>
  </si>
  <si>
    <t>BANDUNG,26/04/1991</t>
  </si>
  <si>
    <t>106</t>
  </si>
  <si>
    <t>3217121604058707</t>
  </si>
  <si>
    <t>3217125307110001</t>
  </si>
  <si>
    <t>3217-LT-271017-0998</t>
  </si>
  <si>
    <t>PASIR WARENG</t>
  </si>
  <si>
    <t>AHUD</t>
  </si>
  <si>
    <t>3217120103470002</t>
  </si>
  <si>
    <t>BANDUNG,01/03/47</t>
  </si>
  <si>
    <t>UAN</t>
  </si>
  <si>
    <t>3217124203610002</t>
  </si>
  <si>
    <t>BANDUNG,02/03/1961</t>
  </si>
  <si>
    <t>107</t>
  </si>
  <si>
    <t>3217121406120079</t>
  </si>
  <si>
    <t>3217120904110001</t>
  </si>
  <si>
    <t>3217-LT-04102017-0757</t>
  </si>
  <si>
    <t>SAAD</t>
  </si>
  <si>
    <t>3217120504720018</t>
  </si>
  <si>
    <t>BANDUNG,05/04/1972</t>
  </si>
  <si>
    <t>WIDA NINGSIH</t>
  </si>
  <si>
    <t>32171224105830022</t>
  </si>
  <si>
    <t>BANDUNG,01/05/1983</t>
  </si>
  <si>
    <t>108</t>
  </si>
  <si>
    <t>3217120509120111</t>
  </si>
  <si>
    <t>3217126409110001</t>
  </si>
  <si>
    <t>10583/TPW/2011</t>
  </si>
  <si>
    <t>CECEP AHMAD RUKMANA</t>
  </si>
  <si>
    <t>3277010711880007</t>
  </si>
  <si>
    <t>CIMAHI, 07/11/1988</t>
  </si>
  <si>
    <t>LENI MARLINA</t>
  </si>
  <si>
    <t>3217126004930006</t>
  </si>
  <si>
    <t>BANDUNG,20/04/1993</t>
  </si>
  <si>
    <t>SDN HARAPANJAYA</t>
  </si>
  <si>
    <t>082116265202</t>
  </si>
  <si>
    <t>109</t>
  </si>
  <si>
    <t>3217121906120063</t>
  </si>
  <si>
    <t>3217125706120003</t>
  </si>
  <si>
    <t>3217-LU-08052014-8517</t>
  </si>
  <si>
    <t>IYAN SURYANA</t>
  </si>
  <si>
    <t>3217121409780003</t>
  </si>
  <si>
    <t>BANDUNG,14/09/1978</t>
  </si>
  <si>
    <t>IJUN</t>
  </si>
  <si>
    <t>3217125103730017</t>
  </si>
  <si>
    <t>110</t>
  </si>
  <si>
    <t>0123224137</t>
  </si>
  <si>
    <t>3217121710110008</t>
  </si>
  <si>
    <t>3217122802120002</t>
  </si>
  <si>
    <t>3217-LT-02102017-0135</t>
  </si>
  <si>
    <t>JAMAN NURJAMAN</t>
  </si>
  <si>
    <t>3217122408860003</t>
  </si>
  <si>
    <t>BANDUNG, 24/08/1986</t>
  </si>
  <si>
    <t>SITI SOLIHAH</t>
  </si>
  <si>
    <t>3217125407890010</t>
  </si>
  <si>
    <t>BANDUNG, 14/07/1989</t>
  </si>
  <si>
    <t>SDN PASIRPANJANG</t>
  </si>
  <si>
    <t>083820815187</t>
  </si>
  <si>
    <t>111</t>
  </si>
  <si>
    <t>0129368325</t>
  </si>
  <si>
    <t>3217112102190003</t>
  </si>
  <si>
    <t>3217110101120004</t>
  </si>
  <si>
    <t>3217-LT-01062012-0038</t>
  </si>
  <si>
    <t>11-11-20206353-036</t>
  </si>
  <si>
    <t>ASEP GUNAWAN</t>
  </si>
  <si>
    <t>3217110508920001</t>
  </si>
  <si>
    <t>BANDUNG, 05/08/1992</t>
  </si>
  <si>
    <t>LASMI ANI</t>
  </si>
  <si>
    <t>3217116503950005</t>
  </si>
  <si>
    <t>BANDUNG, 25/03/1995</t>
  </si>
  <si>
    <t>085869122634</t>
  </si>
  <si>
    <t>112</t>
  </si>
  <si>
    <t>0114905043</t>
  </si>
  <si>
    <t>3217112401220007</t>
  </si>
  <si>
    <t>3217111111110003</t>
  </si>
  <si>
    <t>12696/TPW/2011</t>
  </si>
  <si>
    <t>11-11-20206353-027</t>
  </si>
  <si>
    <t>TANJUNG SARI</t>
  </si>
  <si>
    <t>ELA</t>
  </si>
  <si>
    <t>3217114811770011</t>
  </si>
  <si>
    <t>BANDUNG, 08/11/1977</t>
  </si>
  <si>
    <t>083128597177</t>
  </si>
  <si>
    <t>113</t>
  </si>
  <si>
    <t>0114927691</t>
  </si>
  <si>
    <t>3217112207110022</t>
  </si>
  <si>
    <t>3217111507110003</t>
  </si>
  <si>
    <t>7408/TPW/2011</t>
  </si>
  <si>
    <t>11-11-20206353-012</t>
  </si>
  <si>
    <t>'001</t>
  </si>
  <si>
    <t>YUNUS YUSRIZAL</t>
  </si>
  <si>
    <t>3217111708890008</t>
  </si>
  <si>
    <t>BANDUNG, 17/08/1989</t>
  </si>
  <si>
    <t>DINI MULYANTI DEWI</t>
  </si>
  <si>
    <t>3217116801930005</t>
  </si>
  <si>
    <t>BANDUNG, 28/01/1993</t>
  </si>
  <si>
    <t>083821687422</t>
  </si>
  <si>
    <t>114</t>
  </si>
  <si>
    <t>0116830592</t>
  </si>
  <si>
    <t>3217111905080074</t>
  </si>
  <si>
    <t>3217111406110002</t>
  </si>
  <si>
    <t>7503/TPW/2011</t>
  </si>
  <si>
    <t>11-11-20206353-019</t>
  </si>
  <si>
    <t>3217111110750005</t>
  </si>
  <si>
    <t>BANDUNG, 11/10/1975</t>
  </si>
  <si>
    <t>SARI</t>
  </si>
  <si>
    <t>3217115508800014</t>
  </si>
  <si>
    <t>BANDUNG, 15/08/1980</t>
  </si>
  <si>
    <t>115</t>
  </si>
  <si>
    <t>0113650532</t>
  </si>
  <si>
    <t>3217112103120015</t>
  </si>
  <si>
    <t>3217110305110001</t>
  </si>
  <si>
    <t>4842/TPW/2011</t>
  </si>
  <si>
    <t>11-11-20206353-018</t>
  </si>
  <si>
    <t>APRIADI LAPLAN SALEH</t>
  </si>
  <si>
    <t>3217112704860008</t>
  </si>
  <si>
    <t>BANDUNG, 27/04/1986</t>
  </si>
  <si>
    <t>NENI SUMYATI</t>
  </si>
  <si>
    <t>3217115409890011</t>
  </si>
  <si>
    <t>BANDUNG, 14/09/1989</t>
  </si>
  <si>
    <t>083817037396</t>
  </si>
  <si>
    <t>116</t>
  </si>
  <si>
    <t>0114564185</t>
  </si>
  <si>
    <t>3217110503070025</t>
  </si>
  <si>
    <t>3217112712110001</t>
  </si>
  <si>
    <t>13342/TPW/2011</t>
  </si>
  <si>
    <t>11-11-20206353-020</t>
  </si>
  <si>
    <t>IJAT SAPARUDIN</t>
  </si>
  <si>
    <t>3217110101760049</t>
  </si>
  <si>
    <t>BANDUNG, 01/01/1976</t>
  </si>
  <si>
    <t>HERNAWATI</t>
  </si>
  <si>
    <t>3217115505780007</t>
  </si>
  <si>
    <t>BANDUNG, 15/08/1978</t>
  </si>
  <si>
    <t>083861627139</t>
  </si>
  <si>
    <t>117</t>
  </si>
  <si>
    <t>0113252476</t>
  </si>
  <si>
    <t>3217110801100004</t>
  </si>
  <si>
    <t>3217116411110002</t>
  </si>
  <si>
    <t>12698/TPW/2011</t>
  </si>
  <si>
    <t>11-11-20206353-035</t>
  </si>
  <si>
    <t>ATEP</t>
  </si>
  <si>
    <t>3217111708800037</t>
  </si>
  <si>
    <t>BANDUNG, 17/08/1980</t>
  </si>
  <si>
    <t>IPAT MUTOHAROH</t>
  </si>
  <si>
    <t>3217116909900006</t>
  </si>
  <si>
    <t>BANDUNG, 29/09/1990</t>
  </si>
  <si>
    <t>083197213778</t>
  </si>
  <si>
    <t>118</t>
  </si>
  <si>
    <t>0121675557</t>
  </si>
  <si>
    <t>3217111103080021</t>
  </si>
  <si>
    <t>3217110906120005</t>
  </si>
  <si>
    <t>3217-LU-03082012-0030</t>
  </si>
  <si>
    <t>11-11-20206353-004</t>
  </si>
  <si>
    <t>ABDUL ROSID</t>
  </si>
  <si>
    <t>3217110708730025</t>
  </si>
  <si>
    <t>KUNINGAN, 07/08/1973</t>
  </si>
  <si>
    <t>ELI AMELIA</t>
  </si>
  <si>
    <t>3217115703810011</t>
  </si>
  <si>
    <t>BANDUNG, 17/03/1981</t>
  </si>
  <si>
    <t>083817187332</t>
  </si>
  <si>
    <t>119</t>
  </si>
  <si>
    <t>0127095664</t>
  </si>
  <si>
    <t>3217111611180007</t>
  </si>
  <si>
    <t>3217110802120002</t>
  </si>
  <si>
    <t>3217-LT-07022013-0002</t>
  </si>
  <si>
    <t>11-11-20206353-011</t>
  </si>
  <si>
    <t>MUHAMAD NASIR</t>
  </si>
  <si>
    <t>3175060506780016</t>
  </si>
  <si>
    <t>LILIS</t>
  </si>
  <si>
    <t>3175065706800023</t>
  </si>
  <si>
    <t>BANDUNG, 17/06/1980</t>
  </si>
  <si>
    <t>083101131384</t>
  </si>
  <si>
    <t>120</t>
  </si>
  <si>
    <t>0111478581</t>
  </si>
  <si>
    <t>3217110509110003</t>
  </si>
  <si>
    <t>3217111511110003</t>
  </si>
  <si>
    <t>3217-LT-17122018</t>
  </si>
  <si>
    <t>11-11-20206353-014</t>
  </si>
  <si>
    <t>ONI POLANI</t>
  </si>
  <si>
    <t>3217111812740005</t>
  </si>
  <si>
    <t>PANDEGLANG, 18/12/1974</t>
  </si>
  <si>
    <t>WULAN SUSANTI</t>
  </si>
  <si>
    <t>3217114208890012</t>
  </si>
  <si>
    <t>BANDUNG, 02/08/1989</t>
  </si>
  <si>
    <t>083873535010</t>
  </si>
  <si>
    <t>121</t>
  </si>
  <si>
    <t>0111212492</t>
  </si>
  <si>
    <t>3217111310160002</t>
  </si>
  <si>
    <t>3217112212110001</t>
  </si>
  <si>
    <t>3217-LU-18042012-0066</t>
  </si>
  <si>
    <t>11-11-20206353-008</t>
  </si>
  <si>
    <t>JAKA</t>
  </si>
  <si>
    <t>3217110410820017</t>
  </si>
  <si>
    <t>BANDUNG, 04/10/1982</t>
  </si>
  <si>
    <t>WIWIN WINTARSIH</t>
  </si>
  <si>
    <t>3217116505810008</t>
  </si>
  <si>
    <t>JAKARTA, 25/05/1981</t>
  </si>
  <si>
    <t>083100647133</t>
  </si>
  <si>
    <t>122</t>
  </si>
  <si>
    <t>0123837601</t>
  </si>
  <si>
    <t>3217110701090006</t>
  </si>
  <si>
    <t>3217111101120002</t>
  </si>
  <si>
    <t>3217-LU-01032012-0031</t>
  </si>
  <si>
    <t>11-11-20206353-016</t>
  </si>
  <si>
    <t>ISKANDAR</t>
  </si>
  <si>
    <t>3217112304850008</t>
  </si>
  <si>
    <t>BANDUNG, 24/04/1995</t>
  </si>
  <si>
    <t>3217115004920008</t>
  </si>
  <si>
    <t>BANDUNG, 10/04/1992</t>
  </si>
  <si>
    <t>083829966438</t>
  </si>
  <si>
    <t>123</t>
  </si>
  <si>
    <t>0121087552</t>
  </si>
  <si>
    <t>3217112605080084</t>
  </si>
  <si>
    <t>3217115201120002</t>
  </si>
  <si>
    <t>3217-LT-18072012-0159</t>
  </si>
  <si>
    <t>11-11-20206353-031</t>
  </si>
  <si>
    <t>TATAN HERMAWAN</t>
  </si>
  <si>
    <t>ELIS RIANTIN</t>
  </si>
  <si>
    <t>3217115802860007</t>
  </si>
  <si>
    <t>BANDUNG, 18/02/1986</t>
  </si>
  <si>
    <t>083820106651</t>
  </si>
  <si>
    <t>124</t>
  </si>
  <si>
    <t>0122320945</t>
  </si>
  <si>
    <t>3217111304050832</t>
  </si>
  <si>
    <t>3217111010110001</t>
  </si>
  <si>
    <t>10729/TPW/2011</t>
  </si>
  <si>
    <t>11-11-20206353-009</t>
  </si>
  <si>
    <t>HOLID</t>
  </si>
  <si>
    <t>3217112608760003</t>
  </si>
  <si>
    <t>BANDUNG, 26/08/1978</t>
  </si>
  <si>
    <t>AI HASYANAH</t>
  </si>
  <si>
    <t>321711410179004</t>
  </si>
  <si>
    <t>BANDUNG, 01/01/1979</t>
  </si>
  <si>
    <t>125</t>
  </si>
  <si>
    <t>0128063994</t>
  </si>
  <si>
    <t>3217110106060012</t>
  </si>
  <si>
    <t>3217116404120001</t>
  </si>
  <si>
    <t>3217-LU-25062012-0079</t>
  </si>
  <si>
    <t>11-11-20206353-002</t>
  </si>
  <si>
    <t>DANI HAMDANI</t>
  </si>
  <si>
    <t>3217110509750005</t>
  </si>
  <si>
    <t>BANDUNG, 05/09/1975</t>
  </si>
  <si>
    <t>ADAH SA'ADAH</t>
  </si>
  <si>
    <t>3217114406790017</t>
  </si>
  <si>
    <t>BANDUNG, 04/06/1979</t>
  </si>
  <si>
    <t>126</t>
  </si>
  <si>
    <t>0128826479</t>
  </si>
  <si>
    <t>3217111302180001</t>
  </si>
  <si>
    <t>3217114304120002</t>
  </si>
  <si>
    <t>3217/LU/29062012/0072</t>
  </si>
  <si>
    <t>11-11-20206353-033</t>
  </si>
  <si>
    <t>HERI NURJAMAN</t>
  </si>
  <si>
    <t>3217111810890003</t>
  </si>
  <si>
    <t>BANDUNG, 18/10/1989</t>
  </si>
  <si>
    <t>WINDA WINARTI WAHYUNI</t>
  </si>
  <si>
    <t>127</t>
  </si>
  <si>
    <t>0125077226</t>
  </si>
  <si>
    <t>3217112010110013</t>
  </si>
  <si>
    <t>3217114303120003</t>
  </si>
  <si>
    <t>3217-LT-13112012-0093</t>
  </si>
  <si>
    <t>11-11-20206353-034</t>
  </si>
  <si>
    <t>HERI KUSWANTO</t>
  </si>
  <si>
    <t>3217111808820011</t>
  </si>
  <si>
    <t>BANDUNG, 16/08/1982</t>
  </si>
  <si>
    <t>3217114809790013</t>
  </si>
  <si>
    <t>BANDUNG, 06/09/1979</t>
  </si>
  <si>
    <t>128</t>
  </si>
  <si>
    <t>0118982591</t>
  </si>
  <si>
    <t>3217111610120063</t>
  </si>
  <si>
    <t>3217111406110001</t>
  </si>
  <si>
    <t>6070/TPW/2011</t>
  </si>
  <si>
    <t>11-11-20206353-017</t>
  </si>
  <si>
    <t>3217111104790019</t>
  </si>
  <si>
    <t>BANDUNG, 11/04/1979</t>
  </si>
  <si>
    <t>RATNASARI</t>
  </si>
  <si>
    <t>3217115501880003</t>
  </si>
  <si>
    <t>BANDUNG, 19/01/1986</t>
  </si>
  <si>
    <t>085603353006</t>
  </si>
  <si>
    <t>129</t>
  </si>
  <si>
    <t>0117902374</t>
  </si>
  <si>
    <t>3217111901060184</t>
  </si>
  <si>
    <t>3217110103110001</t>
  </si>
  <si>
    <t>3991/TPW/2011</t>
  </si>
  <si>
    <t>DN-02/D-SD/K13/24/0077555</t>
  </si>
  <si>
    <t>11-11-20206353-021</t>
  </si>
  <si>
    <t>SAEPUL HIDAYAT</t>
  </si>
  <si>
    <t>3217110511740005</t>
  </si>
  <si>
    <t>BANDUNG, 05/11/1974</t>
  </si>
  <si>
    <t>YUNI LATIFAH</t>
  </si>
  <si>
    <t>3217116709820008</t>
  </si>
  <si>
    <t>BANDUNG, 27/09/1982</t>
  </si>
  <si>
    <t>F8NXMC</t>
  </si>
  <si>
    <t>088220742845</t>
  </si>
  <si>
    <t>130</t>
  </si>
  <si>
    <t>0124361590</t>
  </si>
  <si>
    <t>3217110412190008</t>
  </si>
  <si>
    <t>3175028306121010</t>
  </si>
  <si>
    <t>3217-LU-28082012/0040</t>
  </si>
  <si>
    <t>11-11-20206353-026</t>
  </si>
  <si>
    <t>R.AHMAD</t>
  </si>
  <si>
    <t>SITI AISYAH</t>
  </si>
  <si>
    <t>3175025805870009</t>
  </si>
  <si>
    <t>BANDUNG,18/05/1987</t>
  </si>
  <si>
    <t>087764087166</t>
  </si>
  <si>
    <t>131</t>
  </si>
  <si>
    <t>3217111312050129</t>
  </si>
  <si>
    <t>3217112205120003</t>
  </si>
  <si>
    <t>3217-LU-31072012-0043</t>
  </si>
  <si>
    <t>MI-24 100093489</t>
  </si>
  <si>
    <t>24-10-26-1-0824-0031</t>
  </si>
  <si>
    <t>ENDANG RINALDI</t>
  </si>
  <si>
    <t>3217112606790002</t>
  </si>
  <si>
    <t>BANDUNG, 26/06/1979</t>
  </si>
  <si>
    <t>EUIS KOMALAWATI</t>
  </si>
  <si>
    <t>3217114403820008</t>
  </si>
  <si>
    <t>BANDUNG, 04/03/1982</t>
  </si>
  <si>
    <t>132</t>
  </si>
  <si>
    <t>3217120501090057</t>
  </si>
  <si>
    <t>3217122110110001</t>
  </si>
  <si>
    <t>3217-LT-27092017-2261</t>
  </si>
  <si>
    <t>24-10-26-1-0840-0016</t>
  </si>
  <si>
    <t>CIBIRU</t>
  </si>
  <si>
    <t>3217120902730006</t>
  </si>
  <si>
    <t>BANDUNG, 09/02/1973</t>
  </si>
  <si>
    <t>NINING SARININGSIH</t>
  </si>
  <si>
    <t>3217124207840006</t>
  </si>
  <si>
    <t>BANDUNG, 02/07/1984</t>
  </si>
  <si>
    <t>MI CICANGKANGHILIR 1</t>
  </si>
  <si>
    <t>083829122554</t>
  </si>
  <si>
    <t>133</t>
  </si>
  <si>
    <t>0128763201</t>
  </si>
  <si>
    <t>3217121604057733</t>
  </si>
  <si>
    <t>3217126108120000</t>
  </si>
  <si>
    <t>11-12-20205277-002</t>
  </si>
  <si>
    <t>PASIRWARENG</t>
  </si>
  <si>
    <t>LAMUDIN</t>
  </si>
  <si>
    <t>3217121112750003</t>
  </si>
  <si>
    <t>BANDUNG, 11/12/1975</t>
  </si>
  <si>
    <t>WIDIARTI</t>
  </si>
  <si>
    <t>3217125206840001</t>
  </si>
  <si>
    <t>BANDUNG, 12/06/1984</t>
  </si>
  <si>
    <t>SD N PASIR AJAG</t>
  </si>
  <si>
    <t>134</t>
  </si>
  <si>
    <t>0112243082</t>
  </si>
  <si>
    <t>3217120510110020</t>
  </si>
  <si>
    <t>3217125310110004</t>
  </si>
  <si>
    <t>3217-LT-30052016-0030</t>
  </si>
  <si>
    <t>DEDE</t>
  </si>
  <si>
    <t xml:space="preserve">BANDUNG, </t>
  </si>
  <si>
    <t>DEWI WAHYUNI</t>
  </si>
  <si>
    <t>3217127112820009</t>
  </si>
  <si>
    <t>BANDUNG, 31/12/1982</t>
  </si>
  <si>
    <t>F8ECK6</t>
  </si>
  <si>
    <t>135</t>
  </si>
  <si>
    <t>0118861619</t>
  </si>
  <si>
    <t>11/03/2012</t>
  </si>
  <si>
    <t>3217121604057663</t>
  </si>
  <si>
    <t>3217121105120005</t>
  </si>
  <si>
    <t>SEMPURBAJEG</t>
  </si>
  <si>
    <t>SUKMARA</t>
  </si>
  <si>
    <t>3217121809730001</t>
  </si>
  <si>
    <t>BANDUNG, 18/09/1973</t>
  </si>
  <si>
    <t>EUIS ROSIDA</t>
  </si>
  <si>
    <t>3217125407830002</t>
  </si>
  <si>
    <t>BANDUNG, 14/07/1983</t>
  </si>
  <si>
    <t>136</t>
  </si>
  <si>
    <t>0127184337</t>
  </si>
  <si>
    <t>29/06/2012</t>
  </si>
  <si>
    <t>3217121602100015</t>
  </si>
  <si>
    <t>3217122906120004</t>
  </si>
  <si>
    <t>3217120701830014</t>
  </si>
  <si>
    <t>BANDUNG, 07/01/1983</t>
  </si>
  <si>
    <t>IRMA RATNA</t>
  </si>
  <si>
    <t>3217125905880007</t>
  </si>
  <si>
    <t>BANDUNG, 19/05/1988</t>
  </si>
  <si>
    <t>137</t>
  </si>
  <si>
    <t>0111335962</t>
  </si>
  <si>
    <t>07/11/2011</t>
  </si>
  <si>
    <t>3217121609120138</t>
  </si>
  <si>
    <t>3217120711110001</t>
  </si>
  <si>
    <t>3217121508800027</t>
  </si>
  <si>
    <t>RINAH</t>
  </si>
  <si>
    <t>3217124508800394</t>
  </si>
  <si>
    <t>LAMPUNG, 05/08/1980</t>
  </si>
  <si>
    <t>138</t>
  </si>
  <si>
    <t>0103378295</t>
  </si>
  <si>
    <t>17/12/2010</t>
  </si>
  <si>
    <t>3175050810141011</t>
  </si>
  <si>
    <t>3217121712100005</t>
  </si>
  <si>
    <t>JL GANDARIA III</t>
  </si>
  <si>
    <t>PEKAYON</t>
  </si>
  <si>
    <t>PASAR REBO</t>
  </si>
  <si>
    <t>RAHMAT SAEPUL</t>
  </si>
  <si>
    <t>3217120510800026</t>
  </si>
  <si>
    <t>BANDUNG, 05/10/1980</t>
  </si>
  <si>
    <t>SUPARTI</t>
  </si>
  <si>
    <t>3217126712810010</t>
  </si>
  <si>
    <t>BANDUNG, 27/12/1981</t>
  </si>
  <si>
    <t>139</t>
  </si>
  <si>
    <t>0129588803</t>
  </si>
  <si>
    <t>3217122908120025</t>
  </si>
  <si>
    <t>3217122902120002</t>
  </si>
  <si>
    <t>3217-LT-27092017-2414</t>
  </si>
  <si>
    <t>3217120907770015</t>
  </si>
  <si>
    <t>BANDUNG, 09/07/1977</t>
  </si>
  <si>
    <t>MARLINA</t>
  </si>
  <si>
    <t>3217124107830647</t>
  </si>
  <si>
    <t>BANDUNG, 01/07/1983</t>
  </si>
  <si>
    <t>140</t>
  </si>
  <si>
    <t>0117937903</t>
  </si>
  <si>
    <t xml:space="preserve">DEPOK </t>
  </si>
  <si>
    <t>3217120408210022</t>
  </si>
  <si>
    <t>3276073105110001</t>
  </si>
  <si>
    <t>HERMAN RUKMANA</t>
  </si>
  <si>
    <t>3276010408790004</t>
  </si>
  <si>
    <t>BANDUNG, 04/08/1979</t>
  </si>
  <si>
    <t>IDA WIDANINGSIH</t>
  </si>
  <si>
    <t>3276016611830006</t>
  </si>
  <si>
    <t>BANDUNG, 26/11/1983</t>
  </si>
  <si>
    <t>141</t>
  </si>
  <si>
    <t>0117765716</t>
  </si>
  <si>
    <t>3217121703100017</t>
  </si>
  <si>
    <t>3217121211110002</t>
  </si>
  <si>
    <t>DEDENRUSWANDI</t>
  </si>
  <si>
    <t>3217120711870009</t>
  </si>
  <si>
    <t>BANDUNG, 07/11/1987</t>
  </si>
  <si>
    <t>SHERLIE YULIANTI DEWI</t>
  </si>
  <si>
    <t>3217125507920016</t>
  </si>
  <si>
    <t>BANDUNG, 15/07/1992</t>
  </si>
  <si>
    <t>083116571528</t>
  </si>
  <si>
    <t>142</t>
  </si>
  <si>
    <t>0123703641</t>
  </si>
  <si>
    <t>3217122109160005</t>
  </si>
  <si>
    <t>3217124311110002</t>
  </si>
  <si>
    <t>EPUL</t>
  </si>
  <si>
    <t>3217140601870008</t>
  </si>
  <si>
    <t>BANDUNG, 06/01/1987</t>
  </si>
  <si>
    <t>INA</t>
  </si>
  <si>
    <t>3217125505870022</t>
  </si>
  <si>
    <t>BANDUNG, 15/05/1987</t>
  </si>
  <si>
    <t>143</t>
  </si>
  <si>
    <t>3217111509120010</t>
  </si>
  <si>
    <t>3217116211110001</t>
  </si>
  <si>
    <t>3217-LT-13092017-1178</t>
  </si>
  <si>
    <t>24-10-26-1-0828-0021</t>
  </si>
  <si>
    <t>32171116038650021</t>
  </si>
  <si>
    <t>BANDUNG16/03/1985</t>
  </si>
  <si>
    <t>AI ROSMAWATI</t>
  </si>
  <si>
    <t>3217116005900012</t>
  </si>
  <si>
    <t>BANDUNG, 20/05/1980</t>
  </si>
  <si>
    <t>MI BINGAS 3</t>
  </si>
  <si>
    <t>083128666893</t>
  </si>
  <si>
    <t>144</t>
  </si>
  <si>
    <t>3217110207190012</t>
  </si>
  <si>
    <t>3217115412110008</t>
  </si>
  <si>
    <t>3217-LT-101032302-0004</t>
  </si>
  <si>
    <t>24-10-26-1-0828-0004</t>
  </si>
  <si>
    <t>WAWAN RAMIJO</t>
  </si>
  <si>
    <t>FITRIA</t>
  </si>
  <si>
    <t>3217114107820544</t>
  </si>
  <si>
    <t>BANDUNG, 01/07/1982</t>
  </si>
  <si>
    <t>'083150208279</t>
  </si>
  <si>
    <t>145</t>
  </si>
  <si>
    <t>3217110401120013</t>
  </si>
  <si>
    <t>3217113003120003</t>
  </si>
  <si>
    <t>3217-LU-09072012-0146</t>
  </si>
  <si>
    <t>24-10-26-1-0828-0015</t>
  </si>
  <si>
    <t>AYAH LATIP</t>
  </si>
  <si>
    <t>3217110103800028</t>
  </si>
  <si>
    <t>BANDUNG, 01/03/1990</t>
  </si>
  <si>
    <t>IHAT SOLIHAT</t>
  </si>
  <si>
    <t>327115306880001</t>
  </si>
  <si>
    <t>BANDUNG, 13/08/1988</t>
  </si>
  <si>
    <t>082127674730</t>
  </si>
  <si>
    <t>146</t>
  </si>
  <si>
    <t>3217111004080017</t>
  </si>
  <si>
    <t>`321711412110004</t>
  </si>
  <si>
    <t>3217-LT-17102012-0026</t>
  </si>
  <si>
    <t>24-10-26-1-0828-0020</t>
  </si>
  <si>
    <t>MANAP SOLEHUDIN</t>
  </si>
  <si>
    <t>3217110204760012</t>
  </si>
  <si>
    <t>BANDUNG, 02/04/1976</t>
  </si>
  <si>
    <t>RITA NURHAYATI</t>
  </si>
  <si>
    <t>3217116510800005</t>
  </si>
  <si>
    <t>BANDUNG, 25/10/1980</t>
  </si>
  <si>
    <t>083838433580</t>
  </si>
  <si>
    <t>147</t>
  </si>
  <si>
    <t>3217112008180005</t>
  </si>
  <si>
    <t>3217115810110006</t>
  </si>
  <si>
    <t>3217-LT-08092018-0097</t>
  </si>
  <si>
    <t>24-10-26-1-0828-0029</t>
  </si>
  <si>
    <t>3217110101830051</t>
  </si>
  <si>
    <t>BANDUNG, 01/01/1983</t>
  </si>
  <si>
    <t>RIKA FEBRIANI</t>
  </si>
  <si>
    <t>3203325007920001</t>
  </si>
  <si>
    <t>CIANJUR, 29/02/1992</t>
  </si>
  <si>
    <t>0838207000</t>
  </si>
  <si>
    <t>148</t>
  </si>
  <si>
    <t>3217111304058326</t>
  </si>
  <si>
    <t>3217112706120002</t>
  </si>
  <si>
    <t>7701/TPW/2011</t>
  </si>
  <si>
    <t>24-10-26-1-0828-0026</t>
  </si>
  <si>
    <t>LUKMAN</t>
  </si>
  <si>
    <t>3217111903690001</t>
  </si>
  <si>
    <t>BANDUNG, 19/03/1969</t>
  </si>
  <si>
    <t>3217114704750001</t>
  </si>
  <si>
    <t>BANDUNG, 07/04/1976</t>
  </si>
  <si>
    <t>083844621519</t>
  </si>
  <si>
    <t>149</t>
  </si>
  <si>
    <t>3217112705160016</t>
  </si>
  <si>
    <t>3217114707110004</t>
  </si>
  <si>
    <t>6443/TPW/2011</t>
  </si>
  <si>
    <t>24-10-26-1-0828-0019</t>
  </si>
  <si>
    <t>AWALUDIN</t>
  </si>
  <si>
    <t>3217112705890007</t>
  </si>
  <si>
    <t>BANDUNG, 27/06/1989</t>
  </si>
  <si>
    <t>KUSNIAWATI</t>
  </si>
  <si>
    <t>321711410791073</t>
  </si>
  <si>
    <t>BANDUNG, 01/07/1991</t>
  </si>
  <si>
    <t>087824331635</t>
  </si>
  <si>
    <t>150</t>
  </si>
  <si>
    <t>3217111301120013</t>
  </si>
  <si>
    <t>3217114102120003</t>
  </si>
  <si>
    <t>3217-LT-05062012-0061</t>
  </si>
  <si>
    <t>24-10-26-1-0828-0023</t>
  </si>
  <si>
    <t>AHMAD MULYADI</t>
  </si>
  <si>
    <t>3217112211880001</t>
  </si>
  <si>
    <t>BANDUNG,22/11/1988</t>
  </si>
  <si>
    <t>NENI ROHIMAH</t>
  </si>
  <si>
    <t>3217114801930006</t>
  </si>
  <si>
    <t>BANDUNG, 08/01/1993</t>
  </si>
  <si>
    <t>085860507989</t>
  </si>
  <si>
    <t>151</t>
  </si>
  <si>
    <t>321711307090018</t>
  </si>
  <si>
    <t>3217110601120003</t>
  </si>
  <si>
    <t>24-10-26-1-0828-0006</t>
  </si>
  <si>
    <t>PASIR TUGU</t>
  </si>
  <si>
    <t>SARMAN</t>
  </si>
  <si>
    <t>3217110602840012</t>
  </si>
  <si>
    <t>ALBION, 06/02/1984</t>
  </si>
  <si>
    <t>RENI ROSTANI</t>
  </si>
  <si>
    <t>3217115008870019</t>
  </si>
  <si>
    <t>BANDUNG, 10/08/1987</t>
  </si>
  <si>
    <t>23211123130212</t>
  </si>
  <si>
    <t>081223404315</t>
  </si>
  <si>
    <t>152</t>
  </si>
  <si>
    <t>3217111810110010</t>
  </si>
  <si>
    <t>3217115311110002</t>
  </si>
  <si>
    <t>11912/TPW/2011</t>
  </si>
  <si>
    <t>24-10-26-1-0828-0031</t>
  </si>
  <si>
    <t>3217121106820010</t>
  </si>
  <si>
    <t>BANDUNG, 11/06/1982</t>
  </si>
  <si>
    <t>LILIH MARLIAH</t>
  </si>
  <si>
    <t>3217114101920056</t>
  </si>
  <si>
    <t>BANDUNG, 01/01/1992</t>
  </si>
  <si>
    <t>32171119021126</t>
  </si>
  <si>
    <t>083829204372</t>
  </si>
  <si>
    <t>153</t>
  </si>
  <si>
    <t>3217113011110004</t>
  </si>
  <si>
    <t>3217116312120001</t>
  </si>
  <si>
    <t>3217-LT-14062012-0006</t>
  </si>
  <si>
    <t>24-10-26-1-0828-0002</t>
  </si>
  <si>
    <t>HERMAN SOMANTRI</t>
  </si>
  <si>
    <t>321711271860006</t>
  </si>
  <si>
    <t>SUMEDANG, 27/11/1985</t>
  </si>
  <si>
    <t>LINDA HERLINA</t>
  </si>
  <si>
    <t>3217116101870011</t>
  </si>
  <si>
    <t>BANDUNG, 21/01/1987</t>
  </si>
  <si>
    <t>32171122198384</t>
  </si>
  <si>
    <t>085720668352</t>
  </si>
  <si>
    <t>154</t>
  </si>
  <si>
    <t>3217110605080018</t>
  </si>
  <si>
    <t>3217115209110001</t>
  </si>
  <si>
    <t>24-10-26-1-0828-0022</t>
  </si>
  <si>
    <t>3217110404790019</t>
  </si>
  <si>
    <t>BANDUNG, 04/04/1979</t>
  </si>
  <si>
    <t>NINING HANDAYANI</t>
  </si>
  <si>
    <t>3217114505830028</t>
  </si>
  <si>
    <t>BANDUNG, 05/05/1983</t>
  </si>
  <si>
    <t>32171709021790</t>
  </si>
  <si>
    <t>085215588006</t>
  </si>
  <si>
    <t>155</t>
  </si>
  <si>
    <t>3217110303090008</t>
  </si>
  <si>
    <t>3217111404120001</t>
  </si>
  <si>
    <t>3217-LU-03082012-0052</t>
  </si>
  <si>
    <t>24-10-26-1-0828-0010</t>
  </si>
  <si>
    <t>EPENDI</t>
  </si>
  <si>
    <t>321711118810017</t>
  </si>
  <si>
    <t>BANDUNG, 11/08/1981</t>
  </si>
  <si>
    <t>HANI</t>
  </si>
  <si>
    <t>3217116911870003</t>
  </si>
  <si>
    <t>BANDUNG, 29/11/1987</t>
  </si>
  <si>
    <t>23211123130216</t>
  </si>
  <si>
    <t>083821106481</t>
  </si>
  <si>
    <t>156</t>
  </si>
  <si>
    <t>3217111004080055</t>
  </si>
  <si>
    <t>3217116812110004</t>
  </si>
  <si>
    <t>13260/TPW/2011</t>
  </si>
  <si>
    <t>24-10-26-1-0828-0030</t>
  </si>
  <si>
    <t>3217111708730018</t>
  </si>
  <si>
    <t>BANDUNG, 17/08/1973</t>
  </si>
  <si>
    <t>IPAH SETIANINGSIH</t>
  </si>
  <si>
    <t>3217114811810011</t>
  </si>
  <si>
    <t>BANDUNG, 08/11/1981</t>
  </si>
  <si>
    <t>32171709021870</t>
  </si>
  <si>
    <t>083116584558</t>
  </si>
  <si>
    <t>157</t>
  </si>
  <si>
    <t>3217111204057209</t>
  </si>
  <si>
    <t>3217115811110002</t>
  </si>
  <si>
    <t>11365/TPW/2011</t>
  </si>
  <si>
    <t>24-10-26-1-0828-0005</t>
  </si>
  <si>
    <t>00`</t>
  </si>
  <si>
    <t>0`1</t>
  </si>
  <si>
    <t>DODI</t>
  </si>
  <si>
    <t>3217111504720018</t>
  </si>
  <si>
    <t>BANDUNG, 15/04/1972</t>
  </si>
  <si>
    <t>3217114809780003</t>
  </si>
  <si>
    <t>BANDUNG, 20/09/1978</t>
  </si>
  <si>
    <t>32171709021787</t>
  </si>
  <si>
    <t>158</t>
  </si>
  <si>
    <t>3217111312050001</t>
  </si>
  <si>
    <t>3217116806110002</t>
  </si>
  <si>
    <t>3217-LT-12092017-0658</t>
  </si>
  <si>
    <t>24-10-26-1-0828-0024</t>
  </si>
  <si>
    <t>0014</t>
  </si>
  <si>
    <t>DIDIN NURDIN</t>
  </si>
  <si>
    <t>3217110303800009</t>
  </si>
  <si>
    <t>BANDUNG, 03/03/1980</t>
  </si>
  <si>
    <t>ROSWATI</t>
  </si>
  <si>
    <t>3217114511850017</t>
  </si>
  <si>
    <t>BANDUNG, 05/11/1985</t>
  </si>
  <si>
    <t>083125126228</t>
  </si>
  <si>
    <t>159</t>
  </si>
  <si>
    <t>0117651166</t>
  </si>
  <si>
    <t>3217112112110002</t>
  </si>
  <si>
    <t>3217111212110001</t>
  </si>
  <si>
    <t>12986/TPW/2011</t>
  </si>
  <si>
    <t>24-10-26-1-0828-0018</t>
  </si>
  <si>
    <t>UPIK</t>
  </si>
  <si>
    <t>3217110101880080</t>
  </si>
  <si>
    <t>BANDUNG, 01/01/1988</t>
  </si>
  <si>
    <t>NURMILAH</t>
  </si>
  <si>
    <t>3217145068100254</t>
  </si>
  <si>
    <t>BANDUNG, 05/06/1981</t>
  </si>
  <si>
    <t>160</t>
  </si>
  <si>
    <t>3217111304056466</t>
  </si>
  <si>
    <t>3217114905110002</t>
  </si>
  <si>
    <t>24-10-26-1-0828-0027</t>
  </si>
  <si>
    <t>SAEPULOH</t>
  </si>
  <si>
    <t>3217112005680001</t>
  </si>
  <si>
    <t>BANDUNG, 20/05/1968</t>
  </si>
  <si>
    <t>3217114506780001</t>
  </si>
  <si>
    <t>32171119021125</t>
  </si>
  <si>
    <t>082217574383</t>
  </si>
  <si>
    <t>161</t>
  </si>
  <si>
    <t>3217111004080080</t>
  </si>
  <si>
    <t>3217111001120002</t>
  </si>
  <si>
    <t>3217-LU-31-521012</t>
  </si>
  <si>
    <t>24-10-26-1-0828-0013</t>
  </si>
  <si>
    <t>NANDANG HERMAWAN</t>
  </si>
  <si>
    <t>3217111108800011</t>
  </si>
  <si>
    <t>BNADUNG, 11/08/1980</t>
  </si>
  <si>
    <t>AI KURNIA</t>
  </si>
  <si>
    <t>3217116710820005</t>
  </si>
  <si>
    <t>BANDUNG, 27/10/1982</t>
  </si>
  <si>
    <t>3211123130213</t>
  </si>
  <si>
    <t>085321123908</t>
  </si>
  <si>
    <t>162</t>
  </si>
  <si>
    <t>32317112408110015</t>
  </si>
  <si>
    <t>3217110405110001</t>
  </si>
  <si>
    <t>25069/DISP/2011</t>
  </si>
  <si>
    <t>24-10-26-1-0828-0014</t>
  </si>
  <si>
    <t>A ROYANI</t>
  </si>
  <si>
    <t>3217110503630007</t>
  </si>
  <si>
    <t>BANDUNG, 05/03/1963</t>
  </si>
  <si>
    <t>IBAH</t>
  </si>
  <si>
    <t>3217115705740004</t>
  </si>
  <si>
    <t>BANDUNG,17/05/1974</t>
  </si>
  <si>
    <t>32171709021786</t>
  </si>
  <si>
    <t>08170208773</t>
  </si>
  <si>
    <t>163</t>
  </si>
  <si>
    <t>3217112311050010</t>
  </si>
  <si>
    <t>3217115610110003</t>
  </si>
  <si>
    <t>11166/TPW/2011</t>
  </si>
  <si>
    <t>24-10-26-1-0828-0001</t>
  </si>
  <si>
    <t>RUDI</t>
  </si>
  <si>
    <t>3217110311730005</t>
  </si>
  <si>
    <t>BANDUNG,03/11/1973</t>
  </si>
  <si>
    <t>3217115506740010</t>
  </si>
  <si>
    <t>BANDUNG15/06/1974</t>
  </si>
  <si>
    <t>23211123035895</t>
  </si>
  <si>
    <t>'083844621516</t>
  </si>
  <si>
    <t>164</t>
  </si>
  <si>
    <t>3217111105060005</t>
  </si>
  <si>
    <t>3217115608110002</t>
  </si>
  <si>
    <t>3217-LT-13092017-0601</t>
  </si>
  <si>
    <t>24-10-26-1-0828-0033</t>
  </si>
  <si>
    <t>3217111202640008</t>
  </si>
  <si>
    <t>BANDNG, 12/02/1964</t>
  </si>
  <si>
    <t>E SRI NURHAYATI</t>
  </si>
  <si>
    <t>321711521269001</t>
  </si>
  <si>
    <t>BANDUNG, 12/12/1969</t>
  </si>
  <si>
    <t>321711199021127</t>
  </si>
  <si>
    <t>081322202775</t>
  </si>
  <si>
    <t>165</t>
  </si>
  <si>
    <t>3217112002120002</t>
  </si>
  <si>
    <t>3217116307120004</t>
  </si>
  <si>
    <t>3217-LU-04092012-0120</t>
  </si>
  <si>
    <t>24-10-26-1-0828-0025</t>
  </si>
  <si>
    <t>MUHAMAD ALI</t>
  </si>
  <si>
    <t>3217111410870009</t>
  </si>
  <si>
    <t>BANDUNG, 13/08/1986</t>
  </si>
  <si>
    <t>EVA LESTARI</t>
  </si>
  <si>
    <t>3217116910930006</t>
  </si>
  <si>
    <t>BANDUNG, 29/10/1993</t>
  </si>
  <si>
    <t>32171119021124</t>
  </si>
  <si>
    <t>083134005466</t>
  </si>
  <si>
    <t>166</t>
  </si>
  <si>
    <t>3217112805140002</t>
  </si>
  <si>
    <t>3217112112110008</t>
  </si>
  <si>
    <t>3217-LU-16022012-0009</t>
  </si>
  <si>
    <t>24-10-26-1-0827-0011</t>
  </si>
  <si>
    <t>WAWAN SOPIAN</t>
  </si>
  <si>
    <t>321110503840016</t>
  </si>
  <si>
    <t>BANDUNG, 05/03/1984</t>
  </si>
  <si>
    <t>ATI SUSILAWATI</t>
  </si>
  <si>
    <t>3217114306770022</t>
  </si>
  <si>
    <t>BANDUNG, 03/06/1977</t>
  </si>
  <si>
    <t>MIS BONGAS 2</t>
  </si>
  <si>
    <t>083837703315</t>
  </si>
  <si>
    <t>167</t>
  </si>
  <si>
    <t>3217110106060021</t>
  </si>
  <si>
    <t>3217116303120002</t>
  </si>
  <si>
    <t>3217-LU-19072012-0064</t>
  </si>
  <si>
    <t>CECEP ROSAMSI</t>
  </si>
  <si>
    <t>3217112712790003</t>
  </si>
  <si>
    <t>BANDUNG, 27/12/1979</t>
  </si>
  <si>
    <t>3217114401890003</t>
  </si>
  <si>
    <t>BANDUNG, 04/01/1989</t>
  </si>
  <si>
    <t>32171709021775</t>
  </si>
  <si>
    <t>081902228238</t>
  </si>
  <si>
    <t>168</t>
  </si>
  <si>
    <t>3217111603150001</t>
  </si>
  <si>
    <t>3217112804120002</t>
  </si>
  <si>
    <t>3217-LU-31072012-0203</t>
  </si>
  <si>
    <t>24-10-26-1-0827-0010</t>
  </si>
  <si>
    <t>MAMAT ROHIMAT</t>
  </si>
  <si>
    <t>3217110610850007</t>
  </si>
  <si>
    <t>BANDUNG,06/10/1985</t>
  </si>
  <si>
    <t>AI SITI NURJANAH</t>
  </si>
  <si>
    <t>3217114512930005</t>
  </si>
  <si>
    <t>BANDUNG, 19/01/1994</t>
  </si>
  <si>
    <t>083842220024</t>
  </si>
  <si>
    <t>169</t>
  </si>
  <si>
    <t>3217111011080002</t>
  </si>
  <si>
    <t>3217113003110003</t>
  </si>
  <si>
    <t>3304/TPW/2011</t>
  </si>
  <si>
    <t>24-10-26-1-0827-0007</t>
  </si>
  <si>
    <t>YUDA SONJAYA</t>
  </si>
  <si>
    <t>3217111911820005</t>
  </si>
  <si>
    <t>BANDUNG, 19/11/1982</t>
  </si>
  <si>
    <t>NIA SONIA</t>
  </si>
  <si>
    <t>3217115003860012</t>
  </si>
  <si>
    <t>BANDUNG, 10/03/1986</t>
  </si>
  <si>
    <t>32171709021910</t>
  </si>
  <si>
    <t>083194364595</t>
  </si>
  <si>
    <t>170</t>
  </si>
  <si>
    <t>3111294367</t>
  </si>
  <si>
    <t>06/11/2011</t>
  </si>
  <si>
    <t>3217112608110003</t>
  </si>
  <si>
    <t>3217110611120003</t>
  </si>
  <si>
    <t>11172/TPW/2011</t>
  </si>
  <si>
    <t>24-10-26-1-0827-0016</t>
  </si>
  <si>
    <t>HERI SUSWANTO</t>
  </si>
  <si>
    <t>3217110707830025</t>
  </si>
  <si>
    <t>BANDUNG, 07/07/1983</t>
  </si>
  <si>
    <t>WAWANG NAWANGSIH</t>
  </si>
  <si>
    <t>3217116802860003</t>
  </si>
  <si>
    <t>BANDUNG, 28/02/1986</t>
  </si>
  <si>
    <t>MI BONGAS II</t>
  </si>
  <si>
    <t>32171122022311</t>
  </si>
  <si>
    <t>083822115514</t>
  </si>
  <si>
    <t>171</t>
  </si>
  <si>
    <t>3122311920</t>
  </si>
  <si>
    <t>10/04/1012</t>
  </si>
  <si>
    <t>3217111404051962</t>
  </si>
  <si>
    <t>3217115004120003</t>
  </si>
  <si>
    <t>3217-LU-09072012-0151</t>
  </si>
  <si>
    <t>24-10-26-1-0827-0008</t>
  </si>
  <si>
    <t>3217112102700001</t>
  </si>
  <si>
    <t>BANDUNG, 21/02/1970</t>
  </si>
  <si>
    <t>DEPI RUSYAANTI</t>
  </si>
  <si>
    <t>3217116712830009</t>
  </si>
  <si>
    <t>BANDUNG, 27/12/1983</t>
  </si>
  <si>
    <t>11321720026534</t>
  </si>
  <si>
    <t>082127221622</t>
  </si>
  <si>
    <t>172</t>
  </si>
  <si>
    <t>3106895221</t>
  </si>
  <si>
    <t>3217112505090012</t>
  </si>
  <si>
    <t>3217110909100001</t>
  </si>
  <si>
    <t>8059/UMUM/2010</t>
  </si>
  <si>
    <t>24-10-26-1-0827-0019</t>
  </si>
  <si>
    <t>DENI ROMANSAH</t>
  </si>
  <si>
    <t>3217112804860012</t>
  </si>
  <si>
    <t>BANDUNG, 28/04/1986</t>
  </si>
  <si>
    <t>SINTA NURAHMAWATI</t>
  </si>
  <si>
    <t>3217115804900011</t>
  </si>
  <si>
    <t>BANDUNG, 18/04/1990</t>
  </si>
  <si>
    <t>081802043991</t>
  </si>
  <si>
    <t>173</t>
  </si>
  <si>
    <t>3117093387</t>
  </si>
  <si>
    <t>3217111912050126</t>
  </si>
  <si>
    <t>3217115509110004</t>
  </si>
  <si>
    <t>8871/TPW/2011</t>
  </si>
  <si>
    <t>24-10-26-1-0827-0028</t>
  </si>
  <si>
    <t>ANDI HADIAN</t>
  </si>
  <si>
    <t>3217111408840003</t>
  </si>
  <si>
    <t>BANDUNG, 14/08/1984</t>
  </si>
  <si>
    <t>RUKMINI</t>
  </si>
  <si>
    <t>3217114309850007</t>
  </si>
  <si>
    <t>BANDUNG, 03/09/1985</t>
  </si>
  <si>
    <t>32171709021864</t>
  </si>
  <si>
    <t>083119648561</t>
  </si>
  <si>
    <t>174</t>
  </si>
  <si>
    <t>36180016</t>
  </si>
  <si>
    <t>3217111304050878</t>
  </si>
  <si>
    <t>3217112411100002</t>
  </si>
  <si>
    <t>10945/UMUM/2010</t>
  </si>
  <si>
    <t>ATIM SUPRIATNA</t>
  </si>
  <si>
    <t>3217110603640003</t>
  </si>
  <si>
    <t>BANDUNG, 06/03/1964</t>
  </si>
  <si>
    <t>AYI</t>
  </si>
  <si>
    <t>3217115107630003</t>
  </si>
  <si>
    <t>BANDUNG, 11/07/1963</t>
  </si>
  <si>
    <t>32171709021863</t>
  </si>
  <si>
    <t>083114910449</t>
  </si>
  <si>
    <t>175</t>
  </si>
  <si>
    <t>0121892229</t>
  </si>
  <si>
    <t>24/06/20112</t>
  </si>
  <si>
    <t>3275031102220019</t>
  </si>
  <si>
    <t>3203136406120002</t>
  </si>
  <si>
    <t>3203-LU-04072012-0027</t>
  </si>
  <si>
    <t>24-10-26-1-0822-0013</t>
  </si>
  <si>
    <t>SOBUR</t>
  </si>
  <si>
    <t>YULIANI</t>
  </si>
  <si>
    <t>3203134107910803</t>
  </si>
  <si>
    <t>087880782600</t>
  </si>
  <si>
    <t>176</t>
  </si>
  <si>
    <t>3111418088</t>
  </si>
  <si>
    <t>29/10/1011</t>
  </si>
  <si>
    <t>3217111305220007</t>
  </si>
  <si>
    <t>3217116910110004</t>
  </si>
  <si>
    <t>11169/TPW/2011</t>
  </si>
  <si>
    <t>24-10-26-1-0827-0005</t>
  </si>
  <si>
    <t>HANA MARLINA</t>
  </si>
  <si>
    <t>3217114510850013</t>
  </si>
  <si>
    <t>BANDUNG, 05/10/1985</t>
  </si>
  <si>
    <t>082116673377</t>
  </si>
  <si>
    <t>177</t>
  </si>
  <si>
    <t>3113259280</t>
  </si>
  <si>
    <t>3217111411070005</t>
  </si>
  <si>
    <t>3217111801110001</t>
  </si>
  <si>
    <t>1324/UMUM/2011</t>
  </si>
  <si>
    <t>24-10-26-1-0827-0015</t>
  </si>
  <si>
    <t>UHUD</t>
  </si>
  <si>
    <t>3217110605640002</t>
  </si>
  <si>
    <t>BANDUNG, 08/05/1964</t>
  </si>
  <si>
    <t>3217115708730013</t>
  </si>
  <si>
    <t>23211123130173</t>
  </si>
  <si>
    <t>0881023021256</t>
  </si>
  <si>
    <t>178</t>
  </si>
  <si>
    <t>3111859080</t>
  </si>
  <si>
    <t>3674061109120141</t>
  </si>
  <si>
    <t>3674066010110006</t>
  </si>
  <si>
    <t>10731/TPW/2011</t>
  </si>
  <si>
    <t>24-10-26-1-0827-0002</t>
  </si>
  <si>
    <t>ABDULAH</t>
  </si>
  <si>
    <t>3674060202750023</t>
  </si>
  <si>
    <t>TANGERANG, 01/01/1975</t>
  </si>
  <si>
    <t>MARLIAH</t>
  </si>
  <si>
    <t>3674065005810011</t>
  </si>
  <si>
    <t>BANDUNG, 10/05/1981</t>
  </si>
  <si>
    <t>083128666894</t>
  </si>
  <si>
    <t>179</t>
  </si>
  <si>
    <t>3119457926</t>
  </si>
  <si>
    <t>3217111811110027</t>
  </si>
  <si>
    <t>3217111811110001</t>
  </si>
  <si>
    <t>3217-LU-15022012-0004</t>
  </si>
  <si>
    <t>24-10-26-1-0827-0017</t>
  </si>
  <si>
    <t xml:space="preserve">BAYU WAHYUDIN </t>
  </si>
  <si>
    <t>3217110504800013</t>
  </si>
  <si>
    <t>BANDUNG, 05/04/1980</t>
  </si>
  <si>
    <t>RINI ANGGRAENI</t>
  </si>
  <si>
    <t>3217114609830028</t>
  </si>
  <si>
    <t>BANDUNG, 06/09/1983</t>
  </si>
  <si>
    <t>083830314450</t>
  </si>
  <si>
    <t>180</t>
  </si>
  <si>
    <t>3114620555</t>
  </si>
  <si>
    <t>3217112510120022</t>
  </si>
  <si>
    <t>3217110910110001</t>
  </si>
  <si>
    <t>10212/TPW/2011</t>
  </si>
  <si>
    <t>24-10-26-1-0827-0009</t>
  </si>
  <si>
    <t>DIDIN NURDIANSAH</t>
  </si>
  <si>
    <t>3217110210820016</t>
  </si>
  <si>
    <t>BANDUNG, 02/10/1982</t>
  </si>
  <si>
    <t>WINDA AMELIAWATI</t>
  </si>
  <si>
    <t>3217114612930001</t>
  </si>
  <si>
    <t>BANDUNG, 06/12/1993</t>
  </si>
  <si>
    <t>083837116879</t>
  </si>
  <si>
    <t>181</t>
  </si>
  <si>
    <t>3117311592</t>
  </si>
  <si>
    <t>3217113011120002</t>
  </si>
  <si>
    <t>3217111007110002</t>
  </si>
  <si>
    <t>7085/TPW/2011</t>
  </si>
  <si>
    <t>24-10-26-1-0827-0021</t>
  </si>
  <si>
    <t>ALI ROHMAN</t>
  </si>
  <si>
    <t>3217110803860002</t>
  </si>
  <si>
    <t>BANDUNG, 08/03/1986</t>
  </si>
  <si>
    <t>3217115706920010</t>
  </si>
  <si>
    <t>BANDUNG, 17/06/1992</t>
  </si>
  <si>
    <t>083844621996</t>
  </si>
  <si>
    <t>182</t>
  </si>
  <si>
    <t>3217111603170004</t>
  </si>
  <si>
    <t>3217112512110005</t>
  </si>
  <si>
    <t>13341/TPW/2011</t>
  </si>
  <si>
    <t>24-10-26-1-0827-0020</t>
  </si>
  <si>
    <t>40552</t>
  </si>
  <si>
    <t>PANDI</t>
  </si>
  <si>
    <t>3217110604740013</t>
  </si>
  <si>
    <t>BANDUNG, 06/04/1974</t>
  </si>
  <si>
    <t>SEKAR BUDIATI KUSUMA WARDANI</t>
  </si>
  <si>
    <t>3217104211860010</t>
  </si>
  <si>
    <t>BANDUNG, 02/11/1985</t>
  </si>
  <si>
    <t>DIPLIMA IV</t>
  </si>
  <si>
    <t>082317355431</t>
  </si>
  <si>
    <t>183</t>
  </si>
  <si>
    <t>3217113010060016</t>
  </si>
  <si>
    <t>321711020211001</t>
  </si>
  <si>
    <t>3217-LT-16012014-0537</t>
  </si>
  <si>
    <t>24-10-26-1-0827-0022</t>
  </si>
  <si>
    <t>321711120880011</t>
  </si>
  <si>
    <t>BANDUNG, 12/08/1980</t>
  </si>
  <si>
    <t>YULIA NURHAYATI</t>
  </si>
  <si>
    <t>3217116806810005</t>
  </si>
  <si>
    <t>BANDUNG, 28/06/1981</t>
  </si>
  <si>
    <t>085864508134</t>
  </si>
  <si>
    <t>184</t>
  </si>
  <si>
    <t>3217111209170008</t>
  </si>
  <si>
    <t>3217102206110001</t>
  </si>
  <si>
    <t>6167/TPW/2011</t>
  </si>
  <si>
    <t>IYAS SONJAYA</t>
  </si>
  <si>
    <t>3217102912660015</t>
  </si>
  <si>
    <t>BANDUNG, 29/12/1986</t>
  </si>
  <si>
    <t>RISKA ASTRINA DEWI</t>
  </si>
  <si>
    <t>185</t>
  </si>
  <si>
    <t>0114688283</t>
  </si>
  <si>
    <t>3217111902100002</t>
  </si>
  <si>
    <t>3217112112110005</t>
  </si>
  <si>
    <t>24-10-26-1-0861-0036</t>
  </si>
  <si>
    <t>RIDWAN BAYANI SUGANDI</t>
  </si>
  <si>
    <t>3217112812830021</t>
  </si>
  <si>
    <t>BANDUNG, 28/12/1986</t>
  </si>
  <si>
    <t>NENG SRI ENDANG RUKMAYANTI</t>
  </si>
  <si>
    <t>3217116909860006</t>
  </si>
  <si>
    <t>BANDUNG, 29/08/1986</t>
  </si>
  <si>
    <t>MIS MUSLIMIN CIKADU</t>
  </si>
  <si>
    <t>083895267010</t>
  </si>
  <si>
    <t>186</t>
  </si>
  <si>
    <t>3217110406070031</t>
  </si>
  <si>
    <t>3217115503030012</t>
  </si>
  <si>
    <t>3217-LT-18072012-0158</t>
  </si>
  <si>
    <t>24-10-26-1-0827-0029</t>
  </si>
  <si>
    <t>AMAY</t>
  </si>
  <si>
    <t>3217111711760005</t>
  </si>
  <si>
    <t>BANDUNG, 17/11/1976</t>
  </si>
  <si>
    <t>ELI WIDIAWATI</t>
  </si>
  <si>
    <t>3217114606820008</t>
  </si>
  <si>
    <t>BANDUNG, 06/08/1982</t>
  </si>
  <si>
    <t>08212856309</t>
  </si>
  <si>
    <t>187</t>
  </si>
  <si>
    <t>3217111804070015</t>
  </si>
  <si>
    <t>3217112103120004</t>
  </si>
  <si>
    <t>3217-LT-20052024-0187</t>
  </si>
  <si>
    <t>MI-24 100093464</t>
  </si>
  <si>
    <t>CIBOLANG</t>
  </si>
  <si>
    <t>PATRUDIN</t>
  </si>
  <si>
    <t>3217110103690012</t>
  </si>
  <si>
    <t>BANDUNG,01/03/1969</t>
  </si>
  <si>
    <t>3217115010740021</t>
  </si>
  <si>
    <t>BANDUNG,10/10/1974</t>
  </si>
  <si>
    <t>081281863991</t>
  </si>
  <si>
    <t>188</t>
  </si>
  <si>
    <t>0112402968</t>
  </si>
  <si>
    <t>3217030305051091</t>
  </si>
  <si>
    <t>3217031011110001</t>
  </si>
  <si>
    <t>3217-LT-24012017-0031</t>
  </si>
  <si>
    <t>02-11-03-20207476-013</t>
  </si>
  <si>
    <t>CIPANAS</t>
  </si>
  <si>
    <t>PADAASIH</t>
  </si>
  <si>
    <t>CISARUA</t>
  </si>
  <si>
    <t>KOMARUDIN</t>
  </si>
  <si>
    <t>3217032109700001</t>
  </si>
  <si>
    <t>JAKRTA, 21/09/1970</t>
  </si>
  <si>
    <t>RINI NURYANI</t>
  </si>
  <si>
    <t>3217034903830001</t>
  </si>
  <si>
    <t>BANDUNG, 09/03/1983</t>
  </si>
  <si>
    <t>SDN 2 CIPANAS</t>
  </si>
  <si>
    <t>189</t>
  </si>
  <si>
    <t>0121682469</t>
  </si>
  <si>
    <t>3217061607180021</t>
  </si>
  <si>
    <t>3217115604120003</t>
  </si>
  <si>
    <t>3217-LU-04072012-0050</t>
  </si>
  <si>
    <t>11-08-20208219-066</t>
  </si>
  <si>
    <t>SALACAU</t>
  </si>
  <si>
    <t>BATUJAJAR</t>
  </si>
  <si>
    <t>RAHMAT PRIATNA</t>
  </si>
  <si>
    <t>3327090107750352</t>
  </si>
  <si>
    <t>PEMALANG, 01/07/1975</t>
  </si>
  <si>
    <t>WIWIN LESTARI</t>
  </si>
  <si>
    <t>3217066509850015</t>
  </si>
  <si>
    <t>CILACAP, 25/09/1985</t>
  </si>
  <si>
    <t>SDN 3 CIHARASHAS NGAMPRAH</t>
  </si>
  <si>
    <t>085793663066</t>
  </si>
  <si>
    <t>190</t>
  </si>
  <si>
    <t>0116443889</t>
  </si>
  <si>
    <t>3172020201121060</t>
  </si>
  <si>
    <t>3172026710111004</t>
  </si>
  <si>
    <t>22.443/KL/JU/2011</t>
  </si>
  <si>
    <t>02-11-11-0515-010</t>
  </si>
  <si>
    <t>WARAKAS III</t>
  </si>
  <si>
    <t>WARAKAS</t>
  </si>
  <si>
    <t>TANJUNG PRIUK</t>
  </si>
  <si>
    <t>IMIM MUDZAKKIR</t>
  </si>
  <si>
    <t>3172022402810019</t>
  </si>
  <si>
    <t>JAKARTA, 24/02/1981</t>
  </si>
  <si>
    <t>EPON NURHAYATI</t>
  </si>
  <si>
    <t>31720280009831003</t>
  </si>
  <si>
    <t>BANDUNG, 20/09/2983</t>
  </si>
  <si>
    <t>SDN GROGOL</t>
  </si>
  <si>
    <t>081287336629</t>
  </si>
  <si>
    <t>191</t>
  </si>
  <si>
    <t>0112735051</t>
  </si>
  <si>
    <t>3217110401060082</t>
  </si>
  <si>
    <t>3217114408110001</t>
  </si>
  <si>
    <t>7763/TPW/2011</t>
  </si>
  <si>
    <t>02-11-11-0515-002</t>
  </si>
  <si>
    <t>DAUD SUTISNA</t>
  </si>
  <si>
    <t>3217111505750007</t>
  </si>
  <si>
    <t>BANDUNG,15/05/1975</t>
  </si>
  <si>
    <t>32171160066790002</t>
  </si>
  <si>
    <t>BANDUNG,20/06/1979</t>
  </si>
  <si>
    <t>083829980492</t>
  </si>
  <si>
    <t>192</t>
  </si>
  <si>
    <t>3113250413</t>
  </si>
  <si>
    <t>LEBAK</t>
  </si>
  <si>
    <t>3601331412220002</t>
  </si>
  <si>
    <t>36021865509110000</t>
  </si>
  <si>
    <t>3607-LU-01112011-0032</t>
  </si>
  <si>
    <t>02-11-11-0515-004</t>
  </si>
  <si>
    <t>AHMAD TOBARI</t>
  </si>
  <si>
    <t>3602245010920003</t>
  </si>
  <si>
    <t>LEBAK, 10/10/1992</t>
  </si>
  <si>
    <t>193</t>
  </si>
  <si>
    <t>01299696993</t>
  </si>
  <si>
    <t>3217110406080037</t>
  </si>
  <si>
    <t>3217113006120001</t>
  </si>
  <si>
    <t>3217-LT-27052016-0129</t>
  </si>
  <si>
    <t>CIBAREGBEG</t>
  </si>
  <si>
    <t>ADE WAWAN</t>
  </si>
  <si>
    <t>3217110202680015</t>
  </si>
  <si>
    <t>BANDUNG,02/02/1968</t>
  </si>
  <si>
    <t>TITIN SUPARTINI</t>
  </si>
  <si>
    <t>3217115011810013</t>
  </si>
  <si>
    <t>BANDUNG,10/11/1981</t>
  </si>
  <si>
    <t>1946902690528353</t>
  </si>
  <si>
    <t>194</t>
  </si>
  <si>
    <t>0113078902</t>
  </si>
  <si>
    <t>DENPASAR</t>
  </si>
  <si>
    <t>5171030605070097</t>
  </si>
  <si>
    <t>5171032010110001</t>
  </si>
  <si>
    <t>5171-LU-28102011-0039</t>
  </si>
  <si>
    <t>MUHAMAD CHOLIK</t>
  </si>
  <si>
    <t>5171031508800019</t>
  </si>
  <si>
    <t>LUMAJANG,15/08/1980</t>
  </si>
  <si>
    <t>RIMA EFTRIANI</t>
  </si>
  <si>
    <t>5171034104840025</t>
  </si>
  <si>
    <t>BANYUWANGI,01/04/1984</t>
  </si>
  <si>
    <t>195</t>
  </si>
  <si>
    <t>0116953146</t>
  </si>
  <si>
    <t>3217112707120006</t>
  </si>
  <si>
    <t>3217110707110002</t>
  </si>
  <si>
    <t>3217-LT-10102013-0278</t>
  </si>
  <si>
    <t>ADE MUSLIM</t>
  </si>
  <si>
    <t>3217150508770022</t>
  </si>
  <si>
    <t>BANDUNG,05/08/1977</t>
  </si>
  <si>
    <t>SITI HANIPAH</t>
  </si>
  <si>
    <t>3217116508900007</t>
  </si>
  <si>
    <t>BANDUNG,25/08/1990</t>
  </si>
  <si>
    <t>083174872066</t>
  </si>
  <si>
    <t>196</t>
  </si>
  <si>
    <t>0127701523</t>
  </si>
  <si>
    <t>3217110706160008</t>
  </si>
  <si>
    <t>3217122005110004</t>
  </si>
  <si>
    <t>3217-LT-10062014-0110</t>
  </si>
  <si>
    <t>02-11-11-0515-003</t>
  </si>
  <si>
    <t>DARSO</t>
  </si>
  <si>
    <t>3217120507790027</t>
  </si>
  <si>
    <t>BANUDNG, 05/07/1979</t>
  </si>
  <si>
    <t>ELIS SUSANTI</t>
  </si>
  <si>
    <t>3217124704810013</t>
  </si>
  <si>
    <t>BANDUNG, 07/04/1981</t>
  </si>
  <si>
    <t>197</t>
  </si>
  <si>
    <t>0128744548</t>
  </si>
  <si>
    <t>3217110804190003</t>
  </si>
  <si>
    <t>3273067006120003</t>
  </si>
  <si>
    <t>02-11-11-0515-008</t>
  </si>
  <si>
    <t>3217112103720013</t>
  </si>
  <si>
    <t>BANDUNG, 21/03/1972</t>
  </si>
  <si>
    <t>ANGGI DWI PUSPITA SARI</t>
  </si>
  <si>
    <t>3215134707830013</t>
  </si>
  <si>
    <t>KARAWANG, 07/07/1983</t>
  </si>
  <si>
    <t>F8P2MJ</t>
  </si>
  <si>
    <t>198</t>
  </si>
  <si>
    <t>3110939907</t>
  </si>
  <si>
    <t>3217111304056409</t>
  </si>
  <si>
    <t>3217110305110002</t>
  </si>
  <si>
    <t>3217-LT-14052012-0122</t>
  </si>
  <si>
    <t>24-10-26-1-0828-0012</t>
  </si>
  <si>
    <t>3217112504721001</t>
  </si>
  <si>
    <t>BANDUNG, 25/04/1970</t>
  </si>
  <si>
    <t>WARIKAH</t>
  </si>
  <si>
    <t>3217115902721001</t>
  </si>
  <si>
    <t>BANDUNG, 19/02/1972</t>
  </si>
  <si>
    <t>MIS BONGAS 3</t>
  </si>
  <si>
    <t>32171709021783</t>
  </si>
  <si>
    <t>199</t>
  </si>
  <si>
    <t>3110125341</t>
  </si>
  <si>
    <t>3217114305110004</t>
  </si>
  <si>
    <t>3217-LT-06042024-0031</t>
  </si>
  <si>
    <t>24-10-26-1-0828-0011</t>
  </si>
  <si>
    <t>BANDUNG,25/04/1970</t>
  </si>
  <si>
    <t>BANUDNG, 19/02/1972</t>
  </si>
  <si>
    <t>11321720046075</t>
  </si>
  <si>
    <t>200</t>
  </si>
  <si>
    <t>012234769</t>
  </si>
  <si>
    <t>3202303107090047</t>
  </si>
  <si>
    <t>3202305701120002</t>
  </si>
  <si>
    <t>CIJARIYAN PANDAY</t>
  </si>
  <si>
    <t>KADUDAMPIT</t>
  </si>
  <si>
    <t>ATIN RUSTIAWAN</t>
  </si>
  <si>
    <t>3202300101790020</t>
  </si>
  <si>
    <t>SUKABUMI, 01/01/1970</t>
  </si>
  <si>
    <t>3202306404810001</t>
  </si>
  <si>
    <t>SUKABUMI, 24/04/1981</t>
  </si>
  <si>
    <t>SDN I CIPETIR/SUKABUMI</t>
  </si>
  <si>
    <t>083148045170</t>
  </si>
  <si>
    <t>201</t>
  </si>
  <si>
    <t>3111956978</t>
  </si>
  <si>
    <t>3217111605060039</t>
  </si>
  <si>
    <t>3217111912110001</t>
  </si>
  <si>
    <t>YUYUN YUHANA</t>
  </si>
  <si>
    <t>3217111103830010</t>
  </si>
  <si>
    <t>BANDUNG, 11/03/1983</t>
  </si>
  <si>
    <t>LEILA NURHAYATI</t>
  </si>
  <si>
    <t>3217114712850008</t>
  </si>
  <si>
    <t>BANDUNG, 07/12//1985</t>
  </si>
  <si>
    <t>081312245450</t>
  </si>
  <si>
    <t>202</t>
  </si>
  <si>
    <t>0123439956</t>
  </si>
  <si>
    <t>3217122105050001</t>
  </si>
  <si>
    <t>3217125002120002</t>
  </si>
  <si>
    <t>3217-LT-22092017-0460</t>
  </si>
  <si>
    <t>PUNCAK SUJI</t>
  </si>
  <si>
    <t>CINTAASIH</t>
  </si>
  <si>
    <t>ENGKUS HOERUDIN</t>
  </si>
  <si>
    <t>3217121205780030</t>
  </si>
  <si>
    <t>BANDUNG,12/05/1978</t>
  </si>
  <si>
    <t>3217125107780030</t>
  </si>
  <si>
    <t>BANDUNG,11/07/1978</t>
  </si>
  <si>
    <t>SDN 1 CIBENDA</t>
  </si>
  <si>
    <t>1946902691036760</t>
  </si>
  <si>
    <t>085603439233</t>
  </si>
  <si>
    <t>203</t>
  </si>
  <si>
    <t>0115623179</t>
  </si>
  <si>
    <t>3217122105050007</t>
  </si>
  <si>
    <t>3217126611110002</t>
  </si>
  <si>
    <t>13613/TPW/2011</t>
  </si>
  <si>
    <t>11-12-20208003-030</t>
  </si>
  <si>
    <t>PANCAK SUJI</t>
  </si>
  <si>
    <t>MAMAT RAHMAT S.Pd.I</t>
  </si>
  <si>
    <t>3217120503730001</t>
  </si>
  <si>
    <t>BANDUNG,05/03/1973</t>
  </si>
  <si>
    <t>DIPLOMA IV/STARA I</t>
  </si>
  <si>
    <t>PNS</t>
  </si>
  <si>
    <t>3217124408810014</t>
  </si>
  <si>
    <t>BANDUNG,04/08/1981</t>
  </si>
  <si>
    <t>085722072437</t>
  </si>
  <si>
    <t>204</t>
  </si>
  <si>
    <t>0119091177</t>
  </si>
  <si>
    <t>3217122601120001</t>
  </si>
  <si>
    <t>3217-LT-24112016-0086</t>
  </si>
  <si>
    <t>DN-02/D/SD/K13/24/ 0063979</t>
  </si>
  <si>
    <t>H AHMAD NURBAYAN</t>
  </si>
  <si>
    <t>ENENG DEWI</t>
  </si>
  <si>
    <t>SDN 2 CIPONGKOR</t>
  </si>
  <si>
    <t>205</t>
  </si>
  <si>
    <t>3217121610140003</t>
  </si>
  <si>
    <t>3217125207110005</t>
  </si>
  <si>
    <t>3217-LT-2172017-105</t>
  </si>
  <si>
    <t>DN-02/D/SD/K13/24/ 0064631</t>
  </si>
  <si>
    <t>11-12-20205274-004</t>
  </si>
  <si>
    <t>RONI</t>
  </si>
  <si>
    <t>3217120206880009</t>
  </si>
  <si>
    <t>BANDUNG,02/06/1988</t>
  </si>
  <si>
    <t>IMAS HARYANI</t>
  </si>
  <si>
    <t>3217124511920003</t>
  </si>
  <si>
    <t>BANDUNG,05/11/1992</t>
  </si>
  <si>
    <t>SDN PASIR BANTENG</t>
  </si>
  <si>
    <t>087753615735</t>
  </si>
  <si>
    <t>206</t>
  </si>
  <si>
    <t>0116486545</t>
  </si>
  <si>
    <t>3217110504180018</t>
  </si>
  <si>
    <t>321711809110006</t>
  </si>
  <si>
    <t>3217-LT-22072013-0258</t>
  </si>
  <si>
    <t>02-11-20205381-023</t>
  </si>
  <si>
    <t>NUR CAHYANI</t>
  </si>
  <si>
    <t>3217114507880027</t>
  </si>
  <si>
    <t>BANDUNG,05/07/1988</t>
  </si>
  <si>
    <t>LAKI LAKI</t>
  </si>
  <si>
    <t>PEREMPUAN</t>
  </si>
  <si>
    <t>CITRA REGINA YULIANTI</t>
  </si>
  <si>
    <t>NAYMA PUTRI SETIAWAN</t>
  </si>
  <si>
    <t>VIERLY DENIVA INDRIANY</t>
  </si>
  <si>
    <t>MOCHAMAD FIRMAN ALAMSYAH</t>
  </si>
  <si>
    <t>MUHAMAD RAMDHAN</t>
  </si>
  <si>
    <t>Cililin,                       2024</t>
  </si>
  <si>
    <t>FANDI MAULANA SIDIQ</t>
  </si>
  <si>
    <t>23.24.07.202</t>
  </si>
  <si>
    <t>ZAHRA NURASYIFA (Keluar )</t>
  </si>
  <si>
    <t>24.25.07.001</t>
  </si>
  <si>
    <t>24.25.07.002</t>
  </si>
  <si>
    <t>24.25.07.003</t>
  </si>
  <si>
    <t>24.25.07.004</t>
  </si>
  <si>
    <t>24.25.07.005</t>
  </si>
  <si>
    <t>24.25.07.006</t>
  </si>
  <si>
    <t>24.25.07.007</t>
  </si>
  <si>
    <t>24.25.07.008</t>
  </si>
  <si>
    <t>24.25.07.009</t>
  </si>
  <si>
    <t>24.25.07.010</t>
  </si>
  <si>
    <t>24.25.07.011</t>
  </si>
  <si>
    <t>24.25.07.012</t>
  </si>
  <si>
    <t>24.25.07.013</t>
  </si>
  <si>
    <t>24.25.07.014</t>
  </si>
  <si>
    <t>24.25.07.015</t>
  </si>
  <si>
    <t>24.25.07.016</t>
  </si>
  <si>
    <t>24.25.07.017</t>
  </si>
  <si>
    <t>24.25.07.018</t>
  </si>
  <si>
    <t>24.25.07.019</t>
  </si>
  <si>
    <t>24.25.07.020</t>
  </si>
  <si>
    <t>24.25.07.021</t>
  </si>
  <si>
    <t>24.25.07.022</t>
  </si>
  <si>
    <t>24.25.07.023</t>
  </si>
  <si>
    <t>24.25.07.024</t>
  </si>
  <si>
    <t>24.25.07.025</t>
  </si>
  <si>
    <t>24.25.07.026</t>
  </si>
  <si>
    <t>24.25.07.027</t>
  </si>
  <si>
    <t>24.25.07.028</t>
  </si>
  <si>
    <t>24.25.07.029</t>
  </si>
  <si>
    <t>24.25.07.030</t>
  </si>
  <si>
    <t>24.25.07.031</t>
  </si>
  <si>
    <t>24.25.07.032</t>
  </si>
  <si>
    <t>24.25.07.033</t>
  </si>
  <si>
    <t>24.25.07.034</t>
  </si>
  <si>
    <t>24.25.07.035</t>
  </si>
  <si>
    <t>24.25.07.036</t>
  </si>
  <si>
    <t>24.25.07.037</t>
  </si>
  <si>
    <t>24.25.07.038</t>
  </si>
  <si>
    <t>24.25.07.039</t>
  </si>
  <si>
    <t>24.25.07.040</t>
  </si>
  <si>
    <t>24.25.07.041</t>
  </si>
  <si>
    <t>24.25.07.042</t>
  </si>
  <si>
    <t>24.25.07.043</t>
  </si>
  <si>
    <t>24.25.07.044</t>
  </si>
  <si>
    <t>24.25.07.045</t>
  </si>
  <si>
    <t>24.25.07.047</t>
  </si>
  <si>
    <t>24.25.07.048</t>
  </si>
  <si>
    <t>24.25.07.049</t>
  </si>
  <si>
    <t>24.25.07.050</t>
  </si>
  <si>
    <t>24.25.07.051</t>
  </si>
  <si>
    <t>24.25.07.052</t>
  </si>
  <si>
    <t>24.25.07.053</t>
  </si>
  <si>
    <t>24.25.07.054</t>
  </si>
  <si>
    <t>24.25.07.055</t>
  </si>
  <si>
    <t>24.25.07.056</t>
  </si>
  <si>
    <t>24.25.07.057</t>
  </si>
  <si>
    <t>24.25.07.058</t>
  </si>
  <si>
    <t>24.25.07.059</t>
  </si>
  <si>
    <t>24.25.07.060</t>
  </si>
  <si>
    <t>24.25.07.061</t>
  </si>
  <si>
    <t>24.25.07.062</t>
  </si>
  <si>
    <t>24.25.07.063</t>
  </si>
  <si>
    <t>24.25.07.064</t>
  </si>
  <si>
    <t>24.25.07.065</t>
  </si>
  <si>
    <t>24.25.07.066</t>
  </si>
  <si>
    <t>24.25.07.067</t>
  </si>
  <si>
    <t>24.25.07.068</t>
  </si>
  <si>
    <t>24.25.07.069</t>
  </si>
  <si>
    <t>24.25.07.070</t>
  </si>
  <si>
    <t>24.25.07.071</t>
  </si>
  <si>
    <t>24.25.07.073</t>
  </si>
  <si>
    <t>24.25.07.075</t>
  </si>
  <si>
    <t>24.25.07.076</t>
  </si>
  <si>
    <t>24.25.07.077</t>
  </si>
  <si>
    <t>24.25.07.078</t>
  </si>
  <si>
    <t>24.25.07.079</t>
  </si>
  <si>
    <t>24.25.07.080</t>
  </si>
  <si>
    <t>24.25.07.081</t>
  </si>
  <si>
    <t>24.25.07.082</t>
  </si>
  <si>
    <t>24.25.07.083</t>
  </si>
  <si>
    <t>24.25.07.084</t>
  </si>
  <si>
    <t>24.25.07.085</t>
  </si>
  <si>
    <t>24.25.07.086</t>
  </si>
  <si>
    <t>24.25.07.087</t>
  </si>
  <si>
    <t>24.25.07.088</t>
  </si>
  <si>
    <t>24.25.07.089</t>
  </si>
  <si>
    <t>24.25.07.090</t>
  </si>
  <si>
    <t>24.25.07.091</t>
  </si>
  <si>
    <t>24.25.07.092</t>
  </si>
  <si>
    <t>24.25.07.093</t>
  </si>
  <si>
    <t>24.25.07.094</t>
  </si>
  <si>
    <t>24.25.07.095</t>
  </si>
  <si>
    <t>24.25.07.097</t>
  </si>
  <si>
    <t>24.25.07.098</t>
  </si>
  <si>
    <t>24.25.07.099</t>
  </si>
  <si>
    <t>24.25.07.101</t>
  </si>
  <si>
    <t>24.25.07.102</t>
  </si>
  <si>
    <t>24.25.07.103</t>
  </si>
  <si>
    <t>24.25.07.104</t>
  </si>
  <si>
    <t>24.25.07.105</t>
  </si>
  <si>
    <t>24.25.07.106</t>
  </si>
  <si>
    <t>24.25.07.107</t>
  </si>
  <si>
    <t>24.25.07.108</t>
  </si>
  <si>
    <t>24.25.07.109</t>
  </si>
  <si>
    <t>24.25.07.110</t>
  </si>
  <si>
    <t>24.25.07.111</t>
  </si>
  <si>
    <t>24.25.07.112</t>
  </si>
  <si>
    <t>24.25.07.113</t>
  </si>
  <si>
    <t>24.25.07.114</t>
  </si>
  <si>
    <t>24.25.07.115</t>
  </si>
  <si>
    <t>24.25.07.116</t>
  </si>
  <si>
    <t>24.25.07.117</t>
  </si>
  <si>
    <t>24.25.07.118</t>
  </si>
  <si>
    <t>24.25.07.119</t>
  </si>
  <si>
    <t>24.25.07.120</t>
  </si>
  <si>
    <t>24.25.07.121</t>
  </si>
  <si>
    <t>24.25.07.122</t>
  </si>
  <si>
    <t>24.25.07.123</t>
  </si>
  <si>
    <t>24.25.07.124</t>
  </si>
  <si>
    <t>24.25.07.125</t>
  </si>
  <si>
    <t>24.25.07.126</t>
  </si>
  <si>
    <t>24.25.07.127</t>
  </si>
  <si>
    <t>24.25.07.128</t>
  </si>
  <si>
    <t>24.25.07.129</t>
  </si>
  <si>
    <t>24.25.07.130</t>
  </si>
  <si>
    <t>24.25.07.131</t>
  </si>
  <si>
    <t>24.25.07.132</t>
  </si>
  <si>
    <t>24.25.07.133</t>
  </si>
  <si>
    <t>24.25.07.134</t>
  </si>
  <si>
    <t>24.25.07.135</t>
  </si>
  <si>
    <t>24.25.07.136</t>
  </si>
  <si>
    <t>24.25.07.137</t>
  </si>
  <si>
    <t>24.25.07.138</t>
  </si>
  <si>
    <t>24.25.07.140</t>
  </si>
  <si>
    <t>24.25.07.141</t>
  </si>
  <si>
    <t>24.25.07.142</t>
  </si>
  <si>
    <t>24.25.07.144</t>
  </si>
  <si>
    <t>24.25.07.145</t>
  </si>
  <si>
    <t>24.25.07.146</t>
  </si>
  <si>
    <t>24.25.07.147</t>
  </si>
  <si>
    <t>24.25.07.148</t>
  </si>
  <si>
    <t>24.25.07.149</t>
  </si>
  <si>
    <t>24.25.07.150</t>
  </si>
  <si>
    <t>24.25.07.151</t>
  </si>
  <si>
    <t>24.25.07.152</t>
  </si>
  <si>
    <t>24.25.07.153</t>
  </si>
  <si>
    <t>24.25.07.154</t>
  </si>
  <si>
    <t>24.25.07.155</t>
  </si>
  <si>
    <t>24.25.07.156</t>
  </si>
  <si>
    <t>24.25.07.157</t>
  </si>
  <si>
    <t>24.25.07.158</t>
  </si>
  <si>
    <t>24.25.07.159</t>
  </si>
  <si>
    <t>24.25.07.160</t>
  </si>
  <si>
    <t>24.25.07.161</t>
  </si>
  <si>
    <t>24.25.07.162</t>
  </si>
  <si>
    <t>24.25.07.163</t>
  </si>
  <si>
    <t>24.25.07.164</t>
  </si>
  <si>
    <t>24.25.07.165</t>
  </si>
  <si>
    <t>24.25.07.166</t>
  </si>
  <si>
    <t>24.25.07.167</t>
  </si>
  <si>
    <t>24.25.07.168</t>
  </si>
  <si>
    <t>24.25.07.169</t>
  </si>
  <si>
    <t>24.25.07.170</t>
  </si>
  <si>
    <t>24.25.07.171</t>
  </si>
  <si>
    <t>24.25.07.172</t>
  </si>
  <si>
    <t>24.25.07.173</t>
  </si>
  <si>
    <t>24.25.07.174</t>
  </si>
  <si>
    <t>24.25.07.175</t>
  </si>
  <si>
    <t>24.25.07.176</t>
  </si>
  <si>
    <t>24.25.07.177</t>
  </si>
  <si>
    <t>24.25.07.178</t>
  </si>
  <si>
    <t>24.25.07.179</t>
  </si>
  <si>
    <t>24.25.07.180</t>
  </si>
  <si>
    <t>24.25.07.181</t>
  </si>
  <si>
    <t>24.25.07.182</t>
  </si>
  <si>
    <t>24.25.07.183</t>
  </si>
  <si>
    <t>24.25.07.184</t>
  </si>
  <si>
    <t>24.25.07.185</t>
  </si>
  <si>
    <t>24.25.07.186</t>
  </si>
  <si>
    <t>24.25.07.187</t>
  </si>
  <si>
    <t>24.25.07.188</t>
  </si>
  <si>
    <t>24.25.07.189</t>
  </si>
  <si>
    <t>24.25.07.190</t>
  </si>
  <si>
    <t>24.25.07.191</t>
  </si>
  <si>
    <t>24.25.07.192</t>
  </si>
  <si>
    <t>24.25.07.193</t>
  </si>
  <si>
    <t>24.25.07.194</t>
  </si>
  <si>
    <t>24.25.07.195</t>
  </si>
  <si>
    <t>24.25.07.196</t>
  </si>
  <si>
    <t>24.25.07.197</t>
  </si>
  <si>
    <t>24.25.07.198</t>
  </si>
  <si>
    <t>24.25.07.199</t>
  </si>
  <si>
    <t>24.25.07.200</t>
  </si>
  <si>
    <t>24.25.07.201</t>
  </si>
  <si>
    <t>24.25.07.202</t>
  </si>
  <si>
    <t>24.25.07.203</t>
  </si>
  <si>
    <t>24.25.07.204</t>
  </si>
  <si>
    <t>24.25.07.205</t>
  </si>
  <si>
    <t>24.25.07.206</t>
  </si>
  <si>
    <t>24.25.07.207</t>
  </si>
  <si>
    <t>24.25.07.208</t>
  </si>
  <si>
    <t>PATMAH NURZAINAWATI</t>
  </si>
  <si>
    <t>WAWA YUNENGSIH</t>
  </si>
  <si>
    <t>24.25.07.209</t>
  </si>
  <si>
    <t>MUHAMMAD ZIDAN FATUROHMAN</t>
  </si>
  <si>
    <t>23.24.07.203</t>
  </si>
  <si>
    <t>BAEHAQI APRILIAN BAHARUDINSYAH</t>
  </si>
  <si>
    <t>23.24.07.204</t>
  </si>
  <si>
    <t>NAWI AHMAD RIPALDHY</t>
  </si>
  <si>
    <t>22.23.07.216</t>
  </si>
  <si>
    <t>22.23.07.217</t>
  </si>
  <si>
    <t>M.VIKRI PAHRIZI</t>
  </si>
  <si>
    <t>24.25.07.210</t>
  </si>
  <si>
    <t>AGUNG PERMANA SIDIK</t>
  </si>
  <si>
    <t>FAHREZA ALFI HUSAIN</t>
  </si>
  <si>
    <t>ABDALLAH SURYAMAN</t>
  </si>
  <si>
    <t>DENISA SINTIA ROHANI ( keluar )</t>
  </si>
  <si>
    <t>22.23.07.218</t>
  </si>
  <si>
    <t>DZIKRI MUHAMAD RIVALDI</t>
  </si>
  <si>
    <t>24.25.07.211</t>
  </si>
  <si>
    <t>FAHMI HUSAINI</t>
  </si>
  <si>
    <t>23.24.07.206</t>
  </si>
  <si>
    <t>23.24.07.207</t>
  </si>
  <si>
    <t>ARSYAD IBRAHIM</t>
  </si>
  <si>
    <t>23.24.07.208</t>
  </si>
  <si>
    <t>NADA NAFITA RAHMAWATI</t>
  </si>
  <si>
    <t>23.24.07.209</t>
  </si>
  <si>
    <t>MUHAMAD FADIL</t>
  </si>
  <si>
    <t>24.25.07.212</t>
  </si>
  <si>
    <t>ALDY ADITHIA (pindah )</t>
  </si>
  <si>
    <t>ABDU PAJAR ( KELUAR )</t>
  </si>
  <si>
    <t>ABDU PAJAR (Keluar)</t>
  </si>
  <si>
    <t>Rindi Apriani (pindah)</t>
  </si>
  <si>
    <t>RINDI APRIANI (pindah)</t>
  </si>
  <si>
    <t>ABDALLAH ABDUL</t>
  </si>
  <si>
    <t xml:space="preserve">HASNA NURUL HIKMAH </t>
  </si>
  <si>
    <t>23.24.07.210</t>
  </si>
  <si>
    <t>23.24.07.211</t>
  </si>
  <si>
    <t>23.24.07.212</t>
  </si>
  <si>
    <t>TAHUN PELAJARAN 2025/ 2026</t>
  </si>
  <si>
    <t>TAHUN PELAJARAN 2025 / 2026</t>
  </si>
  <si>
    <t>Kelas 9A LULU 2025</t>
  </si>
  <si>
    <t>Kelas 9E LUS 2025</t>
  </si>
  <si>
    <t>Kelas 9D LUS 2025</t>
  </si>
  <si>
    <t>Kelas 9C LUS 2025</t>
  </si>
  <si>
    <t>Kelas 9B LULUS 2025</t>
  </si>
  <si>
    <t>Kelas 9F LULUS 2025</t>
  </si>
  <si>
    <t>Kelas 9D LULUS 2025</t>
  </si>
  <si>
    <t>Kelas 9E LULUS 2025</t>
  </si>
  <si>
    <t>Kelas 9A LULUS 2025</t>
  </si>
  <si>
    <t>YUQI ALIF VITRIANI</t>
  </si>
  <si>
    <t>GIANDRA AL RAFFA</t>
  </si>
  <si>
    <t>23.24.07.213</t>
  </si>
  <si>
    <t>23.24.07.214</t>
  </si>
  <si>
    <t>7A</t>
  </si>
  <si>
    <t>DARUN NAJAH AL-GIPARY</t>
  </si>
  <si>
    <t>DZAHRA OKTAVIANI PUTRI</t>
  </si>
  <si>
    <t>INTAN AYU KHOERUN NISA</t>
  </si>
  <si>
    <t>MUHAMAD RAHARDIAN ASLATSA</t>
  </si>
  <si>
    <t>RYSKA RAMADHANI PUTRI</t>
  </si>
  <si>
    <t>NABILA ALIFA AZZAHRA</t>
  </si>
  <si>
    <t>SITI RANI NURHAYANI</t>
  </si>
  <si>
    <t>MUHAMAD HAPIDS HASAN OKTAVIA</t>
  </si>
  <si>
    <t>AHMAD MAULANA SANTANU</t>
  </si>
  <si>
    <t>RASYA ALFARIZ AMBARI</t>
  </si>
  <si>
    <t>NAIRA AL-AUFA PUTU MUNGGARAN</t>
  </si>
  <si>
    <t>MOHAMMAD ABDUL MAJID</t>
  </si>
  <si>
    <t>SITI NURFAUZI RAHMAWATI</t>
  </si>
  <si>
    <t>MUHAMAD RAKA AL FATAH</t>
  </si>
  <si>
    <t>SITI NAZWA NUR ROPIPAH</t>
  </si>
  <si>
    <t>NADIA RUKMANA</t>
  </si>
  <si>
    <t>MUHAMAD MISBAH WAHIDI</t>
  </si>
  <si>
    <t>SITI NAZWA MAULIDA</t>
  </si>
  <si>
    <t>RAIHANDRA BAYU SAPUTRA</t>
  </si>
  <si>
    <t>NADA ISLAMI FAKHRIYYAH</t>
  </si>
  <si>
    <t xml:space="preserve">NISA ALIANI </t>
  </si>
  <si>
    <t>MUHAMMAD FAHMI NOPAL</t>
  </si>
  <si>
    <t>M RAFA IRWANSYAH</t>
  </si>
  <si>
    <t>MUHAMAD ANDIKA SAPUTRA</t>
  </si>
  <si>
    <t>SRI SARI VADILAH</t>
  </si>
  <si>
    <t>MUHAMAD FIKRI</t>
  </si>
  <si>
    <t>SYIFA DWI ALIANI</t>
  </si>
  <si>
    <t>NIZAMUL YUSUF</t>
  </si>
  <si>
    <t>ANDRE FIRDAUS</t>
  </si>
  <si>
    <t>MUHAMAD IKBAL PERMANA</t>
  </si>
  <si>
    <t>ZAHRA NUR ASIPA</t>
  </si>
  <si>
    <t>YULIA MILANI PUTRI</t>
  </si>
  <si>
    <t>DESTI NUR AJIZAH</t>
  </si>
  <si>
    <t xml:space="preserve">PUTRI NUR HOPIPAH </t>
  </si>
  <si>
    <t>REFAN ALIF HERMAWAN</t>
  </si>
  <si>
    <t>NAZARUL AKBAR</t>
  </si>
  <si>
    <t>FACHRI WIRANATA</t>
  </si>
  <si>
    <t xml:space="preserve">NAJAH NAWAFA DIANSYAH </t>
  </si>
  <si>
    <t>NAZWA SIFAUNNISA</t>
  </si>
  <si>
    <t>7B</t>
  </si>
  <si>
    <t>NAYLA FIRSYA SUHAEDAH</t>
  </si>
  <si>
    <t>INDRI SEPTIANI</t>
  </si>
  <si>
    <t>NEVANA KHALIFATUL SIDQIA</t>
  </si>
  <si>
    <t>NAZWA NAWAFI DIANSYAH</t>
  </si>
  <si>
    <t>SRI RAHAYU NINGSIH</t>
  </si>
  <si>
    <t>NENG KHILDA AJUJIAH AZHARA</t>
  </si>
  <si>
    <t>NADILA AULIA</t>
  </si>
  <si>
    <t>SAHRUL RAMDANI</t>
  </si>
  <si>
    <t>MUHAMMAD HARY AL FATIH</t>
  </si>
  <si>
    <t>ZAHRANI SENJA RABANI</t>
  </si>
  <si>
    <t>KHAIRA NURAFIFAH</t>
  </si>
  <si>
    <t>YUGI KEVIN SURYANA</t>
  </si>
  <si>
    <t>MUHAMMAD REZA ALFIANSYAH</t>
  </si>
  <si>
    <t>ROBI HIDAYAT</t>
  </si>
  <si>
    <t>HAYKAL KRISNA SETIAWAN</t>
  </si>
  <si>
    <t>NENG ALIEPAH</t>
  </si>
  <si>
    <t>NAZZIYA NUR MUTIYARA</t>
  </si>
  <si>
    <t>AILA PUTRI AULIYA</t>
  </si>
  <si>
    <t>NENG WULANDARI</t>
  </si>
  <si>
    <t>ARETHA BALQISSA CHARIERA</t>
  </si>
  <si>
    <t>DAFA RIZKI PRATAMA</t>
  </si>
  <si>
    <t>DAMAR SETIAWAN</t>
  </si>
  <si>
    <t>ELMIRA AZZAHRA</t>
  </si>
  <si>
    <t>HANNIF MUHAMAD YUSUF</t>
  </si>
  <si>
    <t>MUHAMMAD AZZAM ASKARI</t>
  </si>
  <si>
    <t>ALI NURZAMAN</t>
  </si>
  <si>
    <t>REDIANA PUTRA</t>
  </si>
  <si>
    <t>DINA LESTARI</t>
  </si>
  <si>
    <t>DINI LESTARI</t>
  </si>
  <si>
    <t>ADI TIO</t>
  </si>
  <si>
    <t>AHMAD RAIS SAPUTRA</t>
  </si>
  <si>
    <t>ANGGUN KIRANA</t>
  </si>
  <si>
    <t>DILA AZWA NURLATIFAH</t>
  </si>
  <si>
    <t>ALFHA RIZKY DWI HENDRIANSYAH</t>
  </si>
  <si>
    <t>MUHAMMAD KILAB AJMIL</t>
  </si>
  <si>
    <t>RAKA RADITIYA</t>
  </si>
  <si>
    <t>RIKI PERDIYANSAH</t>
  </si>
  <si>
    <t>7C</t>
  </si>
  <si>
    <t>AZKA NABILQIS SUHENDI</t>
  </si>
  <si>
    <t>MUHAMAD KHOIRUL AZAM</t>
  </si>
  <si>
    <t>MUHAMMAD IDHAR MAULANA</t>
  </si>
  <si>
    <t>NAISYA SALSABILA</t>
  </si>
  <si>
    <t>DELVHA ARIZQIA ANANDA</t>
  </si>
  <si>
    <t>HAMZAH ADITYA WIJAYA</t>
  </si>
  <si>
    <t>MUHAMAD DJIAN PRATAMA</t>
  </si>
  <si>
    <t>NUR RAHMA ZAHRANI</t>
  </si>
  <si>
    <t>PUTRI THANIA MARWAH</t>
  </si>
  <si>
    <t>MUHAMAD IHSAN NUDIN</t>
  </si>
  <si>
    <t>ARFAN ARDIANSYAH</t>
  </si>
  <si>
    <t>MARWATUS SANIAH</t>
  </si>
  <si>
    <t>SITI MILLATUL WAFIROH</t>
  </si>
  <si>
    <t>HUSNA NUR AULIA</t>
  </si>
  <si>
    <t>MOCH RENALDI</t>
  </si>
  <si>
    <t>MUHAMAD ARFA ARIAWAN</t>
  </si>
  <si>
    <t>NAFFA FAUZA ANJALIE</t>
  </si>
  <si>
    <t>DZULFA QOWIYATUTTAQWIAH A R</t>
  </si>
  <si>
    <t>RAFA ARIF GINANJAR</t>
  </si>
  <si>
    <t>SHAHIRA YUNIAR</t>
  </si>
  <si>
    <t>MUHAMAD NUGRAHA FIRMANSYAH</t>
  </si>
  <si>
    <t>ALIFAH SULISTIA</t>
  </si>
  <si>
    <t>FARHAN FADILAH</t>
  </si>
  <si>
    <t>IFAT FADLURAHMAN FAIQ</t>
  </si>
  <si>
    <t>NADA NADHIFATUL QURRATU'AIN</t>
  </si>
  <si>
    <t>NANDA SALSABILA</t>
  </si>
  <si>
    <t>ANA ALTHAFFUN AZKIYA</t>
  </si>
  <si>
    <t>DELFINA PRIHANDINI</t>
  </si>
  <si>
    <t>MUHAMMAD EGI FIRMANSYAH</t>
  </si>
  <si>
    <t>NAZWA KHOIRUNNISA ALFIDA</t>
  </si>
  <si>
    <t>M ARFA ARASKA</t>
  </si>
  <si>
    <t>MUHAMMAD ADITYA HARDIANTO</t>
  </si>
  <si>
    <t>SIDIK ALFAIZ</t>
  </si>
  <si>
    <t>MUHAMAD RUSLAN SANJAYA</t>
  </si>
  <si>
    <t>NADILA NURFADYA HUDAYA</t>
  </si>
  <si>
    <t>GEA AMELIA ANSARI</t>
  </si>
  <si>
    <t>SILVIA ANGGRAENI</t>
  </si>
  <si>
    <t>RIKI</t>
  </si>
  <si>
    <t>FIRDA WARDATUL ZANAH</t>
  </si>
  <si>
    <t>7D</t>
  </si>
  <si>
    <t>MUHAMAD YAZID AZKA AL FATIH</t>
  </si>
  <si>
    <t>MUHAMMAD REVIAN</t>
  </si>
  <si>
    <t>RUDI DARMAWAN</t>
  </si>
  <si>
    <t xml:space="preserve">MUHAMAD NIZAM NURUL HIDAYAH </t>
  </si>
  <si>
    <t>M. RIZQI ADITYA</t>
  </si>
  <si>
    <t>FAHMI ALBUKHORI</t>
  </si>
  <si>
    <t>JULIA RAHMAWATI</t>
  </si>
  <si>
    <t>TASYA NURMALA</t>
  </si>
  <si>
    <t>ANGGREKSA CAHAYA NESA</t>
  </si>
  <si>
    <t>MUHAMAD ARIF IKHWANI</t>
  </si>
  <si>
    <t>MUHAMAD ILYAS NAWAWI</t>
  </si>
  <si>
    <t>NENG ESTI ERMAWATI</t>
  </si>
  <si>
    <t>SAKINA ZAVINA PERMANA</t>
  </si>
  <si>
    <t>MUHAMAD RIFAN SUHENDI</t>
  </si>
  <si>
    <t>ABDUL AZIZ</t>
  </si>
  <si>
    <t>SINTIA RAHMA DAMAYANTI</t>
  </si>
  <si>
    <t>MUHAMAD FAISAL RABIUL NAWAWI</t>
  </si>
  <si>
    <t>MUHAMMAD FAIQ FAJRI HARIRI</t>
  </si>
  <si>
    <t>SITI NAIRA AZZAHRA</t>
  </si>
  <si>
    <t>AZAHRA MARWAH AULIA</t>
  </si>
  <si>
    <t>SITI AMIRA NURROHMAN</t>
  </si>
  <si>
    <t>REIKIANA SYAHILA PUTRI</t>
  </si>
  <si>
    <t>SILFIA NUR MAHMUDAH</t>
  </si>
  <si>
    <t>NADIA NUR AZIZAH</t>
  </si>
  <si>
    <t>RENDY DESTA PRAMUSTIKA</t>
  </si>
  <si>
    <t>MUHAMMAD AZIJEN</t>
  </si>
  <si>
    <t>HUMAIRA SUPIANA</t>
  </si>
  <si>
    <t>ALGIA RAHMA AGUSTIANI</t>
  </si>
  <si>
    <t>MUPID ALIFA NURDIANSYAH</t>
  </si>
  <si>
    <t>NATASYA NURAINUN KAROMAH</t>
  </si>
  <si>
    <t>AGNI AULYA RAMADANI</t>
  </si>
  <si>
    <t>NAZWA NUR ANGGRAENY</t>
  </si>
  <si>
    <t>YUMNA YUSRIYYAH</t>
  </si>
  <si>
    <t>KIRANA SYAFANA KAIRA</t>
  </si>
  <si>
    <t>SALSA APRILIA</t>
  </si>
  <si>
    <t>MUHASIM ABDUL MAJID</t>
  </si>
  <si>
    <t>ABDILLAH NURHAKIM</t>
  </si>
  <si>
    <t xml:space="preserve">MUHAMAD FAZRI FAUZIAN </t>
  </si>
  <si>
    <t>REYHAN VIENDRA ALAZKAN</t>
  </si>
  <si>
    <t>BUMI BALANGGA DEEPANKER</t>
  </si>
  <si>
    <t xml:space="preserve">RIKA MAULIDA </t>
  </si>
  <si>
    <t>RAFFA MUHAMAD RHOFIK</t>
  </si>
  <si>
    <t>HAZZA RAKA PRATAMA</t>
  </si>
  <si>
    <t xml:space="preserve">DANI PRMANA </t>
  </si>
  <si>
    <t xml:space="preserve">DZAKI FADILLAH </t>
  </si>
  <si>
    <t>MUHAMMAD NIZAM</t>
  </si>
  <si>
    <t>MUHAMMAD RADHIKA KEYINDRA</t>
  </si>
  <si>
    <t>MUHAMAD SAHDAN</t>
  </si>
  <si>
    <t>MUHAMMAD TAJRI YAMA</t>
  </si>
  <si>
    <t>SALWA NUR HASNA LUBANA</t>
  </si>
  <si>
    <t>SITI AULIA ALFINJANI</t>
  </si>
  <si>
    <t>MUHAMAD HAYIRIL ANWAR</t>
  </si>
  <si>
    <t>MUHAMMAD GUNAWAN PRATAMA</t>
  </si>
  <si>
    <t>MUHAMMAD NAZAR AIMRON</t>
  </si>
  <si>
    <t>M.ALDO RIZKY FEBRIANSYAH</t>
  </si>
  <si>
    <t>AKQILA LISTIANA NURUL HASANAH</t>
  </si>
  <si>
    <t>FIKA HIDAYANTI</t>
  </si>
  <si>
    <t>ABDUL MUSTOPA</t>
  </si>
  <si>
    <t>DINDA MARYA ULFA</t>
  </si>
  <si>
    <t>SITI PATIMAH</t>
  </si>
  <si>
    <t>ZAHRA DEREYSA</t>
  </si>
  <si>
    <t xml:space="preserve">KHAERUR NIZAM </t>
  </si>
  <si>
    <t>MUHAMAD NIZAR MAULANA</t>
  </si>
  <si>
    <t>DINDA NURAH PUTRI PERMADI</t>
  </si>
  <si>
    <t>JIHAN KHUMAIRA RAIHAN</t>
  </si>
  <si>
    <t>SALSAYIDA</t>
  </si>
  <si>
    <t>NADIA NURUL HIKMAH</t>
  </si>
  <si>
    <t>MUHAMAD ARSYAD</t>
  </si>
  <si>
    <t xml:space="preserve">M FARDAN ARDIANSYAH </t>
  </si>
  <si>
    <t>SITI NURUL HAQIQI</t>
  </si>
  <si>
    <t>RIZKA AULIA</t>
  </si>
  <si>
    <t>RITA ROSITA</t>
  </si>
  <si>
    <t>FRIZA KHOIRUN NIZZA</t>
  </si>
  <si>
    <t>SYIRA SHAKIRA SUDRAJAT</t>
  </si>
  <si>
    <t>ALMERA SALSABILA</t>
  </si>
  <si>
    <t>KANZA HASNA ALVIALITA</t>
  </si>
  <si>
    <t>NAZWA ALFAHIRA</t>
  </si>
  <si>
    <t>FAIHA NAZAH SYAMILA</t>
  </si>
  <si>
    <t>MUHAMMAD IZAN NURJAMAN</t>
  </si>
  <si>
    <t>MUHAMMAD REZA SAPUTRA</t>
  </si>
  <si>
    <t>SENDI HAMDAN SETIAWAN</t>
  </si>
  <si>
    <t>7E</t>
  </si>
  <si>
    <t>7F</t>
  </si>
  <si>
    <t>DANTI FAIDATU ZAHRA</t>
  </si>
  <si>
    <t>RASIYYA PRATAMA NATULLOH</t>
  </si>
  <si>
    <t>ZIDAN NABAWI</t>
  </si>
  <si>
    <t>AZHAR RAIS FIRMANSYAH</t>
  </si>
  <si>
    <t>ZAHRA AULIA NURPADILA</t>
  </si>
  <si>
    <t>AIRA FAUZIAH</t>
  </si>
  <si>
    <t>RATNA ANJANI HERAWATI</t>
  </si>
  <si>
    <t>JENNY KURNIA PUSPITA</t>
  </si>
  <si>
    <t xml:space="preserve">ALFI RIZKIANSYAH </t>
  </si>
  <si>
    <t>MAURA BILQIS UGHRAHA</t>
  </si>
  <si>
    <t>RESTI FITRIA</t>
  </si>
  <si>
    <t>ZEENA HARA MEILANI PUTRI</t>
  </si>
  <si>
    <t>MUHAMMAD RAIHAN SAPUTRA</t>
  </si>
  <si>
    <t>RHIDWAN FAUZAN</t>
  </si>
  <si>
    <t>FAISHAL KHAIRY NIZAAM</t>
  </si>
  <si>
    <t>FABIAN ARKAN AL-ZIKRI HADY</t>
  </si>
  <si>
    <t>MUHAMMAD IRWAN SANUSI</t>
  </si>
  <si>
    <t>DARMA SURYA PRATAMA</t>
  </si>
  <si>
    <t>SOFY MAULIDA</t>
  </si>
  <si>
    <t>ADRIANSYAH RAMADANI</t>
  </si>
  <si>
    <t>MOCHAMAD FERDIANSYAH SUBAGJA</t>
  </si>
  <si>
    <t>NUR AFNI</t>
  </si>
  <si>
    <t>RAISHA KOMALASARI</t>
  </si>
  <si>
    <t>ZAHRA AMELIYA KASIH</t>
  </si>
  <si>
    <t>NASYA NAILA OKTAVIA</t>
  </si>
  <si>
    <t>INDRI NEYSHIERA</t>
  </si>
  <si>
    <t>ALWI ASEGAFH</t>
  </si>
  <si>
    <t>DINDA PUTRI PEBRIANTI</t>
  </si>
  <si>
    <t>NURI SRI LESTARI</t>
  </si>
  <si>
    <t>RIKA AULIA FUTRI</t>
  </si>
  <si>
    <t>BILQIS ARFA NIZMA</t>
  </si>
  <si>
    <t>CAHYA JAMAL HAMADI</t>
  </si>
  <si>
    <t>RESTA ARYA PUTRA</t>
  </si>
  <si>
    <t>M.AZRIL HERDIANSYAH</t>
  </si>
  <si>
    <t>FARIQ AIDIL DANIANSYAH</t>
  </si>
  <si>
    <t>MUHAMMAD HASBY ANUGRAH RAMADHAN</t>
  </si>
  <si>
    <t>M ARIF MIMAR FADILAH</t>
  </si>
  <si>
    <t>MUHAMAD REZA</t>
  </si>
  <si>
    <t>MUHAMMAD FAHAD AL KHAISI</t>
  </si>
  <si>
    <t>MUHAMAD MUJIB TEGUH AKBAR</t>
  </si>
  <si>
    <t>AULIA IZZATUNISA NAZMUDDIN</t>
  </si>
  <si>
    <t>ANDARA MAULIDA RAHAYU</t>
  </si>
  <si>
    <t>MOH.RIDHO SAFARA</t>
  </si>
  <si>
    <t>MUHAMAD FARHAN FEBRIYAN</t>
  </si>
  <si>
    <t>IFAN SOPIANSYAH SAPUTRA</t>
  </si>
  <si>
    <t>KIRANI DESTRIA ANGGRAENI</t>
  </si>
  <si>
    <t>24.25.07.214</t>
  </si>
  <si>
    <t>24.25.07.213</t>
  </si>
  <si>
    <t>MUHAMAD KHOERUL AZKA</t>
  </si>
  <si>
    <t>GINA AZKYA MAULIDA ( PINDAH )</t>
  </si>
  <si>
    <t>GINA AZKYA MAULIDA (KELUAR )</t>
  </si>
  <si>
    <t>JABAR ILIYAS (Keluar )</t>
  </si>
  <si>
    <t>25.26.07.001</t>
  </si>
  <si>
    <t>25.26.07.002</t>
  </si>
  <si>
    <t>25.26.07.003</t>
  </si>
  <si>
    <t>25.26.07.004</t>
  </si>
  <si>
    <t>25.26.07.005</t>
  </si>
  <si>
    <t>25.26.07.006</t>
  </si>
  <si>
    <t>25.26.07.007</t>
  </si>
  <si>
    <t>25.26.07.008</t>
  </si>
  <si>
    <t>25.26.07.009</t>
  </si>
  <si>
    <t>25.26.07.010</t>
  </si>
  <si>
    <t>25.26.07.011</t>
  </si>
  <si>
    <t>25.26.07.012</t>
  </si>
  <si>
    <t>25.26.07.013</t>
  </si>
  <si>
    <t>25.26.07.014</t>
  </si>
  <si>
    <t>25.26.07.015</t>
  </si>
  <si>
    <t>25.26.07.016</t>
  </si>
  <si>
    <t>25.26.07.017</t>
  </si>
  <si>
    <t>25.26.07.018</t>
  </si>
  <si>
    <t>25.26.07.019</t>
  </si>
  <si>
    <t>25.26.07.020</t>
  </si>
  <si>
    <t>25.26.07.021</t>
  </si>
  <si>
    <t>25.26.07.022</t>
  </si>
  <si>
    <t>25.26.07.023</t>
  </si>
  <si>
    <t>25.26.07.024</t>
  </si>
  <si>
    <t>25.26.07.025</t>
  </si>
  <si>
    <t>25.26.07.026</t>
  </si>
  <si>
    <t>25.26.07.027</t>
  </si>
  <si>
    <t>25.26.07.028</t>
  </si>
  <si>
    <t>25.26.07.029</t>
  </si>
  <si>
    <t>25.26.07.030</t>
  </si>
  <si>
    <t>25.26.07.031</t>
  </si>
  <si>
    <t>25.26.07.032</t>
  </si>
  <si>
    <t>25.26.07.033</t>
  </si>
  <si>
    <t>25.26.07.034</t>
  </si>
  <si>
    <t>25.26.07.035</t>
  </si>
  <si>
    <t>25.26.07.036</t>
  </si>
  <si>
    <t>25.26.07.037</t>
  </si>
  <si>
    <t>25.26.07.038</t>
  </si>
  <si>
    <t>25.26.07.039</t>
  </si>
  <si>
    <t>25.26.07.040</t>
  </si>
  <si>
    <t>25.26.07.041</t>
  </si>
  <si>
    <t>25.26.07.042</t>
  </si>
  <si>
    <t>25.26.07.043</t>
  </si>
  <si>
    <t>25.26.07.044</t>
  </si>
  <si>
    <t>25.26.07.045</t>
  </si>
  <si>
    <t>25.26.07.046</t>
  </si>
  <si>
    <t>25.26.07.047</t>
  </si>
  <si>
    <t>25.26.07.048</t>
  </si>
  <si>
    <t>25.26.07.049</t>
  </si>
  <si>
    <t>25.26.07.050</t>
  </si>
  <si>
    <t>25.26.07.051</t>
  </si>
  <si>
    <t>25.26.07.052</t>
  </si>
  <si>
    <t>25.26.07.053</t>
  </si>
  <si>
    <t>25.26.07.054</t>
  </si>
  <si>
    <t>25.26.07.055</t>
  </si>
  <si>
    <t>25.26.07.056</t>
  </si>
  <si>
    <t>25.26.07.057</t>
  </si>
  <si>
    <t>25.26.07.058</t>
  </si>
  <si>
    <t>25.26.07.059</t>
  </si>
  <si>
    <t>25.26.07.060</t>
  </si>
  <si>
    <t>25.26.07.061</t>
  </si>
  <si>
    <t>25.26.07.062</t>
  </si>
  <si>
    <t>25.26.07.063</t>
  </si>
  <si>
    <t>25.26.07.064</t>
  </si>
  <si>
    <t>25.26.07.065</t>
  </si>
  <si>
    <t>25.26.07.066</t>
  </si>
  <si>
    <t>25.26.07.067</t>
  </si>
  <si>
    <t>25.26.07.068</t>
  </si>
  <si>
    <t>25.26.07.069</t>
  </si>
  <si>
    <t>25.26.07.070</t>
  </si>
  <si>
    <t>25.26.07.071</t>
  </si>
  <si>
    <t>25.26.07.072</t>
  </si>
  <si>
    <t>25.26.07.073</t>
  </si>
  <si>
    <t>25.26.07.074</t>
  </si>
  <si>
    <t>25.26.07.075</t>
  </si>
  <si>
    <t>25.26.07.076</t>
  </si>
  <si>
    <t>25.26.07.077</t>
  </si>
  <si>
    <t>25.26.07.078</t>
  </si>
  <si>
    <t>25.26.07.079</t>
  </si>
  <si>
    <t>25.26.07.080</t>
  </si>
  <si>
    <t>25.26.07.081</t>
  </si>
  <si>
    <t>25.26.07.082</t>
  </si>
  <si>
    <t>25.26.07.083</t>
  </si>
  <si>
    <t>25.26.07.084</t>
  </si>
  <si>
    <t>25.26.07.085</t>
  </si>
  <si>
    <t>25.26.07.086</t>
  </si>
  <si>
    <t>25.26.07.087</t>
  </si>
  <si>
    <t>25.26.07.088</t>
  </si>
  <si>
    <t>25.26.07.089</t>
  </si>
  <si>
    <t>25.26.07.090</t>
  </si>
  <si>
    <t>25.26.07.091</t>
  </si>
  <si>
    <t>25.26.07.092</t>
  </si>
  <si>
    <t>25.26.07.093</t>
  </si>
  <si>
    <t>25.26.07.094</t>
  </si>
  <si>
    <t>25.26.07.095</t>
  </si>
  <si>
    <t>25.26.07.096</t>
  </si>
  <si>
    <t>25.26.07.097</t>
  </si>
  <si>
    <t>25.26.07.098</t>
  </si>
  <si>
    <t>25.26.07.099</t>
  </si>
  <si>
    <t>25.26.07.100</t>
  </si>
  <si>
    <t>25.26.07.101</t>
  </si>
  <si>
    <t>25.26.07.102</t>
  </si>
  <si>
    <t>25.26.07.103</t>
  </si>
  <si>
    <t>25.26.07.104</t>
  </si>
  <si>
    <t>25.26.07.105</t>
  </si>
  <si>
    <t>25.26.07.106</t>
  </si>
  <si>
    <t>25.26.07.107</t>
  </si>
  <si>
    <t>25.26.07.108</t>
  </si>
  <si>
    <t>25.26.07.109</t>
  </si>
  <si>
    <t>25.26.07.110</t>
  </si>
  <si>
    <t>25.26.07.111</t>
  </si>
  <si>
    <t>25.26.07.112</t>
  </si>
  <si>
    <t>25.26.07.113</t>
  </si>
  <si>
    <t>25.26.07.114</t>
  </si>
  <si>
    <t>25.26.07.115</t>
  </si>
  <si>
    <t>25.26.07.116</t>
  </si>
  <si>
    <t>25.26.07.117</t>
  </si>
  <si>
    <t>25.26.07.118</t>
  </si>
  <si>
    <t>25.26.07.119</t>
  </si>
  <si>
    <t>25.26.07.120</t>
  </si>
  <si>
    <t>25.26.07.121</t>
  </si>
  <si>
    <t>25.26.07.122</t>
  </si>
  <si>
    <t>25.26.07.123</t>
  </si>
  <si>
    <t>25.26.07.124</t>
  </si>
  <si>
    <t>25.26.07.125</t>
  </si>
  <si>
    <t>25.26.07.126</t>
  </si>
  <si>
    <t>25.26.07.127</t>
  </si>
  <si>
    <t>25.26.07.128</t>
  </si>
  <si>
    <t>25.26.07.129</t>
  </si>
  <si>
    <t>25.26.07.130</t>
  </si>
  <si>
    <t>25.26.07.131</t>
  </si>
  <si>
    <t>25.26.07.132</t>
  </si>
  <si>
    <t>25.26.07.133</t>
  </si>
  <si>
    <t>25.26.07.134</t>
  </si>
  <si>
    <t>25.26.07.135</t>
  </si>
  <si>
    <t>25.26.07.136</t>
  </si>
  <si>
    <t>25.26.07.137</t>
  </si>
  <si>
    <t>25.26.07.138</t>
  </si>
  <si>
    <t>25.26.07.139</t>
  </si>
  <si>
    <t>25.26.07.140</t>
  </si>
  <si>
    <t>25.26.07.141</t>
  </si>
  <si>
    <t>25.26.07.142</t>
  </si>
  <si>
    <t>25.26.07.143</t>
  </si>
  <si>
    <t>25.26.07.144</t>
  </si>
  <si>
    <t>25.26.07.145</t>
  </si>
  <si>
    <t>25.26.07.146</t>
  </si>
  <si>
    <t>25.26.07.147</t>
  </si>
  <si>
    <t>25.26.07.148</t>
  </si>
  <si>
    <t>25.26.07.149</t>
  </si>
  <si>
    <t>25.26.07.150</t>
  </si>
  <si>
    <t>25.26.07.151</t>
  </si>
  <si>
    <t>25.26.07.152</t>
  </si>
  <si>
    <t>25.26.07.153</t>
  </si>
  <si>
    <t>25.26.07.154</t>
  </si>
  <si>
    <t>25.26.07.155</t>
  </si>
  <si>
    <t>25.26.07.156</t>
  </si>
  <si>
    <t>25.26.07.157</t>
  </si>
  <si>
    <t>25.26.07.158</t>
  </si>
  <si>
    <t>25.26.07.159</t>
  </si>
  <si>
    <t>25.26.07.160</t>
  </si>
  <si>
    <t>25.26.07.161</t>
  </si>
  <si>
    <t>25.26.07.162</t>
  </si>
  <si>
    <t>25.26.07.163</t>
  </si>
  <si>
    <t>25.26.07.164</t>
  </si>
  <si>
    <t>25.26.07.165</t>
  </si>
  <si>
    <t>25.26.07.166</t>
  </si>
  <si>
    <t>25.26.07.167</t>
  </si>
  <si>
    <t>25.26.07.168</t>
  </si>
  <si>
    <t>25.26.07.169</t>
  </si>
  <si>
    <t>25.26.07.170</t>
  </si>
  <si>
    <t>25.26.07.171</t>
  </si>
  <si>
    <t>25.26.07.172</t>
  </si>
  <si>
    <t>25.26.07.173</t>
  </si>
  <si>
    <t>25.26.07.174</t>
  </si>
  <si>
    <t>25.26.07.175</t>
  </si>
  <si>
    <t>25.26.07.176</t>
  </si>
  <si>
    <t>25.26.07.177</t>
  </si>
  <si>
    <t>25.26.07.178</t>
  </si>
  <si>
    <t>25.26.07.179</t>
  </si>
  <si>
    <t>25.26.07.180</t>
  </si>
  <si>
    <t>25.26.07.181</t>
  </si>
  <si>
    <t>25.26.07.182</t>
  </si>
  <si>
    <t>25.26.07.183</t>
  </si>
  <si>
    <t>25.26.07.184</t>
  </si>
  <si>
    <t>25.26.07.185</t>
  </si>
  <si>
    <t>25.26.07.186</t>
  </si>
  <si>
    <t>25.26.07.187</t>
  </si>
  <si>
    <t>25.26.07.188</t>
  </si>
  <si>
    <t>25.26.07.189</t>
  </si>
  <si>
    <t>25.26.07.190</t>
  </si>
  <si>
    <t>25.26.07.191</t>
  </si>
  <si>
    <t>25.26.07.192</t>
  </si>
  <si>
    <t>25.26.07.193</t>
  </si>
  <si>
    <t>25.26.07.194</t>
  </si>
  <si>
    <t>25.26.07.195</t>
  </si>
  <si>
    <t>25.26.07.196</t>
  </si>
  <si>
    <t>25.26.07.197</t>
  </si>
  <si>
    <t>25.26.07.198</t>
  </si>
  <si>
    <t>25.26.07.199</t>
  </si>
  <si>
    <t>25.26.07.200</t>
  </si>
  <si>
    <t>25.26.07.201</t>
  </si>
  <si>
    <t>25.26.07.202</t>
  </si>
  <si>
    <t>25.26.07.203</t>
  </si>
  <si>
    <t>25.26.07.204</t>
  </si>
  <si>
    <t>25.26.07.205</t>
  </si>
  <si>
    <t>25.26.07.206</t>
  </si>
  <si>
    <t>25.26.07.207</t>
  </si>
  <si>
    <t>25.26.07.208</t>
  </si>
  <si>
    <t>25.26.07.209</t>
  </si>
  <si>
    <t>25.26.07.210</t>
  </si>
  <si>
    <t>25.26.07.211</t>
  </si>
  <si>
    <t>25.26.07.212</t>
  </si>
  <si>
    <t>25.26.07.213</t>
  </si>
  <si>
    <t>25.26.07.214</t>
  </si>
  <si>
    <t>25.26.07.215</t>
  </si>
  <si>
    <t>25.26.07.216</t>
  </si>
  <si>
    <t>25.26.07.217</t>
  </si>
  <si>
    <t>25.26.07.218</t>
  </si>
  <si>
    <t>25.26.07.219</t>
  </si>
  <si>
    <t>25.26.07.220</t>
  </si>
  <si>
    <t>25.26.07.221</t>
  </si>
  <si>
    <t>25.26.07.222</t>
  </si>
  <si>
    <t>25.26.07.223</t>
  </si>
  <si>
    <t>25.26.07.224</t>
  </si>
  <si>
    <t>25.26.07.225</t>
  </si>
  <si>
    <t>25.26.07.226</t>
  </si>
  <si>
    <t>25.26.07.227</t>
  </si>
  <si>
    <t>25.26.07.228</t>
  </si>
  <si>
    <t>25.26.07.229</t>
  </si>
  <si>
    <t>25.26.07.230</t>
  </si>
  <si>
    <t>25.26.07.231</t>
  </si>
  <si>
    <t>25.26.07.232</t>
  </si>
  <si>
    <t>25.26.07.233</t>
  </si>
  <si>
    <t>25.26.07.234</t>
  </si>
  <si>
    <t>25.26.07.235</t>
  </si>
  <si>
    <t>25.26.07.236</t>
  </si>
  <si>
    <t>25.26.07.237</t>
  </si>
  <si>
    <t>25.26.07.238</t>
  </si>
  <si>
    <t>25.26.07.239</t>
  </si>
  <si>
    <t>25.26.07.240</t>
  </si>
  <si>
    <t>25.26.07.241</t>
  </si>
  <si>
    <t>25.26.07.242</t>
  </si>
  <si>
    <t>25.26.07.243</t>
  </si>
  <si>
    <t>25.26.07.244</t>
  </si>
  <si>
    <t>25.26.07.245</t>
  </si>
  <si>
    <t>AULIA KHAZANAH</t>
  </si>
  <si>
    <t>01/12/2012</t>
  </si>
  <si>
    <t>3217111904210001</t>
  </si>
  <si>
    <t>3217110112120003</t>
  </si>
  <si>
    <t>3217-LU-15012013-0074</t>
  </si>
  <si>
    <t>07</t>
  </si>
  <si>
    <t>3217110509800010</t>
  </si>
  <si>
    <t>YENI BUNYENI</t>
  </si>
  <si>
    <t>3217115308810005</t>
  </si>
  <si>
    <t>BANDUNG,13/08/1981</t>
  </si>
  <si>
    <t>MI BONGAS</t>
  </si>
  <si>
    <t>082115336406</t>
  </si>
  <si>
    <t>3217122408210029</t>
  </si>
  <si>
    <t>3217104404130004</t>
  </si>
  <si>
    <t>3217-LU-28052013-0234</t>
  </si>
  <si>
    <t>02</t>
  </si>
  <si>
    <t>3217100707820029</t>
  </si>
  <si>
    <t>BANDUNG,09/07/1982</t>
  </si>
  <si>
    <t>NENG ELI</t>
  </si>
  <si>
    <t>3217104803940012</t>
  </si>
  <si>
    <t>GARUT,08/03/1994</t>
  </si>
  <si>
    <t>083822427414</t>
  </si>
  <si>
    <t>3125325054</t>
  </si>
  <si>
    <t>3217121801170009</t>
  </si>
  <si>
    <t>3217126905120006</t>
  </si>
  <si>
    <t>3217-LT-08012013-0004</t>
  </si>
  <si>
    <t>06</t>
  </si>
  <si>
    <t>ASEP RAHMATULLOH</t>
  </si>
  <si>
    <t>ERNA</t>
  </si>
  <si>
    <t>3217125606880015</t>
  </si>
  <si>
    <t>BANDUNG,16/06/1988</t>
  </si>
  <si>
    <t>083821805732/083175418378</t>
  </si>
  <si>
    <t>3128485770</t>
  </si>
  <si>
    <t>3217121906070027</t>
  </si>
  <si>
    <t>3217123012110005</t>
  </si>
  <si>
    <t>3217-LT-08012013-0032</t>
  </si>
  <si>
    <t>IYUS SUPARHAN</t>
  </si>
  <si>
    <t>3217121212800050</t>
  </si>
  <si>
    <t>BANDUNG,07/12/1981</t>
  </si>
  <si>
    <t>IMAS MASKANAH</t>
  </si>
  <si>
    <t>'3217126008840006</t>
  </si>
  <si>
    <t>BANDUNG,20/08/1984</t>
  </si>
  <si>
    <t>083854060048</t>
  </si>
  <si>
    <t>3217120308170003</t>
  </si>
  <si>
    <t>3217111809120003</t>
  </si>
  <si>
    <t>3217-LT-23012013-0011</t>
  </si>
  <si>
    <t>CIBAREUM</t>
  </si>
  <si>
    <t>DINI HASRUDINSYAH</t>
  </si>
  <si>
    <t>3217110304870016</t>
  </si>
  <si>
    <t>BANDUNG,03/04/1987</t>
  </si>
  <si>
    <t>ALIA SITI ROHBAYANI</t>
  </si>
  <si>
    <t>3205154207930001</t>
  </si>
  <si>
    <t>GARUT,02/07/1993</t>
  </si>
  <si>
    <t>088801870219</t>
  </si>
  <si>
    <t xml:space="preserve">BANDUNG </t>
  </si>
  <si>
    <t>3217122905120006</t>
  </si>
  <si>
    <t>3217126708120002</t>
  </si>
  <si>
    <t>3217-LT-22022017-0103</t>
  </si>
  <si>
    <t>ARIP HIDAYAT</t>
  </si>
  <si>
    <t>3217123003750001</t>
  </si>
  <si>
    <t>BANDUNG,30/03/1975</t>
  </si>
  <si>
    <t>3217126605820004</t>
  </si>
  <si>
    <t>BANDUNG,26/05/1982</t>
  </si>
  <si>
    <t>083817741030</t>
  </si>
  <si>
    <t>3125370811</t>
  </si>
  <si>
    <t>3217121704050713</t>
  </si>
  <si>
    <t>3217125002120001</t>
  </si>
  <si>
    <t>3217-LT-12102021-0148</t>
  </si>
  <si>
    <t>IWAN TISNA  WIRAWAN</t>
  </si>
  <si>
    <t>3217121104680017</t>
  </si>
  <si>
    <t>BANDUNG,11/04/1968</t>
  </si>
  <si>
    <t>ANING ROHAENI</t>
  </si>
  <si>
    <t>3217125011770018</t>
  </si>
  <si>
    <t>BANDUNG,10/11/1977</t>
  </si>
  <si>
    <t>085773671168</t>
  </si>
  <si>
    <t>3139290522</t>
  </si>
  <si>
    <t>3217121509170005</t>
  </si>
  <si>
    <t>3217115310120002</t>
  </si>
  <si>
    <t>3217-LU-23102012-0060</t>
  </si>
  <si>
    <t>05</t>
  </si>
  <si>
    <t>TATANG ARIPIN</t>
  </si>
  <si>
    <t>3217112108840004</t>
  </si>
  <si>
    <t>BANDUNG,06/08/1984</t>
  </si>
  <si>
    <t>3217114505820062</t>
  </si>
  <si>
    <t>BANDUNG,05/05/1982</t>
  </si>
  <si>
    <t>083877712929</t>
  </si>
  <si>
    <t>0131792151</t>
  </si>
  <si>
    <t>3204463105130003</t>
  </si>
  <si>
    <t>3217125211120004</t>
  </si>
  <si>
    <t>3217-LU-14012013-0001</t>
  </si>
  <si>
    <t>04</t>
  </si>
  <si>
    <t>AHMAD ZAKARIA</t>
  </si>
  <si>
    <t>3204461008800002</t>
  </si>
  <si>
    <t>BANDUNG,10/08/1980</t>
  </si>
  <si>
    <t>ELIS SETIAWATI</t>
  </si>
  <si>
    <t>3217124112850015</t>
  </si>
  <si>
    <t>BANDUNG,01/06/1985</t>
  </si>
  <si>
    <t>0883119111306</t>
  </si>
  <si>
    <t>3136169004</t>
  </si>
  <si>
    <t>3217122305120017</t>
  </si>
  <si>
    <t>3217124207130001</t>
  </si>
  <si>
    <t>3217-LU-24072013-0209</t>
  </si>
  <si>
    <t>BERLIN</t>
  </si>
  <si>
    <t>3217121012830017</t>
  </si>
  <si>
    <t>BANDUNG,10/12/1983</t>
  </si>
  <si>
    <t>NINING SUHAEDAH</t>
  </si>
  <si>
    <t>3217125204880017</t>
  </si>
  <si>
    <t>BANDUNG,12/04/1988</t>
  </si>
  <si>
    <t>083109815906</t>
  </si>
  <si>
    <t>0126954345</t>
  </si>
  <si>
    <t>3217121402120016</t>
  </si>
  <si>
    <t>3217120210120003</t>
  </si>
  <si>
    <t>3217-LT-14112013-0091</t>
  </si>
  <si>
    <t>ADE HARIS</t>
  </si>
  <si>
    <t>3217121008850033</t>
  </si>
  <si>
    <t>BANDUNG,10/08/1985</t>
  </si>
  <si>
    <t>SRI SULASTRI RAHAYU</t>
  </si>
  <si>
    <t>3217125206910013</t>
  </si>
  <si>
    <t>BANDUNG,12/06/1991</t>
  </si>
  <si>
    <t>085723503520</t>
  </si>
  <si>
    <t>0122834098</t>
  </si>
  <si>
    <t>3217111706090001</t>
  </si>
  <si>
    <t>3217116107120004</t>
  </si>
  <si>
    <t>3217-LT-18122017-0484</t>
  </si>
  <si>
    <t>ACHMAD SUSANTO</t>
  </si>
  <si>
    <t>3217110306840027</t>
  </si>
  <si>
    <t>BANDUNG,03/06/1984</t>
  </si>
  <si>
    <t>3217115011900018</t>
  </si>
  <si>
    <t>BANDUNG,10/11/1990</t>
  </si>
  <si>
    <t>083867467453</t>
  </si>
  <si>
    <t>3217123011160001</t>
  </si>
  <si>
    <t>3217146210120001</t>
  </si>
  <si>
    <t>3217-LU-09112012-0084</t>
  </si>
  <si>
    <t>DODI NURSAMBAS</t>
  </si>
  <si>
    <t>3217142211860008</t>
  </si>
  <si>
    <t>BANDUNG,22/11/1986</t>
  </si>
  <si>
    <t>SAADAH NURHASANAH</t>
  </si>
  <si>
    <t>3217145501880007</t>
  </si>
  <si>
    <t>BANDUNG,15/01/1988</t>
  </si>
  <si>
    <t>AKADEMI/DIPLOMA III</t>
  </si>
  <si>
    <t>081220544927</t>
  </si>
  <si>
    <t>0132319599</t>
  </si>
  <si>
    <t>3217122009190005</t>
  </si>
  <si>
    <t>3217127001130001</t>
  </si>
  <si>
    <t>3217-LT-26052017-0162</t>
  </si>
  <si>
    <t>HANDRI JAELANI</t>
  </si>
  <si>
    <t>3217124708910032</t>
  </si>
  <si>
    <t>BANDUNG,07/08/1991</t>
  </si>
  <si>
    <t>081573037240</t>
  </si>
  <si>
    <t>3131472026</t>
  </si>
  <si>
    <t>3217120506120007</t>
  </si>
  <si>
    <t>3217125501130001</t>
  </si>
  <si>
    <t>3217-LU-31012013-0462</t>
  </si>
  <si>
    <t>10764</t>
  </si>
  <si>
    <t>3217122710880012</t>
  </si>
  <si>
    <t>BANDUNG,27/10/1988</t>
  </si>
  <si>
    <t>RINA KARLINA</t>
  </si>
  <si>
    <t>3217124108940015</t>
  </si>
  <si>
    <t>BANDUNG,01/08/1994</t>
  </si>
  <si>
    <t>SDN 2 CIC HILIR</t>
  </si>
  <si>
    <t>083149668215</t>
  </si>
  <si>
    <t>3217150906220011</t>
  </si>
  <si>
    <t>3217156306130001</t>
  </si>
  <si>
    <t>3217-LU-15082013-0221</t>
  </si>
  <si>
    <t>BOJONG KONENG</t>
  </si>
  <si>
    <t>GUNUNGHALU</t>
  </si>
  <si>
    <t>MUKADAS</t>
  </si>
  <si>
    <t>3217150409820008</t>
  </si>
  <si>
    <t>AI SUMYATI</t>
  </si>
  <si>
    <t>3217155203910010</t>
  </si>
  <si>
    <t>MI SODONG</t>
  </si>
  <si>
    <t>3217120711080006</t>
  </si>
  <si>
    <t>3217126704120002</t>
  </si>
  <si>
    <t>3217-LU-20072012-0018</t>
  </si>
  <si>
    <t>AGUS SUHENDI</t>
  </si>
  <si>
    <t>3217121304850015</t>
  </si>
  <si>
    <t>LISTA LISTIANI</t>
  </si>
  <si>
    <t>3217124303920016</t>
  </si>
  <si>
    <t>0121104505</t>
  </si>
  <si>
    <t>3217111503120016</t>
  </si>
  <si>
    <t>3217111805120004</t>
  </si>
  <si>
    <t>3217-LT-10042025-0003</t>
  </si>
  <si>
    <t>FITRA OKTAVIANA</t>
  </si>
  <si>
    <t>32171110860017</t>
  </si>
  <si>
    <t>UUS</t>
  </si>
  <si>
    <t>3604191502890001</t>
  </si>
  <si>
    <t>MI BANI MUBAROK</t>
  </si>
  <si>
    <t>083839163314</t>
  </si>
  <si>
    <t>3217120106120008</t>
  </si>
  <si>
    <t>3217126109120003</t>
  </si>
  <si>
    <t>3217-LTU-15102012-0014</t>
  </si>
  <si>
    <t>CIGALUNGGUNG</t>
  </si>
  <si>
    <t>HERI</t>
  </si>
  <si>
    <t>3217122102850001</t>
  </si>
  <si>
    <t>BANDUNG, 21/02/1985</t>
  </si>
  <si>
    <t>ENTIN KARTINI SUPARTIKA</t>
  </si>
  <si>
    <t>3217126104840010</t>
  </si>
  <si>
    <t>SDN 2 CICANGKANG HILIR</t>
  </si>
  <si>
    <t>083101600471</t>
  </si>
  <si>
    <t>321712206120044</t>
  </si>
  <si>
    <t>3217125306120001</t>
  </si>
  <si>
    <t>3217-13082012-0045</t>
  </si>
  <si>
    <t>DENI KURNIAWAN</t>
  </si>
  <si>
    <t>3217120106670013</t>
  </si>
  <si>
    <t>BANDUNG, 01/06/1987</t>
  </si>
  <si>
    <t>NENG NITA</t>
  </si>
  <si>
    <t>3217126701910002</t>
  </si>
  <si>
    <t>BANDUNG, 27/01/1991</t>
  </si>
  <si>
    <t>087722612110</t>
  </si>
  <si>
    <t>3217120112110018</t>
  </si>
  <si>
    <t>32171222410120005</t>
  </si>
  <si>
    <t>3217-LU-13112021-0037</t>
  </si>
  <si>
    <t>CIPEUTEUY</t>
  </si>
  <si>
    <t>RIDWAN</t>
  </si>
  <si>
    <t>3217120205860013</t>
  </si>
  <si>
    <t>BANDUNG, 02/05/1986</t>
  </si>
  <si>
    <t>3217125008920003</t>
  </si>
  <si>
    <t>BANDUNG, 10/08/1992</t>
  </si>
  <si>
    <t>SDN CICANGKANGHILIR 1</t>
  </si>
  <si>
    <t>083824636859</t>
  </si>
  <si>
    <t>3217121212190006</t>
  </si>
  <si>
    <t>3217125005130001</t>
  </si>
  <si>
    <t>3217-LU-31052013-0203</t>
  </si>
  <si>
    <t>ALI NASIKIN</t>
  </si>
  <si>
    <t>FERIKA YUNI RAHMAWATI</t>
  </si>
  <si>
    <t>3217125006850018</t>
  </si>
  <si>
    <t>BANDUNG, 10/06/1985</t>
  </si>
  <si>
    <t>085716195495</t>
  </si>
  <si>
    <t>3217111406170005</t>
  </si>
  <si>
    <t>3217110402130002</t>
  </si>
  <si>
    <t>3217-LT-18072019-0295</t>
  </si>
  <si>
    <t>HENDI NUGRAHA</t>
  </si>
  <si>
    <t>3217112911880002</t>
  </si>
  <si>
    <t>BANDUNG, 29/11/1988</t>
  </si>
  <si>
    <t>RINA PUZIASTUTI</t>
  </si>
  <si>
    <t>3217116002950004</t>
  </si>
  <si>
    <t>BANDUNG, 20/02/1995</t>
  </si>
  <si>
    <t>0139251510</t>
  </si>
  <si>
    <t>3217112411200010</t>
  </si>
  <si>
    <t>3217111203130004</t>
  </si>
  <si>
    <t>3217-LU-26042013-0001</t>
  </si>
  <si>
    <t>RONI GUNAWAN</t>
  </si>
  <si>
    <t>EMA RATNA PURI</t>
  </si>
  <si>
    <t>3217115212940015</t>
  </si>
  <si>
    <t>BANDUNG, 12/12/1994</t>
  </si>
  <si>
    <t>082116922184</t>
  </si>
  <si>
    <t>3217121909130007</t>
  </si>
  <si>
    <t>3217124202130001</t>
  </si>
  <si>
    <t>3217-LU-07032013-0075</t>
  </si>
  <si>
    <t>SUPARDAN</t>
  </si>
  <si>
    <t>MERLINDA YULISTIANI</t>
  </si>
  <si>
    <t>3217126012880006</t>
  </si>
  <si>
    <t>BANDUNG, 20/12/1988</t>
  </si>
  <si>
    <t>F8EEHF</t>
  </si>
  <si>
    <t>3217113007120001</t>
  </si>
  <si>
    <t>3217111009120006</t>
  </si>
  <si>
    <t>3217-LT-1002013-0270</t>
  </si>
  <si>
    <t>3217111210650009</t>
  </si>
  <si>
    <t>BANDUNG, 12/10/1965</t>
  </si>
  <si>
    <t>MASROH</t>
  </si>
  <si>
    <t>E1CV66</t>
  </si>
  <si>
    <t>NAZWA SIFAUNNISA ( 30 )</t>
  </si>
  <si>
    <t>3217111212060012</t>
  </si>
  <si>
    <t>3217114509120002</t>
  </si>
  <si>
    <t>3217-LU-31102012-0020</t>
  </si>
  <si>
    <t>ADE BURHANUDIN</t>
  </si>
  <si>
    <t>3217110808750018</t>
  </si>
  <si>
    <t>BANDUNG, 08/08/1975</t>
  </si>
  <si>
    <t>3217116011800010</t>
  </si>
  <si>
    <t>BANDUNG, 23/11/1980</t>
  </si>
  <si>
    <t>G3M358</t>
  </si>
  <si>
    <t>0124700280</t>
  </si>
  <si>
    <t>3217110704080021</t>
  </si>
  <si>
    <t>3217115206120003</t>
  </si>
  <si>
    <t>3217-LU-04092012-01117</t>
  </si>
  <si>
    <t>AHYAR AJIDIN</t>
  </si>
  <si>
    <t>3217111208820014</t>
  </si>
  <si>
    <t>BANDUNG, 12/08/1982</t>
  </si>
  <si>
    <t>TINI SURYANI</t>
  </si>
  <si>
    <t>3217115411830007</t>
  </si>
  <si>
    <t>BANDUNG, 14/11/1983</t>
  </si>
  <si>
    <t>32175072706220014</t>
  </si>
  <si>
    <t>3217110811120003</t>
  </si>
  <si>
    <t>3217-LT-30092022-0018</t>
  </si>
  <si>
    <t>SITI GINAYAH</t>
  </si>
  <si>
    <t>0139756042</t>
  </si>
  <si>
    <t>3217110704080063</t>
  </si>
  <si>
    <t>3217114704130001</t>
  </si>
  <si>
    <t>3217-LU-08052013-0121</t>
  </si>
  <si>
    <t>DIDIN SARIPUDIN</t>
  </si>
  <si>
    <t>3217112001790004</t>
  </si>
  <si>
    <t>CIANJUR, 20/01/1979</t>
  </si>
  <si>
    <t>3217114910820012</t>
  </si>
  <si>
    <t>BANDUNG, 09/10/1982</t>
  </si>
  <si>
    <t>G1XVZG</t>
  </si>
  <si>
    <t>3217121312170003</t>
  </si>
  <si>
    <t>3203192102120004</t>
  </si>
  <si>
    <t>3203-LT-22082014-0163</t>
  </si>
  <si>
    <t>CIBURUY</t>
  </si>
  <si>
    <t>ADE ABDURAHMAN</t>
  </si>
  <si>
    <t>3203190507760004</t>
  </si>
  <si>
    <t>CIANJUR, 05/07/1976</t>
  </si>
  <si>
    <t>3203195404880006</t>
  </si>
  <si>
    <t>CIANJUR, 14/04/1988</t>
  </si>
  <si>
    <t>NAJAH NAWAFA DIANSYAH ( 33)</t>
  </si>
  <si>
    <t>3273152405120019</t>
  </si>
  <si>
    <t>3273157105120003</t>
  </si>
  <si>
    <t>3130/2012</t>
  </si>
  <si>
    <t>CIJERAH</t>
  </si>
  <si>
    <t>CIBUNTU</t>
  </si>
  <si>
    <t>BANDUNG KULON</t>
  </si>
  <si>
    <t>DIAN NURDIANSYAH</t>
  </si>
  <si>
    <t>3273150309840004</t>
  </si>
  <si>
    <t>TASIKMALAYA,03/09/1984</t>
  </si>
  <si>
    <t>INA YANTI KHOIRIAH</t>
  </si>
  <si>
    <t>3273155808920004</t>
  </si>
  <si>
    <t>BANDUNG, 18/08/1992</t>
  </si>
  <si>
    <t>MI ASSUADA</t>
  </si>
  <si>
    <t>323157105120004</t>
  </si>
  <si>
    <t>3131/2012</t>
  </si>
  <si>
    <t>32171212120016</t>
  </si>
  <si>
    <t>3217127009120003</t>
  </si>
  <si>
    <t>3217-LT-05042016-0129</t>
  </si>
  <si>
    <t>3217121605880014</t>
  </si>
  <si>
    <t>BANDUNG, 16/05/1988</t>
  </si>
  <si>
    <t>IMAS MULYATI</t>
  </si>
  <si>
    <t>3217124605860018</t>
  </si>
  <si>
    <t>BANDUNG, 08/05/1986</t>
  </si>
  <si>
    <t>SDN CIBEUREUM</t>
  </si>
  <si>
    <t>3217122105050112</t>
  </si>
  <si>
    <t>3217125207130001</t>
  </si>
  <si>
    <t>3217-LU-28102013-0075</t>
  </si>
  <si>
    <t>SUKAJI RUKMANA</t>
  </si>
  <si>
    <t>3217120505730004</t>
  </si>
  <si>
    <t>BANDUNG, 05/05/1973</t>
  </si>
  <si>
    <t>MIDAH</t>
  </si>
  <si>
    <t>3217125410730001</t>
  </si>
  <si>
    <t>BANDUNG,14/10/1973</t>
  </si>
  <si>
    <t>3217111102080042</t>
  </si>
  <si>
    <t>3217112606120004</t>
  </si>
  <si>
    <t>3217-LU-17092012-0001</t>
  </si>
  <si>
    <t>KARAMGANYAR</t>
  </si>
  <si>
    <t>AHID</t>
  </si>
  <si>
    <t>3217110705820013</t>
  </si>
  <si>
    <t>BANDUNG, 07/05/1982</t>
  </si>
  <si>
    <t>IDA</t>
  </si>
  <si>
    <t>3217114806870009</t>
  </si>
  <si>
    <t>BANDUNG, 08/06/1987</t>
  </si>
  <si>
    <t>3217112403080044</t>
  </si>
  <si>
    <t>3217114302130005</t>
  </si>
  <si>
    <t>3217-LU-12022013-0033</t>
  </si>
  <si>
    <t>SAMPORA</t>
  </si>
  <si>
    <t>ACEP MULYANA</t>
  </si>
  <si>
    <t>3217110601820014</t>
  </si>
  <si>
    <t>BANDUNG, 06/01/1982</t>
  </si>
  <si>
    <t>3217115004870015</t>
  </si>
  <si>
    <t>BANDUNG, 10/04/1987</t>
  </si>
  <si>
    <t xml:space="preserve">SD IT ATOYYIBAH </t>
  </si>
  <si>
    <t>3217120905120009</t>
  </si>
  <si>
    <t>3217122903130001</t>
  </si>
  <si>
    <t>3217-LT-24102016-0141</t>
  </si>
  <si>
    <t>SAEPUL RIVAL RAMDHAN</t>
  </si>
  <si>
    <t>3217122103920003</t>
  </si>
  <si>
    <t>BANDUNG, 21/03/1992</t>
  </si>
  <si>
    <t>MARINA DESTRIANI</t>
  </si>
  <si>
    <t>BANDUNG, 23/12/1992</t>
  </si>
  <si>
    <t>0124533738</t>
  </si>
  <si>
    <t>3217112809170006</t>
  </si>
  <si>
    <t>3217115712120002</t>
  </si>
  <si>
    <t>3217-LU-23012013-0181</t>
  </si>
  <si>
    <t>CIBANGBAN</t>
  </si>
  <si>
    <t>HENDRA</t>
  </si>
  <si>
    <t>3217112106850007</t>
  </si>
  <si>
    <t>BANDUNG, 21/06/1985</t>
  </si>
  <si>
    <t>ASTER RINI</t>
  </si>
  <si>
    <t>327304470790000</t>
  </si>
  <si>
    <t>BANDUNG, 07/07/1990</t>
  </si>
  <si>
    <t>0129363512</t>
  </si>
  <si>
    <t>3217112203210008</t>
  </si>
  <si>
    <t>3217117006120003</t>
  </si>
  <si>
    <t>3217-LU-08082012-0182</t>
  </si>
  <si>
    <t>IYAN SOPIAN</t>
  </si>
  <si>
    <t>3217114807730007</t>
  </si>
  <si>
    <t>BANDUNG, 08/07/1973</t>
  </si>
  <si>
    <t>0138791421</t>
  </si>
  <si>
    <t>3217112506130008</t>
  </si>
  <si>
    <t>3217114409130004</t>
  </si>
  <si>
    <t>3217-LU-21112013-0214</t>
  </si>
  <si>
    <t>RAHMAT DANI</t>
  </si>
  <si>
    <t>3217142912890007</t>
  </si>
  <si>
    <t>BANDUNG,29/12/1989</t>
  </si>
  <si>
    <t>NENENG LAELASARI</t>
  </si>
  <si>
    <t>3217114509930010</t>
  </si>
  <si>
    <t>BANDUNG, 05/09/1993</t>
  </si>
  <si>
    <t>0126635855</t>
  </si>
  <si>
    <t>3217111709120009</t>
  </si>
  <si>
    <t>3217114811120004</t>
  </si>
  <si>
    <t>3217-LU-26122012-0121</t>
  </si>
  <si>
    <t>CIJIGUD</t>
  </si>
  <si>
    <t>ISMAIL MARJUKI</t>
  </si>
  <si>
    <t>3217110606860044</t>
  </si>
  <si>
    <t>BANDUNG, 09/06/1986</t>
  </si>
  <si>
    <t>NURJANAH SOLIHAH</t>
  </si>
  <si>
    <t>3217114509920003</t>
  </si>
  <si>
    <t>BANDUNG, 05/09/1992</t>
  </si>
  <si>
    <t>3217111005120038</t>
  </si>
  <si>
    <t>3217110911120002</t>
  </si>
  <si>
    <t>DANI RAMDANI</t>
  </si>
  <si>
    <t>3217111807880006</t>
  </si>
  <si>
    <t>BANDUNG, 18/07/1988</t>
  </si>
  <si>
    <t>3217114207920017</t>
  </si>
  <si>
    <t>BANDUNG, 02/07/1992</t>
  </si>
  <si>
    <t>3217110804100008</t>
  </si>
  <si>
    <t>3217110212120002</t>
  </si>
  <si>
    <t>AKO SUJANA</t>
  </si>
  <si>
    <t>3217110204710012</t>
  </si>
  <si>
    <t>RUKIYAH</t>
  </si>
  <si>
    <t>3217114812840010</t>
  </si>
  <si>
    <t>BANDUNG, 08/12/1984</t>
  </si>
  <si>
    <t>0132879376</t>
  </si>
  <si>
    <t>3217110407180006</t>
  </si>
  <si>
    <t>3217116803130002</t>
  </si>
  <si>
    <t>3217-LT-04072018-0177</t>
  </si>
  <si>
    <t>EDI YUSUP</t>
  </si>
  <si>
    <t>3217110209870004</t>
  </si>
  <si>
    <t>BANDUNG, 02/09/1987</t>
  </si>
  <si>
    <t>IRMA WIDIAWATI</t>
  </si>
  <si>
    <t>3217145109910005</t>
  </si>
  <si>
    <t>BANDUNG, 11/09/1991</t>
  </si>
  <si>
    <t>3217121605170002</t>
  </si>
  <si>
    <t>3217156102130004</t>
  </si>
  <si>
    <t>3217-LT-29082018-0192</t>
  </si>
  <si>
    <t>CIBANDUNG</t>
  </si>
  <si>
    <t>PATRU</t>
  </si>
  <si>
    <t>YANTI</t>
  </si>
  <si>
    <t>3217155203830003</t>
  </si>
  <si>
    <t>BANDUNG,12/03/1983</t>
  </si>
  <si>
    <t>3217120101080067</t>
  </si>
  <si>
    <t>3217120607120001</t>
  </si>
  <si>
    <t>3217-LU-04092012-0121</t>
  </si>
  <si>
    <t>3217120208820013</t>
  </si>
  <si>
    <t>BANDUNG, 02/08/1982</t>
  </si>
  <si>
    <t>3217125009850009</t>
  </si>
  <si>
    <t>BANDUNG, 10/09/1985</t>
  </si>
  <si>
    <t>0121034935</t>
  </si>
  <si>
    <t>3217111602120005</t>
  </si>
  <si>
    <t>3217115408120002</t>
  </si>
  <si>
    <t>3217-LU-11092012-0055</t>
  </si>
  <si>
    <t>321711043840014</t>
  </si>
  <si>
    <t>BANDUNG,04/03/1984</t>
  </si>
  <si>
    <t>ADE ROSIDAH</t>
  </si>
  <si>
    <t>3217114306910024</t>
  </si>
  <si>
    <t>BANDUNG, 03/06/1991</t>
  </si>
  <si>
    <t>3217122301080049</t>
  </si>
  <si>
    <t>3217122901130002</t>
  </si>
  <si>
    <t>3217-LU-25022013-0063</t>
  </si>
  <si>
    <t>UCEP SURYANA</t>
  </si>
  <si>
    <t>3217120303790008</t>
  </si>
  <si>
    <t>BANDUNG, 03/03/1979</t>
  </si>
  <si>
    <t>3217126406820005</t>
  </si>
  <si>
    <t>BANDUNG, 24/051982</t>
  </si>
  <si>
    <t>3217121503220005</t>
  </si>
  <si>
    <t>3217122407130003</t>
  </si>
  <si>
    <t>3217-LT-08052025-0024</t>
  </si>
  <si>
    <t>PIAT SUPRIATNA</t>
  </si>
  <si>
    <t>WATI</t>
  </si>
  <si>
    <t>3217124605740014</t>
  </si>
  <si>
    <t>BANDUNG,06/05/1974</t>
  </si>
  <si>
    <t>3217122611180003</t>
  </si>
  <si>
    <t>3217124908130006</t>
  </si>
  <si>
    <t>SUTISNA</t>
  </si>
  <si>
    <t>3217120709870010</t>
  </si>
  <si>
    <t>BANDUNG,07/09/1987</t>
  </si>
  <si>
    <t>DEWI</t>
  </si>
  <si>
    <t>3203145712900001</t>
  </si>
  <si>
    <t>CIANJUR, 17/12/1990</t>
  </si>
  <si>
    <t>3137502277</t>
  </si>
  <si>
    <t>BANDUBG BARAT</t>
  </si>
  <si>
    <t>32172230109003</t>
  </si>
  <si>
    <t>3217121204130002</t>
  </si>
  <si>
    <t>3217-LT-09122024-0046</t>
  </si>
  <si>
    <t>KP CIJAMBE</t>
  </si>
  <si>
    <t>3217120208120016</t>
  </si>
  <si>
    <t>3217120709120001</t>
  </si>
  <si>
    <t>3217-=LT-20122012-0109</t>
  </si>
  <si>
    <t>NIRPANA</t>
  </si>
  <si>
    <t>3217120910880002</t>
  </si>
  <si>
    <t>BANDUNG, 09/10/1988</t>
  </si>
  <si>
    <t>JUBAEDAH</t>
  </si>
  <si>
    <t>3217124202920020</t>
  </si>
  <si>
    <t>BANDUNG, 02/02/1982</t>
  </si>
  <si>
    <t>3217112604210009</t>
  </si>
  <si>
    <t>3217121705130001</t>
  </si>
  <si>
    <t>3217-LT-05092013-0348</t>
  </si>
  <si>
    <t>OHAN</t>
  </si>
  <si>
    <t>3217120711770005</t>
  </si>
  <si>
    <t>BANDUNG, 07/11/1972</t>
  </si>
  <si>
    <t>3217125608810018</t>
  </si>
  <si>
    <t>BANDUNG, 16/08/1981</t>
  </si>
  <si>
    <t>3217121607120102</t>
  </si>
  <si>
    <t>3217124511120002</t>
  </si>
  <si>
    <t>3217-LT-24072024-0036</t>
  </si>
  <si>
    <t>EENG HENDI</t>
  </si>
  <si>
    <t>3217120305740028</t>
  </si>
  <si>
    <t>BANDUNG, 03/05/1974</t>
  </si>
  <si>
    <t>3217124511670020</t>
  </si>
  <si>
    <t>BANDUNG, 05/11/1967</t>
  </si>
  <si>
    <t>3217110707230001</t>
  </si>
  <si>
    <t>3217111707130002</t>
  </si>
  <si>
    <t>3217-LU-16092013-0216</t>
  </si>
  <si>
    <t>AHMAD SUPRIATNA</t>
  </si>
  <si>
    <t>FITRIANI RISMAYANTI</t>
  </si>
  <si>
    <t>3217125101880008</t>
  </si>
  <si>
    <t>BANDUNG, 11/01/1988</t>
  </si>
  <si>
    <t>3217121704051538</t>
  </si>
  <si>
    <t>3217120512120003</t>
  </si>
  <si>
    <t>3217-LT-09112017-1765</t>
  </si>
  <si>
    <t>ENTUR RUSMANA</t>
  </si>
  <si>
    <t>3217120101720003</t>
  </si>
  <si>
    <t>BANDUNG, 01/01/1972</t>
  </si>
  <si>
    <t>INDRAMAYU</t>
  </si>
  <si>
    <t>3217121009140004</t>
  </si>
  <si>
    <t>3217126405130003</t>
  </si>
  <si>
    <t>3217-LT-04122014-0046</t>
  </si>
  <si>
    <t>BABAKAN LAPANG</t>
  </si>
  <si>
    <t>3212251407910003</t>
  </si>
  <si>
    <t>INDRAMAYU, 14/07/1991</t>
  </si>
  <si>
    <t>KANIA PRATAMA</t>
  </si>
  <si>
    <t>3217125707890007</t>
  </si>
  <si>
    <t>BANDUNG, 17/07/1989</t>
  </si>
  <si>
    <t>0136620125</t>
  </si>
  <si>
    <t>3217111705130004</t>
  </si>
  <si>
    <t>3217115407130002</t>
  </si>
  <si>
    <t>3217-LU-17092013-0166</t>
  </si>
  <si>
    <t>NURASMAN</t>
  </si>
  <si>
    <t>3217110703860001</t>
  </si>
  <si>
    <t>BANDUNG,07/03/1986</t>
  </si>
  <si>
    <t>NERA ROMLAH</t>
  </si>
  <si>
    <t>3204374803930007</t>
  </si>
  <si>
    <t>BANDUNG, 08/03/1993</t>
  </si>
  <si>
    <t>SDN 1 RANCAPNGGUNG</t>
  </si>
  <si>
    <t>0127880916</t>
  </si>
  <si>
    <t>3217120307120033</t>
  </si>
  <si>
    <t>3217124709120003</t>
  </si>
  <si>
    <t>3217-LU-02102012-0025</t>
  </si>
  <si>
    <t>DIDIN NURHAKIM</t>
  </si>
  <si>
    <t>3217121012920013</t>
  </si>
  <si>
    <t>BANDUNG, M10/12/1993</t>
  </si>
  <si>
    <t>EVA LINAYADI</t>
  </si>
  <si>
    <t>3217126009930007</t>
  </si>
  <si>
    <t>SUKABUMI, 20/09/1993</t>
  </si>
  <si>
    <t>3217110804200004</t>
  </si>
  <si>
    <t>3217123112120003</t>
  </si>
  <si>
    <t>3217-LT-27092017-1145</t>
  </si>
  <si>
    <t>CINITI</t>
  </si>
  <si>
    <t>ADE SURYANA</t>
  </si>
  <si>
    <t>ANI NURAENI</t>
  </si>
  <si>
    <t>32171043058340021</t>
  </si>
  <si>
    <t>BANDUNG, 03/05/1984</t>
  </si>
  <si>
    <t>MI SALAKOPI</t>
  </si>
  <si>
    <t>3124967994</t>
  </si>
  <si>
    <t>3217121607120034</t>
  </si>
  <si>
    <t>3217122604120002</t>
  </si>
  <si>
    <t>MOH TOHA</t>
  </si>
  <si>
    <t>32171222511400002</t>
  </si>
  <si>
    <t>BANDUNG, 25/11/1989</t>
  </si>
  <si>
    <t>PETANI</t>
  </si>
  <si>
    <t>KARTINI</t>
  </si>
  <si>
    <t>3217124903550003</t>
  </si>
  <si>
    <t>BANDUNG, 09/03/1985</t>
  </si>
  <si>
    <t>0127003886</t>
  </si>
  <si>
    <t>3217120409120136</t>
  </si>
  <si>
    <t>3217122012120002</t>
  </si>
  <si>
    <t>3217-LT-27092017-2084</t>
  </si>
  <si>
    <t>UDIN SAMSUDIN</t>
  </si>
  <si>
    <t>3217122102750003</t>
  </si>
  <si>
    <t>BANDUNG, 21/02/1975</t>
  </si>
  <si>
    <t>HENI TRIANI</t>
  </si>
  <si>
    <t>3217124204790038</t>
  </si>
  <si>
    <t>BANDUNG, 02/04/1979</t>
  </si>
  <si>
    <t>3217121104120029</t>
  </si>
  <si>
    <t>3217120809120001</t>
  </si>
  <si>
    <t>3217-LU-21092012-0011</t>
  </si>
  <si>
    <t>RAHMAT SUHENDAR</t>
  </si>
  <si>
    <t>3217122702840001</t>
  </si>
  <si>
    <t>BANDUNG, 27/03/1984</t>
  </si>
  <si>
    <t>3217124607900029</t>
  </si>
  <si>
    <t>BANDUNG, 06/07/1990</t>
  </si>
  <si>
    <t>3217122304070006</t>
  </si>
  <si>
    <t>3217122708130003</t>
  </si>
  <si>
    <t>3217-LT-30052024-0091</t>
  </si>
  <si>
    <t>ROCHYAT</t>
  </si>
  <si>
    <t>3217121010730004</t>
  </si>
  <si>
    <t>BANDUNG, 10/10/1973</t>
  </si>
  <si>
    <t>ALIS RODIAH</t>
  </si>
  <si>
    <t>3217124907770009</t>
  </si>
  <si>
    <t>BANDUNG, 09/07/1877</t>
  </si>
  <si>
    <t>3217121008120004</t>
  </si>
  <si>
    <t>3217120301130001</t>
  </si>
  <si>
    <t>3217-LT-30062022-0058</t>
  </si>
  <si>
    <t>JAJA KERTA JAYA</t>
  </si>
  <si>
    <t>3217121701710001</t>
  </si>
  <si>
    <t>BANDUNG, 17/01/1971</t>
  </si>
  <si>
    <t>EVI WIDIA WATI</t>
  </si>
  <si>
    <t>3217124101830061</t>
  </si>
  <si>
    <t>3217121208120004</t>
  </si>
  <si>
    <t>3217122512120001</t>
  </si>
  <si>
    <t>3217-LU-30012013-0079</t>
  </si>
  <si>
    <t>HENDI SUHENDAR</t>
  </si>
  <si>
    <t>3217120909850015</t>
  </si>
  <si>
    <t>BANDUNG, 09/09/1985</t>
  </si>
  <si>
    <t>IBU NURYANI</t>
  </si>
  <si>
    <t>3217124303880003</t>
  </si>
  <si>
    <t>BANDUNG, 03/03/1988</t>
  </si>
  <si>
    <t>3217121810110009</t>
  </si>
  <si>
    <t>3217121603120004</t>
  </si>
  <si>
    <t>3217-LU-21062012-0052</t>
  </si>
  <si>
    <t>SADANG</t>
  </si>
  <si>
    <t>DAKIM PERMANA</t>
  </si>
  <si>
    <t>3217121402830015</t>
  </si>
  <si>
    <t>SUBANG, 14/02/1983</t>
  </si>
  <si>
    <t>TATI MARDIANA</t>
  </si>
  <si>
    <t>3217125007920012</t>
  </si>
  <si>
    <t>BANDUNG, 10/07/1992</t>
  </si>
  <si>
    <t>3217122105070061</t>
  </si>
  <si>
    <t>3217125404130004</t>
  </si>
  <si>
    <t>3217-LU-31052013-0191</t>
  </si>
  <si>
    <t>CIHAMIRUNG</t>
  </si>
  <si>
    <t>YUSUP SUMARWAN</t>
  </si>
  <si>
    <t>3217122304760004</t>
  </si>
  <si>
    <t>BANDUNG, 23/04/1976</t>
  </si>
  <si>
    <t>NENENG ENDAH</t>
  </si>
  <si>
    <t>3217124412790002</t>
  </si>
  <si>
    <t>BANDUNG, 04/12/1979</t>
  </si>
  <si>
    <t>3217121907130039</t>
  </si>
  <si>
    <t>3217127006130001</t>
  </si>
  <si>
    <t>3217-LT-27092017-2286</t>
  </si>
  <si>
    <t>3217110308840005</t>
  </si>
  <si>
    <t>BANDUNG, 03/06/1984</t>
  </si>
  <si>
    <t>3217124101850045</t>
  </si>
  <si>
    <t>3217122103120006</t>
  </si>
  <si>
    <t>3217123005120003</t>
  </si>
  <si>
    <t>3217-LU-31072012-0110</t>
  </si>
  <si>
    <t>DEDEN PERMANA</t>
  </si>
  <si>
    <t>3217121706870003</t>
  </si>
  <si>
    <t>BANDUNG, 17/06/1987</t>
  </si>
  <si>
    <t>BURUH HARISN LEPAS</t>
  </si>
  <si>
    <t>3217126305950008</t>
  </si>
  <si>
    <t>BANDUNG, 22/05/1995</t>
  </si>
  <si>
    <t>3126719879</t>
  </si>
  <si>
    <t>3217121405120013</t>
  </si>
  <si>
    <t>3217120706120001</t>
  </si>
  <si>
    <t>3217-LU-14082012-0194</t>
  </si>
  <si>
    <t>HENDRA NUGRAHA</t>
  </si>
  <si>
    <t>3217120909870001</t>
  </si>
  <si>
    <t>BANDUNG, 09/09/1987</t>
  </si>
  <si>
    <t>APIDAH ROPIDAH</t>
  </si>
  <si>
    <t>3217126704920003</t>
  </si>
  <si>
    <t>BANDUNG, 27/04/1992</t>
  </si>
  <si>
    <t>3217120812110025</t>
  </si>
  <si>
    <t>3217120404120001</t>
  </si>
  <si>
    <t>3217-LU-09072012-0108</t>
  </si>
  <si>
    <t>3217120804790009</t>
  </si>
  <si>
    <t>BANDUNG, 08/04/1975</t>
  </si>
  <si>
    <t>DSITI ROHMAH</t>
  </si>
  <si>
    <t>3217126505850017</t>
  </si>
  <si>
    <t>BANDUNG, 25/05/1986</t>
  </si>
  <si>
    <t>3216060511100833</t>
  </si>
  <si>
    <t>3216061412120003</t>
  </si>
  <si>
    <t>340/REG/UMUM/2013</t>
  </si>
  <si>
    <t>PERUM PAPAN</t>
  </si>
  <si>
    <t>TEMBUN SELATAN</t>
  </si>
  <si>
    <t>PURWADI</t>
  </si>
  <si>
    <t>3216060010710002</t>
  </si>
  <si>
    <t>SEMARANG,08/10/1971</t>
  </si>
  <si>
    <t>ENTIN SUPRIATNA</t>
  </si>
  <si>
    <t>3216055907750010</t>
  </si>
  <si>
    <t>BANDUNG, 29/07/1975</t>
  </si>
  <si>
    <t>3217120809170006</t>
  </si>
  <si>
    <t>3217125203130003</t>
  </si>
  <si>
    <t>3217-LT-20102017-1540</t>
  </si>
  <si>
    <t>M MUTAQIN</t>
  </si>
  <si>
    <t>3202361212850004</t>
  </si>
  <si>
    <t>BANDUNG, 12/12/1985</t>
  </si>
  <si>
    <t>DEDE RODIYAH</t>
  </si>
  <si>
    <t>3202366401900002</t>
  </si>
  <si>
    <t>SUKABUMI, 24/01/1990</t>
  </si>
  <si>
    <t>3217122105050130</t>
  </si>
  <si>
    <t>3217126205130002</t>
  </si>
  <si>
    <t>3217-LU-25062013-0017</t>
  </si>
  <si>
    <t>YUKI DARMAWAN</t>
  </si>
  <si>
    <t>WITA PRATIWI</t>
  </si>
  <si>
    <t>3217120211070056</t>
  </si>
  <si>
    <t>3217126103130000</t>
  </si>
  <si>
    <t>32117-LT-05042016-0128</t>
  </si>
  <si>
    <t>SUMUR KEMBANG</t>
  </si>
  <si>
    <t>3217120307850014</t>
  </si>
  <si>
    <t>BANDUNG, 03/07/1985</t>
  </si>
  <si>
    <t>NURYANI SARIYUDIN</t>
  </si>
  <si>
    <t>3217124106810021</t>
  </si>
  <si>
    <t>BANDUNG, 01/06/1981</t>
  </si>
  <si>
    <t>083100506055</t>
  </si>
  <si>
    <t>3123800653</t>
  </si>
  <si>
    <t>3217110511120018</t>
  </si>
  <si>
    <t>3217115912120003</t>
  </si>
  <si>
    <t>3217-LU-28012013-0135</t>
  </si>
  <si>
    <t>25-10-26-1-0833-0009</t>
  </si>
  <si>
    <t>SAEPUDIN JENAL</t>
  </si>
  <si>
    <t>3217110307820030</t>
  </si>
  <si>
    <t>BANDUNG,03/07/1982</t>
  </si>
  <si>
    <t>EMI RASTINI</t>
  </si>
  <si>
    <t>32171147077870007</t>
  </si>
  <si>
    <t>BANDUNG,07/07/1987</t>
  </si>
  <si>
    <t>MENGURUS RUMAH TANGGA</t>
  </si>
  <si>
    <t>23211123130351</t>
  </si>
  <si>
    <t>085703617660</t>
  </si>
  <si>
    <t>3127879278</t>
  </si>
  <si>
    <t>3217110704080088</t>
  </si>
  <si>
    <t>3217112504130001</t>
  </si>
  <si>
    <t>3217-LU-31072012-0187</t>
  </si>
  <si>
    <t>25-10-26-1-0833-0018</t>
  </si>
  <si>
    <t>UNANG</t>
  </si>
  <si>
    <t>3217110106780020</t>
  </si>
  <si>
    <t>BANDUNG,01/06/1978</t>
  </si>
  <si>
    <t>IYAH</t>
  </si>
  <si>
    <t>3217116503840005</t>
  </si>
  <si>
    <t>BANDUNG,25/03/1984</t>
  </si>
  <si>
    <t>083171391145</t>
  </si>
  <si>
    <t>3122335834</t>
  </si>
  <si>
    <t>321710201120005</t>
  </si>
  <si>
    <t>3217110605120002</t>
  </si>
  <si>
    <t>3217-LT-1103214-0065</t>
  </si>
  <si>
    <t>25-10-26-1-0833-0013</t>
  </si>
  <si>
    <t xml:space="preserve">ADANG SETIAWAN </t>
  </si>
  <si>
    <t>321711011920016</t>
  </si>
  <si>
    <t>BANDUNG,10/11/1992</t>
  </si>
  <si>
    <t>APRIYANTI</t>
  </si>
  <si>
    <t>3217114803840014</t>
  </si>
  <si>
    <t>CILCAP,08/03/1994</t>
  </si>
  <si>
    <t>08572220947</t>
  </si>
  <si>
    <t>3126475090</t>
  </si>
  <si>
    <t>22/12/1012</t>
  </si>
  <si>
    <t>3217112805050461</t>
  </si>
  <si>
    <t>3217112211120003</t>
  </si>
  <si>
    <t>3217-LU-04012013-0091</t>
  </si>
  <si>
    <t>25-10-26-1-0833-0020</t>
  </si>
  <si>
    <t>3217112907690003</t>
  </si>
  <si>
    <t>BANDUN,29/07/1969</t>
  </si>
  <si>
    <t>EHA SETIAWATI</t>
  </si>
  <si>
    <t>3217115208740011</t>
  </si>
  <si>
    <t>BANDUNG'12/08/1974</t>
  </si>
  <si>
    <t>23211132130354</t>
  </si>
  <si>
    <t>085809216803</t>
  </si>
  <si>
    <t>3124612189</t>
  </si>
  <si>
    <t>3217111311230009</t>
  </si>
  <si>
    <t>3217111805120001</t>
  </si>
  <si>
    <t>3217-LU-24072012-0036</t>
  </si>
  <si>
    <t>25-10-26-1-0833-0004</t>
  </si>
  <si>
    <t>DANI NURHADIAN</t>
  </si>
  <si>
    <t>3217111907810002</t>
  </si>
  <si>
    <t>BANDUNG',19/07/1981</t>
  </si>
  <si>
    <t>SALAMAH</t>
  </si>
  <si>
    <t>3217115304900011</t>
  </si>
  <si>
    <t>BANDUNG,13/04/1994</t>
  </si>
  <si>
    <t>11321720033125</t>
  </si>
  <si>
    <t>05872118335</t>
  </si>
  <si>
    <t>3122640625</t>
  </si>
  <si>
    <t>3217112603120005</t>
  </si>
  <si>
    <t>3217110904120002</t>
  </si>
  <si>
    <t>3217-LU-13072012-0029</t>
  </si>
  <si>
    <t>25-10-26-1-08330025</t>
  </si>
  <si>
    <t>JAJANG SOMANTRI</t>
  </si>
  <si>
    <t>321711040840025</t>
  </si>
  <si>
    <t>CIANJUR,04/04/1984</t>
  </si>
  <si>
    <t>3217116404940014</t>
  </si>
  <si>
    <t>BANDUNG,24/04/1994</t>
  </si>
  <si>
    <t>23211124108107</t>
  </si>
  <si>
    <t>083857155892</t>
  </si>
  <si>
    <t>321538880</t>
  </si>
  <si>
    <t>3217112408210010</t>
  </si>
  <si>
    <t>3217110503120004</t>
  </si>
  <si>
    <t>3217-LU-20062012-0021</t>
  </si>
  <si>
    <t>25-10-26-1-0833-0012</t>
  </si>
  <si>
    <t>ASEP BULDANI</t>
  </si>
  <si>
    <t>3217110506740012</t>
  </si>
  <si>
    <t>BANDUNG,04/04/1973</t>
  </si>
  <si>
    <t>SITI IMAS JUBAEDAH</t>
  </si>
  <si>
    <t>3217114305920023</t>
  </si>
  <si>
    <t>BAMDUNG,03/05/1992</t>
  </si>
  <si>
    <t>083153912286</t>
  </si>
  <si>
    <t>312565586</t>
  </si>
  <si>
    <t>3273242908180006</t>
  </si>
  <si>
    <t>3217112303120003</t>
  </si>
  <si>
    <t>3127-LT-13092017-1768</t>
  </si>
  <si>
    <t>25-10-26-1-0833-0008</t>
  </si>
  <si>
    <t xml:space="preserve">ASEP RUSLAN </t>
  </si>
  <si>
    <t>3273240108880006</t>
  </si>
  <si>
    <t>CILILIN,01/08/1988</t>
  </si>
  <si>
    <t>NENI MARYANI</t>
  </si>
  <si>
    <t>3273246506920001</t>
  </si>
  <si>
    <t>BANDUNG,05/06/1992</t>
  </si>
  <si>
    <t>083829388686</t>
  </si>
  <si>
    <t>3128158996</t>
  </si>
  <si>
    <t>3217111105120026</t>
  </si>
  <si>
    <t>3217111311120003</t>
  </si>
  <si>
    <t>3217-LU-03012013-0135</t>
  </si>
  <si>
    <t>25-10-26-1-08330010</t>
  </si>
  <si>
    <t>10</t>
  </si>
  <si>
    <t>JAELANI</t>
  </si>
  <si>
    <t>3217110305780026</t>
  </si>
  <si>
    <t>BANDUNG03/05/1978</t>
  </si>
  <si>
    <t xml:space="preserve">LENI AMANDA </t>
  </si>
  <si>
    <t>3217115504840019</t>
  </si>
  <si>
    <t>BANDUNG,15/04/1984</t>
  </si>
  <si>
    <t>083153984623</t>
  </si>
  <si>
    <t>3126074213</t>
  </si>
  <si>
    <t>3217111911070029</t>
  </si>
  <si>
    <t>3217116303120003</t>
  </si>
  <si>
    <t>3217-LU-09072012-0144</t>
  </si>
  <si>
    <t>25-10-26-1-0833-0031</t>
  </si>
  <si>
    <t>DEDI APANDI</t>
  </si>
  <si>
    <t>3217110102680023</t>
  </si>
  <si>
    <t>BANDUNG'01/02/0968</t>
  </si>
  <si>
    <t xml:space="preserve">UAN MARLINA </t>
  </si>
  <si>
    <t>3217115510700007</t>
  </si>
  <si>
    <t>BAMNDUNG,15/10/1970</t>
  </si>
  <si>
    <t>085695949679</t>
  </si>
  <si>
    <t>32125184661</t>
  </si>
  <si>
    <t>3217112704120003</t>
  </si>
  <si>
    <t>3217114112120007</t>
  </si>
  <si>
    <t>3217-LU-26122012-0116</t>
  </si>
  <si>
    <t>25-10-26-1-0833-0029</t>
  </si>
  <si>
    <t>IYAN</t>
  </si>
  <si>
    <t>3217110608670014</t>
  </si>
  <si>
    <t>BANDUNG,06/08/1967</t>
  </si>
  <si>
    <t>3217114608690018</t>
  </si>
  <si>
    <t>BANDUNG,06/08/1969</t>
  </si>
  <si>
    <t>083196683425</t>
  </si>
  <si>
    <t>3217111504052657</t>
  </si>
  <si>
    <t>3217111012120003</t>
  </si>
  <si>
    <t>3217-LU-15012013-0078</t>
  </si>
  <si>
    <t>ABDUL GANDI</t>
  </si>
  <si>
    <t>3217111708780014</t>
  </si>
  <si>
    <t>BANDUNG, 29/08/1979</t>
  </si>
  <si>
    <t>ISOH SOLIHOH</t>
  </si>
  <si>
    <t>3217114309790009</t>
  </si>
  <si>
    <t>BANDUNG,02/08/1979</t>
  </si>
  <si>
    <t>3217111704060032</t>
  </si>
  <si>
    <t>3217114510120003</t>
  </si>
  <si>
    <t>3217-LU-01112012-0009</t>
  </si>
  <si>
    <t>ENTIS</t>
  </si>
  <si>
    <t>3217111203730007</t>
  </si>
  <si>
    <t>BANDUNG, 12/03/1973</t>
  </si>
  <si>
    <t>PITRIYANI</t>
  </si>
  <si>
    <t>3217114101800060</t>
  </si>
  <si>
    <t>BANDUNG, 01/01/1980</t>
  </si>
  <si>
    <t>3217112803120012</t>
  </si>
  <si>
    <t>3217110205120008</t>
  </si>
  <si>
    <t>3217-LT-02082012-0043</t>
  </si>
  <si>
    <t>3217111007680019</t>
  </si>
  <si>
    <t>BANDUNG, 10/07/1968</t>
  </si>
  <si>
    <t>AI ERNAWATI</t>
  </si>
  <si>
    <t>32317115408820012</t>
  </si>
  <si>
    <t>BANDUNG,14/08/1982</t>
  </si>
  <si>
    <t>11321720043893</t>
  </si>
  <si>
    <t>3217113110060018</t>
  </si>
  <si>
    <t>3217116005120004</t>
  </si>
  <si>
    <t>3217-LU-03082012-0058</t>
  </si>
  <si>
    <t>ACHMAD SOLIHIN</t>
  </si>
  <si>
    <t>3217111708790011</t>
  </si>
  <si>
    <t>BANDUNG, 17/08/1979</t>
  </si>
  <si>
    <t>NINA MARLINA</t>
  </si>
  <si>
    <t>3217114312820003</t>
  </si>
  <si>
    <t>BANDUNG, 03/12/1982</t>
  </si>
  <si>
    <t>3217112905050249</t>
  </si>
  <si>
    <t>3217115406120002</t>
  </si>
  <si>
    <t>3217-LU-03082012-0031</t>
  </si>
  <si>
    <t>;001</t>
  </si>
  <si>
    <t>AJAT MAULANA</t>
  </si>
  <si>
    <t>3217111005810011</t>
  </si>
  <si>
    <t>NIA HANDIATI</t>
  </si>
  <si>
    <t>3217116005850006</t>
  </si>
  <si>
    <t>BANDUNG, 20/05/1985</t>
  </si>
  <si>
    <t>11321720033116</t>
  </si>
  <si>
    <t>3217111201060010</t>
  </si>
  <si>
    <t>3217117006130001</t>
  </si>
  <si>
    <t>3217-LT-30102012-0142</t>
  </si>
  <si>
    <t>JUJU</t>
  </si>
  <si>
    <t>3217111909740002</t>
  </si>
  <si>
    <t>BANDUNG, 19/09/1974</t>
  </si>
  <si>
    <t>ROSMAYANTI</t>
  </si>
  <si>
    <t>32317114501810009</t>
  </si>
  <si>
    <t>BANDUNG, 05/01/1981</t>
  </si>
  <si>
    <t>11321720046181</t>
  </si>
  <si>
    <t>321711101120003</t>
  </si>
  <si>
    <t>3217116502120005</t>
  </si>
  <si>
    <t>3217-LU-05062012-0070</t>
  </si>
  <si>
    <t>TENDI ARIANSYAH</t>
  </si>
  <si>
    <t>3217110112840019</t>
  </si>
  <si>
    <t>BANDUNG,01/12/1984</t>
  </si>
  <si>
    <t>KOMALASARI</t>
  </si>
  <si>
    <t>32171150109100910</t>
  </si>
  <si>
    <t>BANDUNG, 10/10/1991</t>
  </si>
  <si>
    <t>3124539619</t>
  </si>
  <si>
    <t>CIREBON</t>
  </si>
  <si>
    <t>3217110402150002</t>
  </si>
  <si>
    <t>3209184312120001</t>
  </si>
  <si>
    <t>3217-LT-02122016-0059</t>
  </si>
  <si>
    <t>NENDI</t>
  </si>
  <si>
    <t>321711060787001`9</t>
  </si>
  <si>
    <t>BANDUNG, 06/07/1987</t>
  </si>
  <si>
    <t>SAKDIYA</t>
  </si>
  <si>
    <t>MI PERLAS</t>
  </si>
  <si>
    <t>0129317013</t>
  </si>
  <si>
    <t>3217101104120016</t>
  </si>
  <si>
    <t>3217105108130006</t>
  </si>
  <si>
    <t>3217-LU-11092012-0174</t>
  </si>
  <si>
    <t>CITAPEN</t>
  </si>
  <si>
    <t>CIHAMPLAS</t>
  </si>
  <si>
    <t>PURWANTO</t>
  </si>
  <si>
    <t>3217100607660030</t>
  </si>
  <si>
    <t>BANDUNG, 06/07/1986</t>
  </si>
  <si>
    <t>3217106901930002</t>
  </si>
  <si>
    <t>BANDUNG, 29/01/1993</t>
  </si>
  <si>
    <t>SDN SADAR GALIH</t>
  </si>
  <si>
    <t>3217112501120009</t>
  </si>
  <si>
    <t>3217116701130005</t>
  </si>
  <si>
    <t>3217-LU-15122014-0285</t>
  </si>
  <si>
    <t>ACENG GUPRON</t>
  </si>
  <si>
    <t>3217110702840003</t>
  </si>
  <si>
    <t>M SUCI.N</t>
  </si>
  <si>
    <t>3217115510840002</t>
  </si>
  <si>
    <t>CIREBON, 15/10/1984</t>
  </si>
  <si>
    <t>MIS DAARUL AHKAAM</t>
  </si>
  <si>
    <t>0133863557</t>
  </si>
  <si>
    <t>3217112005240004</t>
  </si>
  <si>
    <t>3217115801130003</t>
  </si>
  <si>
    <t>3204-LU-26022013-0241</t>
  </si>
  <si>
    <t>IVAN SETIAWAN</t>
  </si>
  <si>
    <t>LILIH KURNIASIH</t>
  </si>
  <si>
    <t>3217117006801001</t>
  </si>
  <si>
    <t>BANDUNG, 30/06/1980</t>
  </si>
  <si>
    <t>3217111605120007</t>
  </si>
  <si>
    <t>3217112406120006</t>
  </si>
  <si>
    <t>3217-LU-14082012-0156</t>
  </si>
  <si>
    <t>3217110505860009</t>
  </si>
  <si>
    <t>BANDUNG, 05/05/1986</t>
  </si>
  <si>
    <t>WIDA FITRIANI</t>
  </si>
  <si>
    <t>3217114807890010</t>
  </si>
  <si>
    <t>BANDUNG, 08/07/1989</t>
  </si>
  <si>
    <t>0132674271</t>
  </si>
  <si>
    <t>3217112706060012</t>
  </si>
  <si>
    <t>3217110903130001</t>
  </si>
  <si>
    <t>3217-LU-09042013-0014</t>
  </si>
  <si>
    <t>SETIA PERMANA</t>
  </si>
  <si>
    <t>3217112204800004</t>
  </si>
  <si>
    <t>BANDUNG, 22/04/1980</t>
  </si>
  <si>
    <t>DARTI</t>
  </si>
  <si>
    <t>3217116106840009</t>
  </si>
  <si>
    <t>BANDUNG, 21/06/1984</t>
  </si>
  <si>
    <t>3217111304050834</t>
  </si>
  <si>
    <t>3217115105130002</t>
  </si>
  <si>
    <t>3217-LU-26082013-0210</t>
  </si>
  <si>
    <t>BURHAN</t>
  </si>
  <si>
    <t>3217111505740013</t>
  </si>
  <si>
    <t>BANDUNG,15/05//1974</t>
  </si>
  <si>
    <t>WIWI</t>
  </si>
  <si>
    <t>3217114502790006</t>
  </si>
  <si>
    <t>BANDUNG, 05/02/1979</t>
  </si>
  <si>
    <t>3217110810190009</t>
  </si>
  <si>
    <t>3217115211120004</t>
  </si>
  <si>
    <t>3217-LU-13122021-0057</t>
  </si>
  <si>
    <t>ASEP RIDWAN</t>
  </si>
  <si>
    <t>3217111706910004</t>
  </si>
  <si>
    <t>BANDUNG, 17/06/1991</t>
  </si>
  <si>
    <t>LIA NURAENI</t>
  </si>
  <si>
    <t>3217116906910005</t>
  </si>
  <si>
    <t>BANDUNG, 29/06/1991</t>
  </si>
  <si>
    <t>3217120908120001</t>
  </si>
  <si>
    <t>3217122051300002</t>
  </si>
  <si>
    <t>3217-LT-03092013-0126</t>
  </si>
  <si>
    <t>ENGKOS KOSASIH</t>
  </si>
  <si>
    <t>3217121002820047</t>
  </si>
  <si>
    <t>BANDUNG, 10/02/1982</t>
  </si>
  <si>
    <t>RINA SAFITRI</t>
  </si>
  <si>
    <t>3217125204930018</t>
  </si>
  <si>
    <t>BANDUNG, 12/04/2013</t>
  </si>
  <si>
    <t>3217113005080001</t>
  </si>
  <si>
    <t>3217110108120005</t>
  </si>
  <si>
    <t>3217-LU-17092012-0075</t>
  </si>
  <si>
    <t>IWAN HERMAWAN</t>
  </si>
  <si>
    <t>3217110303810022</t>
  </si>
  <si>
    <t>BANDUNG, 03/031981</t>
  </si>
  <si>
    <t>ERNA SULISTIAWATI</t>
  </si>
  <si>
    <t>3217114204890007</t>
  </si>
  <si>
    <t>BANDUNG, 02/04/1989</t>
  </si>
  <si>
    <t>0128032022</t>
  </si>
  <si>
    <t>3217111812060020</t>
  </si>
  <si>
    <t>3217112709120002</t>
  </si>
  <si>
    <t>3217-LU-30102012-0015</t>
  </si>
  <si>
    <t>KUSNANDAR</t>
  </si>
  <si>
    <t>3217112506700005</t>
  </si>
  <si>
    <t>BANDUNG, 25/06/1970</t>
  </si>
  <si>
    <t>3217114809770008</t>
  </si>
  <si>
    <t>BANDUNG, 08/09/1977</t>
  </si>
  <si>
    <t>3217110304120015</t>
  </si>
  <si>
    <t>3217111810120002</t>
  </si>
  <si>
    <t>3217-LU-30102012-0003</t>
  </si>
  <si>
    <t>ARIPIN</t>
  </si>
  <si>
    <t>3217110107860562</t>
  </si>
  <si>
    <t>BANDUNG, 01/07/1986</t>
  </si>
  <si>
    <t>DEWI PURNAMA SARI</t>
  </si>
  <si>
    <t>3217117007890006</t>
  </si>
  <si>
    <t>BANDUNG, 30/07/1989</t>
  </si>
  <si>
    <t>3217112402150019</t>
  </si>
  <si>
    <t>3217112012120007</t>
  </si>
  <si>
    <t>3217-LU-31012013-0217</t>
  </si>
  <si>
    <t>AGUS KOSWARA</t>
  </si>
  <si>
    <t>3217111510800018</t>
  </si>
  <si>
    <t>BANDUNG, 15/10/1980</t>
  </si>
  <si>
    <t>3217115508851001</t>
  </si>
  <si>
    <t>BANDUNG, 15/08/1985</t>
  </si>
  <si>
    <t>0122480099</t>
  </si>
  <si>
    <t>3204372910140010</t>
  </si>
  <si>
    <t>3204373105120002</t>
  </si>
  <si>
    <t>3217-LU-28072012-0118</t>
  </si>
  <si>
    <t>GADING TUTUKA</t>
  </si>
  <si>
    <t>CINGCIN</t>
  </si>
  <si>
    <t>SOREANG</t>
  </si>
  <si>
    <t>DAYCO ALADIN</t>
  </si>
  <si>
    <t>3276051411870009</t>
  </si>
  <si>
    <t>BETUNG, 14/11/1987</t>
  </si>
  <si>
    <t>DIPLOMA IV</t>
  </si>
  <si>
    <t>3217115904830003</t>
  </si>
  <si>
    <t>BANDNG, 07/07/1983</t>
  </si>
  <si>
    <t>3217110203120012</t>
  </si>
  <si>
    <t>3217111405130003</t>
  </si>
  <si>
    <t>3217-LU-21112014-0568</t>
  </si>
  <si>
    <t>IAN SOPIAN</t>
  </si>
  <si>
    <t>3217110707750030</t>
  </si>
  <si>
    <t>BANDUNG,07/07/1975</t>
  </si>
  <si>
    <t>ROSITA</t>
  </si>
  <si>
    <t>3217115709760001</t>
  </si>
  <si>
    <t>BANDUNG, 17/09/1976</t>
  </si>
  <si>
    <t>3202331509230003</t>
  </si>
  <si>
    <t>3217140803130005</t>
  </si>
  <si>
    <t>3217-LU-27052013-0028</t>
  </si>
  <si>
    <t>3202330703870004</t>
  </si>
  <si>
    <t>SUKABUMI, 07/03/1987</t>
  </si>
  <si>
    <t>RIA ARIANTI</t>
  </si>
  <si>
    <t>3217141005930001</t>
  </si>
  <si>
    <t>BANDUNG, 10/05/1993</t>
  </si>
  <si>
    <t>0133779359</t>
  </si>
  <si>
    <t>3217111304056345</t>
  </si>
  <si>
    <t>3217114411130002</t>
  </si>
  <si>
    <t>3217-LT-21012014-0043</t>
  </si>
  <si>
    <t>DADAN SOPANDI</t>
  </si>
  <si>
    <t>32171101107730142</t>
  </si>
  <si>
    <t>BANDUNG, 01/07/1973</t>
  </si>
  <si>
    <t>PIPIN SUHARTINI</t>
  </si>
  <si>
    <t>321715507820002</t>
  </si>
  <si>
    <t>BANDUNG, 15/07/1982</t>
  </si>
  <si>
    <t>3217112908120016</t>
  </si>
  <si>
    <t>3217115312120002</t>
  </si>
  <si>
    <t>3217-LU-31012013-0200</t>
  </si>
  <si>
    <t>3217113009770003</t>
  </si>
  <si>
    <t>BANDUNG, 30/09/1977</t>
  </si>
  <si>
    <t>3217114810920002</t>
  </si>
  <si>
    <t>BANDUNG, 08/10/1992</t>
  </si>
  <si>
    <t>3217-LT-29982912-0098</t>
  </si>
  <si>
    <t>CIDADAP</t>
  </si>
  <si>
    <t>SOLIHIN HIDAYAT</t>
  </si>
  <si>
    <t>3217050107940208</t>
  </si>
  <si>
    <t>BANDUNG, 04/10/1994</t>
  </si>
  <si>
    <t>NISMI AZIZAH</t>
  </si>
  <si>
    <t>3217045808920016</t>
  </si>
  <si>
    <t>321714021120019</t>
  </si>
  <si>
    <t>32171145803150002</t>
  </si>
  <si>
    <t>3217-LU-05042013-0072</t>
  </si>
  <si>
    <t>CENDRI PERMANA</t>
  </si>
  <si>
    <t>321714070890009</t>
  </si>
  <si>
    <t>BANDUNG.07/08/1990</t>
  </si>
  <si>
    <t>PUJIAWATI</t>
  </si>
  <si>
    <t>3217146502930005</t>
  </si>
  <si>
    <t>BANDUNG, 08/04/1992</t>
  </si>
  <si>
    <t>3217110512070010</t>
  </si>
  <si>
    <t>3217116608120003</t>
  </si>
  <si>
    <t>3217-LT-15092017-2013</t>
  </si>
  <si>
    <t>YONO</t>
  </si>
  <si>
    <t>3217111007790021</t>
  </si>
  <si>
    <t>BANDUNG, 10/07/1979</t>
  </si>
  <si>
    <t>3217116708840010</t>
  </si>
  <si>
    <t>BANDUNG, 27/08/1984</t>
  </si>
  <si>
    <t>0134327448</t>
  </si>
  <si>
    <t>3217112006120010</t>
  </si>
  <si>
    <t>3217115505130005</t>
  </si>
  <si>
    <t>3217-LU-26082013-0153</t>
  </si>
  <si>
    <t>ANTON MAYONG</t>
  </si>
  <si>
    <t>3217112109820005</t>
  </si>
  <si>
    <t>BANDUNG,21/09/1982</t>
  </si>
  <si>
    <t>ERNA LAELASARI</t>
  </si>
  <si>
    <t>3217114909900007</t>
  </si>
  <si>
    <t>BANDUNG, 09/09/1990</t>
  </si>
  <si>
    <t>3217123108200003</t>
  </si>
  <si>
    <t>3217122710120002</t>
  </si>
  <si>
    <t>3217-LU-26122012-0113</t>
  </si>
  <si>
    <t>SUJIYANTO</t>
  </si>
  <si>
    <t>SANIAH H</t>
  </si>
  <si>
    <t>MIS KHOERUNNI'MAH</t>
  </si>
  <si>
    <t>0124343577</t>
  </si>
  <si>
    <t>3217122109160004</t>
  </si>
  <si>
    <t>3217121605110001</t>
  </si>
  <si>
    <t>3217-LU-26072012-0176</t>
  </si>
  <si>
    <t>BURHAN SOVIANA</t>
  </si>
  <si>
    <t>3217120311860003</t>
  </si>
  <si>
    <t>BANDUNG,02/11/1986</t>
  </si>
  <si>
    <t>MIA YULIA ROSMIATI</t>
  </si>
  <si>
    <t>3217126907890002</t>
  </si>
  <si>
    <t>BANDUNG,29/07/1989</t>
  </si>
  <si>
    <t>F89439</t>
  </si>
  <si>
    <t>3217121305160007</t>
  </si>
  <si>
    <t>3204152409120005</t>
  </si>
  <si>
    <t>3204-LT-04012013-0133</t>
  </si>
  <si>
    <t>AJANG SOLIHIN</t>
  </si>
  <si>
    <t>320415912760009</t>
  </si>
  <si>
    <t>BANDUNG, 09/12/1976</t>
  </si>
  <si>
    <t>RINI</t>
  </si>
  <si>
    <t>SDN PASIR AJAG</t>
  </si>
  <si>
    <t>3217120509120110</t>
  </si>
  <si>
    <t>3217122702120006</t>
  </si>
  <si>
    <t>3217-LT-09112017-1725</t>
  </si>
  <si>
    <t>DIAN</t>
  </si>
  <si>
    <t>3217121009840010</t>
  </si>
  <si>
    <t>BANDUNG, 10/09/1984</t>
  </si>
  <si>
    <t>ROSIDAH</t>
  </si>
  <si>
    <t>3217125012840026</t>
  </si>
  <si>
    <t>BANDUNG,10/12/1984</t>
  </si>
  <si>
    <t>3217121609120131</t>
  </si>
  <si>
    <t>3217122304130001</t>
  </si>
  <si>
    <t>3217-LT-03102013-0096</t>
  </si>
  <si>
    <t>3217121711840007</t>
  </si>
  <si>
    <t>BANDUNG, 17/11/1984</t>
  </si>
  <si>
    <t>3217125108920011</t>
  </si>
  <si>
    <t>BANDUNG, 11/08/1992</t>
  </si>
  <si>
    <t>SDN PASIRAJAG</t>
  </si>
  <si>
    <t>32171217190007</t>
  </si>
  <si>
    <t>3217121711120002</t>
  </si>
  <si>
    <t>3217-LU-31012013-0370</t>
  </si>
  <si>
    <t>3172011604831001</t>
  </si>
  <si>
    <t>BANDUNG,16/04/1983</t>
  </si>
  <si>
    <t>317201511170011</t>
  </si>
  <si>
    <t>JAKARTA,11/11/1977</t>
  </si>
  <si>
    <t>3217120608240011</t>
  </si>
  <si>
    <t>3217122211120004</t>
  </si>
  <si>
    <t>3217-LU-31012013-0372</t>
  </si>
  <si>
    <t>ROBAN</t>
  </si>
  <si>
    <t>SITI NURSOLIHAH</t>
  </si>
  <si>
    <t>3217126608930006</t>
  </si>
  <si>
    <t>BANDUNG,26/08/1994</t>
  </si>
  <si>
    <t>3217121609120043</t>
  </si>
  <si>
    <t>3217120310120001</t>
  </si>
  <si>
    <t>3217-LU-22102012-0023</t>
  </si>
  <si>
    <t>BOJONG SEMPUR</t>
  </si>
  <si>
    <t>IWAN SANUSI</t>
  </si>
  <si>
    <t>3217120110890011</t>
  </si>
  <si>
    <t>KARAWANG, 01/10/1989</t>
  </si>
  <si>
    <t>CUCU SANTIKA ASPIANTI</t>
  </si>
  <si>
    <t>3217125206920012</t>
  </si>
  <si>
    <t>BANDUNG, 12/06/1992</t>
  </si>
  <si>
    <t>0129780163</t>
  </si>
  <si>
    <t>3217111704130014</t>
  </si>
  <si>
    <t>3217112509120002</t>
  </si>
  <si>
    <t>3217-LT-22052013-0078</t>
  </si>
  <si>
    <t>DADANG SURYANA</t>
  </si>
  <si>
    <t>3217111212530016</t>
  </si>
  <si>
    <t>CILILIN, 12/12/1983</t>
  </si>
  <si>
    <t>SRI RAHAYU</t>
  </si>
  <si>
    <t>3217114303880011</t>
  </si>
  <si>
    <t>BANDUNG,03/03/1988</t>
  </si>
  <si>
    <t>0129711484</t>
  </si>
  <si>
    <t>3217120810090061</t>
  </si>
  <si>
    <t>3217125209120001</t>
  </si>
  <si>
    <t>3217-LT-27102017-0970</t>
  </si>
  <si>
    <t>DADAN HAMDAN</t>
  </si>
  <si>
    <t>3217121106740015</t>
  </si>
  <si>
    <t>BANDUNG, 11/06/1974</t>
  </si>
  <si>
    <t>ESTU ROHMATING TIAS</t>
  </si>
  <si>
    <t>3217125912880005</t>
  </si>
  <si>
    <t>BANDUNG, 19-12/1988</t>
  </si>
  <si>
    <t>3217-LU-02102012-0031</t>
  </si>
  <si>
    <t>3217121704053565</t>
  </si>
  <si>
    <t>3217125007120003</t>
  </si>
  <si>
    <t>3217-LT-28092017-1115</t>
  </si>
  <si>
    <t>WAHYU HIDAYAT</t>
  </si>
  <si>
    <t>3217123112760001</t>
  </si>
  <si>
    <t>BANDUNG,05/07/1976</t>
  </si>
  <si>
    <t>ENTIN</t>
  </si>
  <si>
    <t>3217124101800003</t>
  </si>
  <si>
    <t>BANDUNG, 13/10/1980</t>
  </si>
  <si>
    <t>3217121607120080</t>
  </si>
  <si>
    <t>3217124902130006</t>
  </si>
  <si>
    <t>3217-LU-08042013-0122</t>
  </si>
  <si>
    <t>ADE MAHMUDIN</t>
  </si>
  <si>
    <t>3217120504760019</t>
  </si>
  <si>
    <t>BANDUNG,05/04/1976</t>
  </si>
  <si>
    <t>3217126802840007</t>
  </si>
  <si>
    <t>BANDUNG, 28/03/1984</t>
  </si>
  <si>
    <t>3217121704053568</t>
  </si>
  <si>
    <t>3217121405120001</t>
  </si>
  <si>
    <t>3217-LT-18092012-0072</t>
  </si>
  <si>
    <t>OMAN FIRMAN</t>
  </si>
  <si>
    <t>3217122808750001</t>
  </si>
  <si>
    <t>BANDUNG, 28/08/1975</t>
  </si>
  <si>
    <t>EUIS SUMARNI</t>
  </si>
  <si>
    <t>3217125109790001</t>
  </si>
  <si>
    <t>BANDUNG, 11/09/1979</t>
  </si>
  <si>
    <t>3217120205070019</t>
  </si>
  <si>
    <t>3217121811110003</t>
  </si>
  <si>
    <t>3217-LU-03012013-0137</t>
  </si>
  <si>
    <t>3217122109840004</t>
  </si>
  <si>
    <t>BANDUNG.21/09/1984</t>
  </si>
  <si>
    <t>YANAH</t>
  </si>
  <si>
    <t>3217125011840011</t>
  </si>
  <si>
    <t>BANDUNG,10/11/1984</t>
  </si>
  <si>
    <t>F19N3X</t>
  </si>
  <si>
    <t>3217122107120017</t>
  </si>
  <si>
    <t>3217--LT-20102016-0153</t>
  </si>
  <si>
    <t>3217120305800066</t>
  </si>
  <si>
    <t>BANDUNG, 03/05/1980</t>
  </si>
  <si>
    <t>NENEG SYARIFAH</t>
  </si>
  <si>
    <t>3217125003890029</t>
  </si>
  <si>
    <t>BANDUNG, 10/03/1989</t>
  </si>
  <si>
    <t>3217120202060105</t>
  </si>
  <si>
    <t>3217121106130001</t>
  </si>
  <si>
    <t>3217-LT-17102017-1363</t>
  </si>
  <si>
    <t>HERI SURYANA</t>
  </si>
  <si>
    <t>3217120810790001</t>
  </si>
  <si>
    <t>BANDUNG,30/12/1983</t>
  </si>
  <si>
    <t>3217125607860004</t>
  </si>
  <si>
    <t>BANDUNG, 16/07/1986</t>
  </si>
  <si>
    <t>321712210120015</t>
  </si>
  <si>
    <t>3217122607130001</t>
  </si>
  <si>
    <t>3217-LU-28102013-0072</t>
  </si>
  <si>
    <t>ANDRI AFFANDI</t>
  </si>
  <si>
    <t>3217121106920012</t>
  </si>
  <si>
    <t>BANDUNG, 11/06/1992</t>
  </si>
  <si>
    <t>WIWI SARI NINGSIH</t>
  </si>
  <si>
    <t>3217125006950013</t>
  </si>
  <si>
    <t>BANDUNG, 10/06/1995</t>
  </si>
  <si>
    <t>3217121609120056</t>
  </si>
  <si>
    <t>3217120910120005</t>
  </si>
  <si>
    <t>3217-LU-30102012-0028</t>
  </si>
  <si>
    <t>DUDI MADIYANA</t>
  </si>
  <si>
    <t>3217122403850010</t>
  </si>
  <si>
    <t>BANDUNG, 24/03/1985</t>
  </si>
  <si>
    <t>ERNA HERLINA</t>
  </si>
  <si>
    <t>3217126404850010</t>
  </si>
  <si>
    <t>BANDUNG, 24/04/1985</t>
  </si>
  <si>
    <t>0129112575</t>
  </si>
  <si>
    <t>3217122712180005</t>
  </si>
  <si>
    <t>3217126812120003</t>
  </si>
  <si>
    <t>3217-LT-29092017-0975</t>
  </si>
  <si>
    <t>KIKI KOSWARA</t>
  </si>
  <si>
    <t>3204112812870008</t>
  </si>
  <si>
    <t>BANDUNG,28/12/1987</t>
  </si>
  <si>
    <t>3217126505930009</t>
  </si>
  <si>
    <t>BANDUNG, 25/05/1993</t>
  </si>
  <si>
    <t>3217120804080101</t>
  </si>
  <si>
    <t>3217124310120001</t>
  </si>
  <si>
    <t>3217-LU-23102012-0055</t>
  </si>
  <si>
    <t>3217121707820018</t>
  </si>
  <si>
    <t>BANDUNG, 17/07/1982</t>
  </si>
  <si>
    <t>3217125508850036</t>
  </si>
  <si>
    <t>3217120704080146</t>
  </si>
  <si>
    <t>3217126903130001</t>
  </si>
  <si>
    <t>3217-LU-21052013-0011</t>
  </si>
  <si>
    <t>TONI</t>
  </si>
  <si>
    <t>3217120909720009</t>
  </si>
  <si>
    <t>BANDUNG,09/09/1972</t>
  </si>
  <si>
    <t>3217124510760015</t>
  </si>
  <si>
    <t>3217120509120074</t>
  </si>
  <si>
    <t>3217125704130001</t>
  </si>
  <si>
    <t>3217-LU-28052013-0220</t>
  </si>
  <si>
    <t>DEDI AJIS</t>
  </si>
  <si>
    <t>NENGSIH</t>
  </si>
  <si>
    <t>3217126504750002</t>
  </si>
  <si>
    <t>GARUT, 28/04/1978</t>
  </si>
  <si>
    <t>0121640684</t>
  </si>
  <si>
    <t>3217121506120013</t>
  </si>
  <si>
    <t>3217126910120002</t>
  </si>
  <si>
    <t>3217-LU-26122012-0114</t>
  </si>
  <si>
    <t>OMAN SOMANTRI</t>
  </si>
  <si>
    <t>3217120101860046</t>
  </si>
  <si>
    <t>BANDUNG, 01/01/1986</t>
  </si>
  <si>
    <t>DEUIS SITI NURAENI</t>
  </si>
  <si>
    <t>3217124409940006</t>
  </si>
  <si>
    <t>BANDUNG,04/09/1994</t>
  </si>
  <si>
    <t>3217121607120046</t>
  </si>
  <si>
    <t>3217125207120003</t>
  </si>
  <si>
    <t>3217-LU-17092012-0003</t>
  </si>
  <si>
    <t>DARMAN</t>
  </si>
  <si>
    <t>3217120408770022</t>
  </si>
  <si>
    <t>BANDUNG, 04/08/1977</t>
  </si>
  <si>
    <t>IMAS JUARIAH</t>
  </si>
  <si>
    <t>3217124808790030</t>
  </si>
  <si>
    <t>BANDUNG, 08/08/1979</t>
  </si>
  <si>
    <t>0122897986</t>
  </si>
  <si>
    <t>3217122406120001</t>
  </si>
  <si>
    <t>3217124212120003</t>
  </si>
  <si>
    <t>3217-LU-03012013-0141</t>
  </si>
  <si>
    <t>3217122611820001</t>
  </si>
  <si>
    <t>BANDUNG, 26/11/1982</t>
  </si>
  <si>
    <t>3217124407920002</t>
  </si>
  <si>
    <t>BANDUNG, 04/07/1992</t>
  </si>
  <si>
    <t>3217121005230003</t>
  </si>
  <si>
    <t>3217122310110006</t>
  </si>
  <si>
    <t>MEKARSALUYU</t>
  </si>
  <si>
    <t>YOYOH</t>
  </si>
  <si>
    <t>321124607730023</t>
  </si>
  <si>
    <t>BANDUNG, 06/07/1973</t>
  </si>
  <si>
    <t>0135435538</t>
  </si>
  <si>
    <t>3217120704080023</t>
  </si>
  <si>
    <t>3217120308130001</t>
  </si>
  <si>
    <t>3217-LU-08102013-0257</t>
  </si>
  <si>
    <t>AHMAD SOBIRIN</t>
  </si>
  <si>
    <t>3217120107860557</t>
  </si>
  <si>
    <t>MARLINDA</t>
  </si>
  <si>
    <t>3217124808890025</t>
  </si>
  <si>
    <t>BANDUNG, 08/08/1989</t>
  </si>
  <si>
    <t>3217121609120055</t>
  </si>
  <si>
    <t>3217122211120006</t>
  </si>
  <si>
    <t>3217-LU-10012013-0065</t>
  </si>
  <si>
    <t>NANA SURYANA</t>
  </si>
  <si>
    <t>[3217122212830007</t>
  </si>
  <si>
    <t>CIAMIS, 22/12/1983</t>
  </si>
  <si>
    <t>WINARTI</t>
  </si>
  <si>
    <t>3217124202870025</t>
  </si>
  <si>
    <t>BANDUNG, 02/02/1987</t>
  </si>
  <si>
    <t>3217121704052550</t>
  </si>
  <si>
    <t>3217124803790001</t>
  </si>
  <si>
    <t>3217-LU-05042013-0138</t>
  </si>
  <si>
    <t>GUNGUN</t>
  </si>
  <si>
    <t>3217121007740002</t>
  </si>
  <si>
    <t>BANDUNG, 10/07/1974</t>
  </si>
  <si>
    <t>IDAH</t>
  </si>
  <si>
    <t>32171248033790001</t>
  </si>
  <si>
    <t>BANDUNG,08/03/1979</t>
  </si>
  <si>
    <t>3217121004120002</t>
  </si>
  <si>
    <t>3217125504130000</t>
  </si>
  <si>
    <t>3217-LU-10062013-0096</t>
  </si>
  <si>
    <t>ABDUL LATIF</t>
  </si>
  <si>
    <t>3217121008740015</t>
  </si>
  <si>
    <t>BANDUNG,10/08/1974</t>
  </si>
  <si>
    <t>3217116712860005</t>
  </si>
  <si>
    <t>BANDUNG, 27/12/1986</t>
  </si>
  <si>
    <t>3217122906220011</t>
  </si>
  <si>
    <t>3217124802130003</t>
  </si>
  <si>
    <t>3217-LU-05042013-0139</t>
  </si>
  <si>
    <t>WIWIN WINDAYANA</t>
  </si>
  <si>
    <t>3217121404800018</t>
  </si>
  <si>
    <t>BANDUNG, 14/04/1980</t>
  </si>
  <si>
    <t>3217124910840014</t>
  </si>
  <si>
    <t>BANDUNG, 09/10/1984</t>
  </si>
  <si>
    <t>3217121607120083</t>
  </si>
  <si>
    <t>3217122812120001</t>
  </si>
  <si>
    <t>APUN</t>
  </si>
  <si>
    <t>3217120107720230</t>
  </si>
  <si>
    <t>BANDUNG, 01/07/1972</t>
  </si>
  <si>
    <t>ERAH HERAWATI</t>
  </si>
  <si>
    <t>3217124404770010</t>
  </si>
  <si>
    <t>BANDUNG, 04/04/1977</t>
  </si>
  <si>
    <t>3217122908120002</t>
  </si>
  <si>
    <t>3217120511120003</t>
  </si>
  <si>
    <t>3217-LU-04122012-0053</t>
  </si>
  <si>
    <t>DEDE SUTIANA</t>
  </si>
  <si>
    <t>3217120707750036</t>
  </si>
  <si>
    <t>BANDUNG, 07/07/1987</t>
  </si>
  <si>
    <t>CICI TRISNAWATI</t>
  </si>
  <si>
    <t>3217124107840446</t>
  </si>
  <si>
    <t>BANDUNG, 01/07/1984</t>
  </si>
  <si>
    <t>3217121006120052</t>
  </si>
  <si>
    <t>3217122108120001</t>
  </si>
  <si>
    <t>3217-LT-28092017-1056</t>
  </si>
  <si>
    <t>RIZAL MAULANA</t>
  </si>
  <si>
    <t>3217121405930002</t>
  </si>
  <si>
    <t>BANDUNG, 14/05/1993</t>
  </si>
  <si>
    <t>EVA ELIA</t>
  </si>
  <si>
    <t>3217126309920009</t>
  </si>
  <si>
    <t>BANDUNG, 23/09/1992</t>
  </si>
  <si>
    <t>3217121206130041</t>
  </si>
  <si>
    <t>3217120407120002</t>
  </si>
  <si>
    <t>3217-LU-21092012-0014</t>
  </si>
  <si>
    <t>DINAN</t>
  </si>
  <si>
    <t>3217120307880015</t>
  </si>
  <si>
    <t>BANDUNG, 03/071988</t>
  </si>
  <si>
    <t>ASRIYAH</t>
  </si>
  <si>
    <t>3217125412910001</t>
  </si>
  <si>
    <t>BANYUMAS, 14/12/1991</t>
  </si>
  <si>
    <t>32175032112111047</t>
  </si>
  <si>
    <t>3175031706121011</t>
  </si>
  <si>
    <t>3217-LU-28082012-0036</t>
  </si>
  <si>
    <t>BUDI DANASKUSWARA</t>
  </si>
  <si>
    <t>3175030404820008</t>
  </si>
  <si>
    <t>JAKARTA, 04/04/1982</t>
  </si>
  <si>
    <t>3175034111881001</t>
  </si>
  <si>
    <t>BANDUNG, 01/11/1988</t>
  </si>
  <si>
    <t>3217120311140011</t>
  </si>
  <si>
    <t>3217112712120001</t>
  </si>
  <si>
    <t>3217-LU-31012013-0256</t>
  </si>
  <si>
    <t>SAMSUDIN</t>
  </si>
  <si>
    <t>3217113009880005</t>
  </si>
  <si>
    <t>BANDUNG,30/09/1988</t>
  </si>
  <si>
    <t>3217116605890005</t>
  </si>
  <si>
    <t>BANDUNG, 26/05/1989</t>
  </si>
  <si>
    <t>3217122012050118</t>
  </si>
  <si>
    <t>3217124203130001</t>
  </si>
  <si>
    <t>3217-LU-15042013-0033</t>
  </si>
  <si>
    <t>ASEP RUSTANDI</t>
  </si>
  <si>
    <t>3217120906770006</t>
  </si>
  <si>
    <t>BANDUNG,09/08/1977</t>
  </si>
  <si>
    <t>AISAH</t>
  </si>
  <si>
    <t>3217124903850006</t>
  </si>
  <si>
    <t>CIPONGKOR,09/03/1985</t>
  </si>
  <si>
    <t>3217120101080103</t>
  </si>
  <si>
    <t>3217126805130001</t>
  </si>
  <si>
    <t>3217-LU-10072013-0092</t>
  </si>
  <si>
    <t>DEDE ISNANDAR</t>
  </si>
  <si>
    <t>3217121503750030</t>
  </si>
  <si>
    <t>BANDUNG/15/03/1975</t>
  </si>
  <si>
    <t>KOMARIAH</t>
  </si>
  <si>
    <t>3217125112780011</t>
  </si>
  <si>
    <t>BANDUNG,11/12/1978</t>
  </si>
  <si>
    <t>3217121111110019</t>
  </si>
  <si>
    <t>3217125301130004</t>
  </si>
  <si>
    <t>2415/UMUM/2013</t>
  </si>
  <si>
    <t>HASANUDIN</t>
  </si>
  <si>
    <t>3217121806760008</t>
  </si>
  <si>
    <t>BANDUNG, 18/06/1976</t>
  </si>
  <si>
    <t>ADE AMINAH</t>
  </si>
  <si>
    <t>3217125209800022</t>
  </si>
  <si>
    <t>BANDUNG, 12/09/1980</t>
  </si>
  <si>
    <t>3217121607120103</t>
  </si>
  <si>
    <t>3217125505130008</t>
  </si>
  <si>
    <t>3217-LU-31052013-0210</t>
  </si>
  <si>
    <t>ISAN PURNAMA</t>
  </si>
  <si>
    <t>3217122910890001</t>
  </si>
  <si>
    <t>BANDUNG,29/10/1989</t>
  </si>
  <si>
    <t>SITI YUNIARTI</t>
  </si>
  <si>
    <t>3217126306940008</t>
  </si>
  <si>
    <t>BANDUNG, 23/08/1994</t>
  </si>
  <si>
    <t>3217121411160003</t>
  </si>
  <si>
    <t>3217125509120003</t>
  </si>
  <si>
    <t>3217-LU-02102012-0029</t>
  </si>
  <si>
    <t>ASEP AHMAD</t>
  </si>
  <si>
    <t>3217124202940016</t>
  </si>
  <si>
    <t>BANDUNG, 02/02/1994</t>
  </si>
  <si>
    <t>F86S24</t>
  </si>
  <si>
    <t>0134544050</t>
  </si>
  <si>
    <t>3217120210120038</t>
  </si>
  <si>
    <t>3217126405130004</t>
  </si>
  <si>
    <t>3217-LU-2502013-0022</t>
  </si>
  <si>
    <t>SUNARYA</t>
  </si>
  <si>
    <t>3217122507850017</t>
  </si>
  <si>
    <t>GARUT, 25/07/1985</t>
  </si>
  <si>
    <t>EVA SANTIKA</t>
  </si>
  <si>
    <t>3217124407930001</t>
  </si>
  <si>
    <t>BANDUNG, 04/07/1993</t>
  </si>
  <si>
    <t>3217120504100036</t>
  </si>
  <si>
    <t>3217126306130002</t>
  </si>
  <si>
    <t>3217-LT-30112013-0251</t>
  </si>
  <si>
    <t>RIKI HERMAWAN</t>
  </si>
  <si>
    <t>LIA RAHMAWATI</t>
  </si>
  <si>
    <t>3217121906190008</t>
  </si>
  <si>
    <t>3173076704121008</t>
  </si>
  <si>
    <t>ATIEM ROHADI</t>
  </si>
  <si>
    <t>3173071406761001</t>
  </si>
  <si>
    <t>BANDUNG, 14/08/1976</t>
  </si>
  <si>
    <t>INDAH YANI</t>
  </si>
  <si>
    <t>3173074908900002</t>
  </si>
  <si>
    <t>BANGKALAN, 09/08/1990</t>
  </si>
  <si>
    <t>0129538017</t>
  </si>
  <si>
    <t>3217121109240001</t>
  </si>
  <si>
    <t>3217126612120001</t>
  </si>
  <si>
    <t>3217-LU-23012013-0183</t>
  </si>
  <si>
    <t>DASEP</t>
  </si>
  <si>
    <t>DEDEH ROHAYATI</t>
  </si>
  <si>
    <t>3211266117200005</t>
  </si>
  <si>
    <t>BANDUNG, 26/11/1972</t>
  </si>
  <si>
    <t>F93GYP</t>
  </si>
  <si>
    <t>0124934978</t>
  </si>
  <si>
    <t>3217141504051600</t>
  </si>
  <si>
    <t>3217141906120002</t>
  </si>
  <si>
    <t>3217-LU-31082012-0090</t>
  </si>
  <si>
    <t>MI-25 120121337</t>
  </si>
  <si>
    <t>BUNIJAYA</t>
  </si>
  <si>
    <t>SURYANA</t>
  </si>
  <si>
    <t>3217140101750003</t>
  </si>
  <si>
    <t>BANDUNG, 01/01/1975</t>
  </si>
  <si>
    <t>SITI ROSIDAH</t>
  </si>
  <si>
    <t>3217145404800003</t>
  </si>
  <si>
    <t>3217110204200009</t>
  </si>
  <si>
    <t>3217125512120003</t>
  </si>
  <si>
    <t>3217-LU-15012013-0024</t>
  </si>
  <si>
    <t>CISELUN</t>
  </si>
  <si>
    <t>TATANG ABDULOH</t>
  </si>
  <si>
    <t>3217121608910007</t>
  </si>
  <si>
    <t>BANDUNG, 16/08/1991</t>
  </si>
  <si>
    <t>DEWI HERAWATI</t>
  </si>
  <si>
    <t>3217125202900013</t>
  </si>
  <si>
    <t>BANDUNG, 12/02/1990</t>
  </si>
  <si>
    <t>3217120708120003</t>
  </si>
  <si>
    <t>3217120604130003</t>
  </si>
  <si>
    <t>3217-LU-21052013-0078</t>
  </si>
  <si>
    <t>CACA</t>
  </si>
  <si>
    <t>3217123007740002</t>
  </si>
  <si>
    <t>BANDUNG, 30/07/1974</t>
  </si>
  <si>
    <t>ENUR HALIMAH</t>
  </si>
  <si>
    <t>3217124602930015</t>
  </si>
  <si>
    <t>BANDUNG,06/02/1993</t>
  </si>
  <si>
    <t>0134914613</t>
  </si>
  <si>
    <t>3217122910180007</t>
  </si>
  <si>
    <t>3217122601130001</t>
  </si>
  <si>
    <t>3217-LU-12022013-0031</t>
  </si>
  <si>
    <t>RESTA ROMADANI</t>
  </si>
  <si>
    <t>3277010805860009</t>
  </si>
  <si>
    <t>NINING NINGRUM</t>
  </si>
  <si>
    <t>3277014203890006</t>
  </si>
  <si>
    <t>BANDUNG, 02/13/1989</t>
  </si>
  <si>
    <t>3128819447</t>
  </si>
  <si>
    <t>3217121111200010</t>
  </si>
  <si>
    <t>3217126909120003</t>
  </si>
  <si>
    <t>3217-LT-16012013-0004</t>
  </si>
  <si>
    <t>3217120508870013</t>
  </si>
  <si>
    <t>BANDUNG, 05/08/1987</t>
  </si>
  <si>
    <t>IRA RAHMAWATI</t>
  </si>
  <si>
    <t>3217126408920003</t>
  </si>
  <si>
    <t>BANDUNG, 24/08/1992</t>
  </si>
  <si>
    <t>SDN 2 CICANGKANGHILIR</t>
  </si>
  <si>
    <t>0133999662</t>
  </si>
  <si>
    <t>3217121110120029</t>
  </si>
  <si>
    <t>3217124901130004</t>
  </si>
  <si>
    <t>3217-LU-29012013-0031</t>
  </si>
  <si>
    <t>JALUPANG</t>
  </si>
  <si>
    <t>RIKI SALEH NAHARUDIN</t>
  </si>
  <si>
    <t>3217121807850003</t>
  </si>
  <si>
    <t>BANDUNG, 18/07/1986</t>
  </si>
  <si>
    <t>RIRI PUTRI</t>
  </si>
  <si>
    <t>3217125903930013</t>
  </si>
  <si>
    <t>BANDUNG, 19/03/1993</t>
  </si>
  <si>
    <t>0122904204</t>
  </si>
  <si>
    <t>3217121911070199</t>
  </si>
  <si>
    <t>3217125106120002</t>
  </si>
  <si>
    <t>3217-LU-28082012-0034</t>
  </si>
  <si>
    <t>WAWAN RUSWANDI</t>
  </si>
  <si>
    <t>3217120511810014</t>
  </si>
  <si>
    <t>BANDUNG,05/11/1981</t>
  </si>
  <si>
    <t>3217126704860006</t>
  </si>
  <si>
    <t>BANDUNG,27/04/1986</t>
  </si>
  <si>
    <t>3217121602150001</t>
  </si>
  <si>
    <t>3217121703130005</t>
  </si>
  <si>
    <t>3217-LT-24072013-0079</t>
  </si>
  <si>
    <t>3217111504700011</t>
  </si>
  <si>
    <t>BANDUNG, 18/04/1970</t>
  </si>
  <si>
    <t>SUSILAWATI</t>
  </si>
  <si>
    <t>3217116505790012</t>
  </si>
  <si>
    <t>BANDUNG, 25/05/1979</t>
  </si>
  <si>
    <t>0127102954</t>
  </si>
  <si>
    <t>3217120803170012</t>
  </si>
  <si>
    <t>3217124308120003</t>
  </si>
  <si>
    <t>3217-LU-17092012-0007</t>
  </si>
  <si>
    <t>ENDANG</t>
  </si>
  <si>
    <t>NENGSIH SUHARMINI</t>
  </si>
  <si>
    <t>3217124405830026</t>
  </si>
  <si>
    <t>BANDUNG, 01/04/1981</t>
  </si>
  <si>
    <t>3217120203120030</t>
  </si>
  <si>
    <t>3217121605120003</t>
  </si>
  <si>
    <t>3217-LT-16082022-0182</t>
  </si>
  <si>
    <t>ASEP HERMAWAN</t>
  </si>
  <si>
    <t>3217120204850041</t>
  </si>
  <si>
    <t>BANDUNG, 02/04/1985</t>
  </si>
  <si>
    <t>EFA MARDIANI</t>
  </si>
  <si>
    <t>3217126808940007</t>
  </si>
  <si>
    <t>BANDUNG, 28/08/1994</t>
  </si>
  <si>
    <t>0129569068</t>
  </si>
  <si>
    <t>3217120109120008</t>
  </si>
  <si>
    <t>3217122611120001</t>
  </si>
  <si>
    <t>3217-LU-03012013-0139</t>
  </si>
  <si>
    <t>HARDIANTO</t>
  </si>
  <si>
    <t>3217120702750012</t>
  </si>
  <si>
    <t>JAKARTA, 07/02/1975</t>
  </si>
  <si>
    <t>RIIKA SARTIKA</t>
  </si>
  <si>
    <t>3217124205770012</t>
  </si>
  <si>
    <t>BANDUNG,02/05/1977</t>
  </si>
  <si>
    <t>0136922512</t>
  </si>
  <si>
    <t>3217121106200012</t>
  </si>
  <si>
    <t>3217110701130007</t>
  </si>
  <si>
    <t>3217-LU-29102013-0030</t>
  </si>
  <si>
    <t>JALAN CAGAK</t>
  </si>
  <si>
    <t>HENDRIK HERDIANSYAH</t>
  </si>
  <si>
    <t>3217111109900004</t>
  </si>
  <si>
    <t>BANDUNG, 11/09/1990</t>
  </si>
  <si>
    <t>DEWI SINTA</t>
  </si>
  <si>
    <t>3217114802930007</t>
  </si>
  <si>
    <t>BANDUNG, 08/02/1993</t>
  </si>
  <si>
    <t>3217111407060009</t>
  </si>
  <si>
    <t>3217112209120005</t>
  </si>
  <si>
    <t>3217112408730001</t>
  </si>
  <si>
    <t>BANDUNG, 24/08/1973</t>
  </si>
  <si>
    <t>3217114107800618</t>
  </si>
  <si>
    <t>BANDUNG, 01/07/1980</t>
  </si>
  <si>
    <t>0123260818</t>
  </si>
  <si>
    <t>3217111008090002</t>
  </si>
  <si>
    <t>3217111707120001</t>
  </si>
  <si>
    <t>3217110407780014</t>
  </si>
  <si>
    <t>BANDUNG, 04/07/1978</t>
  </si>
  <si>
    <t>3217116505910003</t>
  </si>
  <si>
    <t>BANDUNG, 25/05/1991</t>
  </si>
  <si>
    <t>3126753723</t>
  </si>
  <si>
    <t>3217112805070025</t>
  </si>
  <si>
    <t>3217112006120001</t>
  </si>
  <si>
    <t>3217-LU-14082012-0155</t>
  </si>
  <si>
    <t>3217110206760016</t>
  </si>
  <si>
    <t>BANDUNG, 02/06/1976</t>
  </si>
  <si>
    <t>3217114407760007</t>
  </si>
  <si>
    <t>BANDUNG, 04/07/1976</t>
  </si>
  <si>
    <t>3273052610170002</t>
  </si>
  <si>
    <t>3217140502120004</t>
  </si>
  <si>
    <t>SEPUDIN</t>
  </si>
  <si>
    <t>3273052409670002</t>
  </si>
  <si>
    <t>BANDUNG, 24/09/1967</t>
  </si>
  <si>
    <t>NENG KURNIA</t>
  </si>
  <si>
    <t>3217145909820006</t>
  </si>
  <si>
    <t>BANDUNG, 19/09/1982</t>
  </si>
  <si>
    <t>0135783866</t>
  </si>
  <si>
    <t>3217112804060015</t>
  </si>
  <si>
    <t>3217115702120003</t>
  </si>
  <si>
    <t>3217-LU-10042013-0011</t>
  </si>
  <si>
    <t>WIJANG HUDAYA</t>
  </si>
  <si>
    <t>3217114312930003</t>
  </si>
  <si>
    <t>BANDUNG, 03/12/1993</t>
  </si>
  <si>
    <t>0127932827</t>
  </si>
  <si>
    <t>3217111001220002</t>
  </si>
  <si>
    <t>3671032305120004</t>
  </si>
  <si>
    <t>BUNYAN SYARIF PERMANA PUTRA</t>
  </si>
  <si>
    <t>NIA AMELIA</t>
  </si>
  <si>
    <t>3671034606840007</t>
  </si>
  <si>
    <t>BANDUNG, 06/06/1984</t>
  </si>
  <si>
    <t>G1W6MQ</t>
  </si>
  <si>
    <t>3217111905250007</t>
  </si>
  <si>
    <t>3217116011120005</t>
  </si>
  <si>
    <t>3217-LU-10012013-0006</t>
  </si>
  <si>
    <t>AHYAR AMSORI</t>
  </si>
  <si>
    <t>INEU AMELIA</t>
  </si>
  <si>
    <t>3217114504890014</t>
  </si>
  <si>
    <t>BANDUNG, 05/04/1989</t>
  </si>
  <si>
    <t>F5K9GB</t>
  </si>
  <si>
    <t>0138013557</t>
  </si>
  <si>
    <t>3217111902130017</t>
  </si>
  <si>
    <t>3217112802130003</t>
  </si>
  <si>
    <t>3217-LU-09042013-0012</t>
  </si>
  <si>
    <t>ANDINI NUR FITRIANI SANJAYA</t>
  </si>
  <si>
    <t>3217111107660021</t>
  </si>
  <si>
    <t>CIANJUR, 11/07/1986</t>
  </si>
  <si>
    <t>F9D4BC</t>
  </si>
  <si>
    <t>3217110103070008</t>
  </si>
  <si>
    <t>3217110801130005</t>
  </si>
  <si>
    <t>3217-LU-31012013-0426</t>
  </si>
  <si>
    <t>SODIKIN</t>
  </si>
  <si>
    <t>3217111204740011</t>
  </si>
  <si>
    <t>BANDUNG, 12/04/1974</t>
  </si>
  <si>
    <t>MAEMUNAH</t>
  </si>
  <si>
    <t>3217115205830018</t>
  </si>
  <si>
    <t>BANDUNG, 12/05/1983</t>
  </si>
  <si>
    <t>3217111711120005</t>
  </si>
  <si>
    <t>3217115509130003</t>
  </si>
  <si>
    <t>SUPIANA</t>
  </si>
  <si>
    <t>3217111611740002</t>
  </si>
  <si>
    <t>BANDUNG, 16/11/1974</t>
  </si>
  <si>
    <t>HALIMAH</t>
  </si>
  <si>
    <t>3217114601840003</t>
  </si>
  <si>
    <t>BANDUNG, 06/01/1984</t>
  </si>
  <si>
    <t>F992D8</t>
  </si>
  <si>
    <t>3217110906060012</t>
  </si>
  <si>
    <t>3217115708130002</t>
  </si>
  <si>
    <t>3217-LU-01102013-0322</t>
  </si>
  <si>
    <t>OPING</t>
  </si>
  <si>
    <t>3217111006670002</t>
  </si>
  <si>
    <t>BANDUNG, 10/06/1967</t>
  </si>
  <si>
    <t>3217116209710001</t>
  </si>
  <si>
    <t>BANDUNG, 22/09/1971</t>
  </si>
  <si>
    <t>G1PYXA</t>
  </si>
  <si>
    <t>3175060302091602</t>
  </si>
  <si>
    <t>3217116107130002</t>
  </si>
  <si>
    <t>3217-LT-29062016-0146</t>
  </si>
  <si>
    <t>3175060209810012</t>
  </si>
  <si>
    <t>BANDUNG, 02/09/1981</t>
  </si>
  <si>
    <t>3217115507940008</t>
  </si>
  <si>
    <t>BANDUNG, 11/03/1994</t>
  </si>
  <si>
    <t>E1CMRB</t>
  </si>
  <si>
    <t>3217110809080003</t>
  </si>
  <si>
    <t>3217116103130002</t>
  </si>
  <si>
    <t>3217-LU-10042013-0012</t>
  </si>
  <si>
    <t>ENTIH</t>
  </si>
  <si>
    <t>3217110705730011</t>
  </si>
  <si>
    <t>BANDUNG, 07/05/1973</t>
  </si>
  <si>
    <t>TITIN</t>
  </si>
  <si>
    <t>3217115501750006</t>
  </si>
  <si>
    <t>BANDUNG, 15/01/1975</t>
  </si>
  <si>
    <t>E1CMRC</t>
  </si>
  <si>
    <t>0126840461</t>
  </si>
  <si>
    <t>3217110108070007</t>
  </si>
  <si>
    <t>3217112512120003</t>
  </si>
  <si>
    <t>3217-LU-31012013-0419</t>
  </si>
  <si>
    <t>BARDAN</t>
  </si>
  <si>
    <t>3217110307640010</t>
  </si>
  <si>
    <t>BANDUNG, 03/07/1964</t>
  </si>
  <si>
    <t>LAELA</t>
  </si>
  <si>
    <t>3217114503830018</t>
  </si>
  <si>
    <t>BANDUNG, 05/03/1983</t>
  </si>
  <si>
    <t>E1CMRA</t>
  </si>
  <si>
    <t>3217111403120010</t>
  </si>
  <si>
    <t>3217116303120000</t>
  </si>
  <si>
    <t>3217-LU-22072024-0017</t>
  </si>
  <si>
    <t>SOLEHUDIN</t>
  </si>
  <si>
    <t>3217142910890003</t>
  </si>
  <si>
    <t>BANDUNG, 29/10/1983</t>
  </si>
  <si>
    <t>DIAN ANDRIANI</t>
  </si>
  <si>
    <t>3217114603920004</t>
  </si>
  <si>
    <t>BANDUNG, 06/03/1992</t>
  </si>
  <si>
    <t>SDN 1 WANGUN</t>
  </si>
  <si>
    <t>0121227412</t>
  </si>
  <si>
    <t>3217122311070062</t>
  </si>
  <si>
    <t>3217121911121001</t>
  </si>
  <si>
    <t>3217-LU-23012013-0037</t>
  </si>
  <si>
    <t>NURDIN NURDIANSYAH</t>
  </si>
  <si>
    <t>3217121312740005</t>
  </si>
  <si>
    <t>BANDUNG, 13/12/1974</t>
  </si>
  <si>
    <t>3217125407830007</t>
  </si>
  <si>
    <t>CIPONGKOR, 14/07/1983</t>
  </si>
  <si>
    <t>0126313156</t>
  </si>
  <si>
    <t>3217-LU-04122012-0051</t>
  </si>
  <si>
    <t>DIDIN KAMILUDIN</t>
  </si>
  <si>
    <t>NENG MARYANTI</t>
  </si>
  <si>
    <t>3217113010080008</t>
  </si>
  <si>
    <t>3217115005130001</t>
  </si>
  <si>
    <t>3217-LU-10062013-0111</t>
  </si>
  <si>
    <t>CIMALIK</t>
  </si>
  <si>
    <t>YANA SURYANA</t>
  </si>
  <si>
    <t>3217110206660009</t>
  </si>
  <si>
    <t>BANDUNG, 02/06/1966</t>
  </si>
  <si>
    <t>3217114401750011</t>
  </si>
  <si>
    <t>BANUDNG, 04/01/1975</t>
  </si>
  <si>
    <t>MIS CIMALIK</t>
  </si>
  <si>
    <t>3217112708080018</t>
  </si>
  <si>
    <t>3217115408120003</t>
  </si>
  <si>
    <t>3217-LU-14092012-0042</t>
  </si>
  <si>
    <t>3217110510840019</t>
  </si>
  <si>
    <t>BANDUNG, 05/10/1984</t>
  </si>
  <si>
    <t>MARYANTI</t>
  </si>
  <si>
    <t>3217115201890006</t>
  </si>
  <si>
    <t>BANDUNG, 12/01/1989</t>
  </si>
  <si>
    <t>0128983295</t>
  </si>
  <si>
    <t>3217112309130011</t>
  </si>
  <si>
    <t>3217112306120004</t>
  </si>
  <si>
    <t>3217-LT-21022019-0114</t>
  </si>
  <si>
    <t>JOJONTOR</t>
  </si>
  <si>
    <t>KARANGTANJUNG</t>
  </si>
  <si>
    <t>RONY</t>
  </si>
  <si>
    <t>3217110101800145</t>
  </si>
  <si>
    <t>BANDUNG,01/01/1980</t>
  </si>
  <si>
    <t>3217114101850106</t>
  </si>
  <si>
    <t>SDN GIRIASIH</t>
  </si>
  <si>
    <t>G53GZE</t>
  </si>
  <si>
    <t>3217110812050052</t>
  </si>
  <si>
    <t>3217110303130003</t>
  </si>
  <si>
    <t>3217-LU-08052013-0112</t>
  </si>
  <si>
    <t>CIGAGAK</t>
  </si>
  <si>
    <t>OYAN ROYANI</t>
  </si>
  <si>
    <t>3217110703740002</t>
  </si>
  <si>
    <t>BANDUNG,07/03/1974</t>
  </si>
  <si>
    <t>NANIK SUDIAR</t>
  </si>
  <si>
    <t>3217116509760002</t>
  </si>
  <si>
    <t>BANDUNG, 25/09/1976</t>
  </si>
  <si>
    <t>MIS BIRRUL WALIDAIN</t>
  </si>
  <si>
    <t>32172060911200006</t>
  </si>
  <si>
    <t>3217124810120004</t>
  </si>
  <si>
    <t>3217-LU-31112012-0048</t>
  </si>
  <si>
    <t>MI-25 120119581</t>
  </si>
  <si>
    <t>CIPANCUR</t>
  </si>
  <si>
    <t>MAULANA FIRDAUS</t>
  </si>
  <si>
    <t>3172061104920003</t>
  </si>
  <si>
    <t>JAKARTA, 11/04/1992</t>
  </si>
  <si>
    <t>RIANTI BANDA SARI</t>
  </si>
  <si>
    <t>3217126511890003</t>
  </si>
  <si>
    <t>MIS PAOZAN</t>
  </si>
  <si>
    <t>3137761823</t>
  </si>
  <si>
    <t>3217112905050124</t>
  </si>
  <si>
    <t>3217116101130003</t>
  </si>
  <si>
    <t>3217-LU-06022013-0062</t>
  </si>
  <si>
    <t>25-10-26-1-0827-0015</t>
  </si>
  <si>
    <t>TANTAN RUSTANDI</t>
  </si>
  <si>
    <t>3217111003840024</t>
  </si>
  <si>
    <t>BANDUNG,10/03/1984</t>
  </si>
  <si>
    <t>ASTRI</t>
  </si>
  <si>
    <t>3217115005860018</t>
  </si>
  <si>
    <t>BANDUNG,10/05/1988</t>
  </si>
  <si>
    <t>2</t>
  </si>
  <si>
    <t>083833111909</t>
  </si>
  <si>
    <t>3126324258</t>
  </si>
  <si>
    <t>3217111404051987</t>
  </si>
  <si>
    <t>3217115704120002</t>
  </si>
  <si>
    <t>3217-LT-13092017-2595</t>
  </si>
  <si>
    <t>25-10-26-1-0827-0029</t>
  </si>
  <si>
    <t>ENDIN</t>
  </si>
  <si>
    <t>3217110104570001</t>
  </si>
  <si>
    <t>BANDUNG,01/04/1957</t>
  </si>
  <si>
    <t>3217114705690011</t>
  </si>
  <si>
    <t>BANDUNG,07/05/1969</t>
  </si>
  <si>
    <t>7</t>
  </si>
  <si>
    <t>M. NAUFAL IBRAHIM ( tidak jadi )</t>
  </si>
  <si>
    <t>0121495545</t>
  </si>
  <si>
    <t>3217121807120034</t>
  </si>
  <si>
    <t>3217122106120004</t>
  </si>
  <si>
    <t>3217-LT-24072019-0067</t>
  </si>
  <si>
    <t>3217120308630014</t>
  </si>
  <si>
    <t>BANDUNG,03/08/1963</t>
  </si>
  <si>
    <t>TUTI ROSDIYAH</t>
  </si>
  <si>
    <t>3217124207690016</t>
  </si>
  <si>
    <t>BANDUNG,02/07/1969</t>
  </si>
  <si>
    <t>5</t>
  </si>
  <si>
    <t>085795545624</t>
  </si>
  <si>
    <t>0137436876</t>
  </si>
  <si>
    <t>3217110806200009</t>
  </si>
  <si>
    <t>3217136201130002</t>
  </si>
  <si>
    <t>3217-LU-25022013-0030</t>
  </si>
  <si>
    <t>HENDAR</t>
  </si>
  <si>
    <t>3217136103800005</t>
  </si>
  <si>
    <t>BANDUNG, 21/03/1980</t>
  </si>
  <si>
    <t>0126270312</t>
  </si>
  <si>
    <t>3217110404060005</t>
  </si>
  <si>
    <t>3217112211120001</t>
  </si>
  <si>
    <t>3217-LU-30012013-0070</t>
  </si>
  <si>
    <t>JENAL MUTAQIN</t>
  </si>
  <si>
    <t>3217111411830003</t>
  </si>
  <si>
    <t>BANDUNG,14/11/1983</t>
  </si>
  <si>
    <t>SITI MASITOH</t>
  </si>
  <si>
    <t>3217114807870017</t>
  </si>
  <si>
    <t>BANDUNG, 08/07/1987</t>
  </si>
  <si>
    <t>0125795314</t>
  </si>
  <si>
    <t>3217112211120002</t>
  </si>
  <si>
    <t>3217-LU-30012013-0071</t>
  </si>
  <si>
    <t>0126896589</t>
  </si>
  <si>
    <t>3217110301080041</t>
  </si>
  <si>
    <t>3217-LU-31012013-0413</t>
  </si>
  <si>
    <t>SARIF HIDAYAT</t>
  </si>
  <si>
    <t>3217110710770009</t>
  </si>
  <si>
    <t>BANDUNG, 07/10/1977</t>
  </si>
  <si>
    <t>ERI RESMAYANI</t>
  </si>
  <si>
    <t>3217114705880010</t>
  </si>
  <si>
    <t>BANDUNG, 07/05/1988</t>
  </si>
  <si>
    <t>207</t>
  </si>
  <si>
    <t>0139777929</t>
  </si>
  <si>
    <t>3217111304050869</t>
  </si>
  <si>
    <t>3217112501130002</t>
  </si>
  <si>
    <t>3217-LU-19022013-0089</t>
  </si>
  <si>
    <t>3217111701710001</t>
  </si>
  <si>
    <t>BANDUNG, 08/05/1970</t>
  </si>
  <si>
    <t>WAWAR WARIAH</t>
  </si>
  <si>
    <t>3217115201750001</t>
  </si>
  <si>
    <t>208</t>
  </si>
  <si>
    <t>3217110712150009</t>
  </si>
  <si>
    <t>3217110810120004</t>
  </si>
  <si>
    <t>3217-LU-23102012-0099</t>
  </si>
  <si>
    <t>AHMAD SEHABUDIN</t>
  </si>
  <si>
    <t>3217111804890012</t>
  </si>
  <si>
    <t>BANDUNG,18/04/1989</t>
  </si>
  <si>
    <t>NENENG AI NURJANAH</t>
  </si>
  <si>
    <t>3217117006890011</t>
  </si>
  <si>
    <t>BANDUNG,30/06/1989</t>
  </si>
  <si>
    <t>209</t>
  </si>
  <si>
    <t>3217110208120014</t>
  </si>
  <si>
    <t>3217111409120002</t>
  </si>
  <si>
    <t>3217-LT-27022013-0052</t>
  </si>
  <si>
    <t>ALPIAN LUKMANUL HAKIM</t>
  </si>
  <si>
    <t>3217110906920004</t>
  </si>
  <si>
    <t>BANDUNG, 09/06/1992</t>
  </si>
  <si>
    <t>NURAJIZAH</t>
  </si>
  <si>
    <t>3217116106930006</t>
  </si>
  <si>
    <t>BANDUNG, 21/06/1993</t>
  </si>
  <si>
    <t>210</t>
  </si>
  <si>
    <t>3211150506080012</t>
  </si>
  <si>
    <t>3211152904120001</t>
  </si>
  <si>
    <t>3217-LU-28052012-0029</t>
  </si>
  <si>
    <t>CITAMANAH</t>
  </si>
  <si>
    <t>CISEMPUR</t>
  </si>
  <si>
    <t>JATINANGOR</t>
  </si>
  <si>
    <t>SUMARNA</t>
  </si>
  <si>
    <t>3211150802780012</t>
  </si>
  <si>
    <t>BANDUNG, 08/02/1978</t>
  </si>
  <si>
    <t>3211154706780012</t>
  </si>
  <si>
    <t>GARUT, 07/06/1978</t>
  </si>
  <si>
    <t>211</t>
  </si>
  <si>
    <t>0129418349</t>
  </si>
  <si>
    <t>3217111102080029</t>
  </si>
  <si>
    <t>3217110109120002</t>
  </si>
  <si>
    <t>3217-LU-17092012-0090</t>
  </si>
  <si>
    <t>RIDWAN NURDIANSYAH</t>
  </si>
  <si>
    <t>3217111107800013</t>
  </si>
  <si>
    <t>BANDUNG, 11/07/1980</t>
  </si>
  <si>
    <t>IYAM MARYAM</t>
  </si>
  <si>
    <t>3217116406830007</t>
  </si>
  <si>
    <t>BANDUNG, 24/06/1983</t>
  </si>
  <si>
    <t>212</t>
  </si>
  <si>
    <t>3217110103120003</t>
  </si>
  <si>
    <t>3217110209120001</t>
  </si>
  <si>
    <t>3217-LU-01112012-0002</t>
  </si>
  <si>
    <t>DEDEN ZAELANI</t>
  </si>
  <si>
    <t>3217112412760008</t>
  </si>
  <si>
    <t>BANDUNG, 24/12/1976</t>
  </si>
  <si>
    <t>ELA NURLAELA</t>
  </si>
  <si>
    <t>3217116707830012</t>
  </si>
  <si>
    <t>BANDUNG, 27/07/1983</t>
  </si>
  <si>
    <t>213</t>
  </si>
  <si>
    <t>3217111712130038</t>
  </si>
  <si>
    <t>3217111808120002</t>
  </si>
  <si>
    <t>3217-LU-14092012-0306</t>
  </si>
  <si>
    <t>BULDAN SOLIH</t>
  </si>
  <si>
    <t>3204290905810002</t>
  </si>
  <si>
    <t>BANDUNG,09/08/1981</t>
  </si>
  <si>
    <t>EKA AGUSTIENA</t>
  </si>
  <si>
    <t>3204295708840018</t>
  </si>
  <si>
    <t>BANDUNG, 17/08/1984</t>
  </si>
  <si>
    <t>214</t>
  </si>
  <si>
    <t>3217112604120024</t>
  </si>
  <si>
    <t>3217112407120002</t>
  </si>
  <si>
    <t>3217-LU-30082012-0053</t>
  </si>
  <si>
    <t>BARU</t>
  </si>
  <si>
    <t>MUMUH MUHTADIN</t>
  </si>
  <si>
    <t>3217110708840020</t>
  </si>
  <si>
    <t>BANDUNG, 07/08/1984</t>
  </si>
  <si>
    <t>NENG SRI HANDAYANI</t>
  </si>
  <si>
    <t>3217114407920010</t>
  </si>
  <si>
    <t>215</t>
  </si>
  <si>
    <t>3217111807180010</t>
  </si>
  <si>
    <t>3217116011120004</t>
  </si>
  <si>
    <t>3217-LT-15022013-0010</t>
  </si>
  <si>
    <t>HENDRA PERMADI</t>
  </si>
  <si>
    <t>IDA PARIDA</t>
  </si>
  <si>
    <t>3217115509820012</t>
  </si>
  <si>
    <t>BANDUNG, 15/09/1982</t>
  </si>
  <si>
    <t>216</t>
  </si>
  <si>
    <t>3217111909120001</t>
  </si>
  <si>
    <t>3217114701130003</t>
  </si>
  <si>
    <t>3217-LT-10042013-0082</t>
  </si>
  <si>
    <t>GAROGOL</t>
  </si>
  <si>
    <t>WAWAN IRPAN</t>
  </si>
  <si>
    <t>3217111602840005</t>
  </si>
  <si>
    <t>BANDUNG, 16/02/1984</t>
  </si>
  <si>
    <t>LUSIANA</t>
  </si>
  <si>
    <t>3217115512910013</t>
  </si>
  <si>
    <t>BANDUNG, 15/12/1991</t>
  </si>
  <si>
    <t>217</t>
  </si>
  <si>
    <t>MI-25 120118294</t>
  </si>
  <si>
    <t>MI BONGAS III</t>
  </si>
  <si>
    <t>218</t>
  </si>
  <si>
    <t>3124911962</t>
  </si>
  <si>
    <t>224/08/2012</t>
  </si>
  <si>
    <t>3217112708120026</t>
  </si>
  <si>
    <t>3217112408120001</t>
  </si>
  <si>
    <t>3217-LU-01112012-0001</t>
  </si>
  <si>
    <t>MI-25-120118283</t>
  </si>
  <si>
    <t xml:space="preserve">BONGAS </t>
  </si>
  <si>
    <t xml:space="preserve">CILILIN </t>
  </si>
  <si>
    <t xml:space="preserve">IMAN SOPIAN </t>
  </si>
  <si>
    <t>3217111009900011</t>
  </si>
  <si>
    <t>BANDUNG10/09/1990</t>
  </si>
  <si>
    <t>SLTA/ SEDERAJAT</t>
  </si>
  <si>
    <t>BURUH HARIAN LE[AS</t>
  </si>
  <si>
    <t>MAYA SARI</t>
  </si>
  <si>
    <t>3217117009930001</t>
  </si>
  <si>
    <t>BOGOR,30/09/1993</t>
  </si>
  <si>
    <t>081320766972</t>
  </si>
  <si>
    <t>219</t>
  </si>
  <si>
    <t>0134435730</t>
  </si>
  <si>
    <t>3217110408080024</t>
  </si>
  <si>
    <t>3217116106130001</t>
  </si>
  <si>
    <t>3217-LU-03092013-0411</t>
  </si>
  <si>
    <t>MI-25-120118279</t>
  </si>
  <si>
    <t>25-10-26-1-0828-0006</t>
  </si>
  <si>
    <t>CIKADU PASIRTUGU</t>
  </si>
  <si>
    <t>14</t>
  </si>
  <si>
    <t>EDI SAPUTRA</t>
  </si>
  <si>
    <t>3217110909790028</t>
  </si>
  <si>
    <t>MEDAN,09/09/1979</t>
  </si>
  <si>
    <t xml:space="preserve">BURUH HARIAN LE[AS </t>
  </si>
  <si>
    <t>3217115502830011</t>
  </si>
  <si>
    <t>BANDUNG,18/02/1983</t>
  </si>
  <si>
    <t>083113950425</t>
  </si>
  <si>
    <t>220</t>
  </si>
  <si>
    <t>3131177536</t>
  </si>
  <si>
    <t>3217112901070003</t>
  </si>
  <si>
    <t>3217111204130001</t>
  </si>
  <si>
    <t>3217-LU-10062013-0093</t>
  </si>
  <si>
    <t>MI-25-120118310</t>
  </si>
  <si>
    <t>NURDIN.S</t>
  </si>
  <si>
    <t>3217116707760015</t>
  </si>
  <si>
    <t>BANDUNG,10/05/1975</t>
  </si>
  <si>
    <t xml:space="preserve">SD/ SEDERAJAT </t>
  </si>
  <si>
    <t xml:space="preserve">BURUH HARIAN LEPAS </t>
  </si>
  <si>
    <t>KOKOY ROHAETI</t>
  </si>
  <si>
    <t>BANDUNG,27/07/1976</t>
  </si>
  <si>
    <t>122000105815315</t>
  </si>
  <si>
    <t>3</t>
  </si>
  <si>
    <t>083877712588</t>
  </si>
  <si>
    <t>221</t>
  </si>
  <si>
    <t>3135441822</t>
  </si>
  <si>
    <t>321711211220007</t>
  </si>
  <si>
    <t>3217112105130002</t>
  </si>
  <si>
    <t>3217-LT-22112013-0001</t>
  </si>
  <si>
    <t>MI-25-120118311</t>
  </si>
  <si>
    <t>MUGNI</t>
  </si>
  <si>
    <t>3217111704920003</t>
  </si>
  <si>
    <t>BANDUNG,17/04/1992</t>
  </si>
  <si>
    <t xml:space="preserve">SITI HOLIPAH </t>
  </si>
  <si>
    <t>3217116710950008</t>
  </si>
  <si>
    <t>SERANG,27/10/1996</t>
  </si>
  <si>
    <t>SD/ SEDERAJAT</t>
  </si>
  <si>
    <t>222</t>
  </si>
  <si>
    <t>3130959649</t>
  </si>
  <si>
    <t>3217110901130009</t>
  </si>
  <si>
    <t>3217116804130001</t>
  </si>
  <si>
    <t>3217-LU-30052013-0032</t>
  </si>
  <si>
    <t>MI-25-120118296</t>
  </si>
  <si>
    <t>25-10-26-1-0828-0015</t>
  </si>
  <si>
    <t>AGUS SAEPUDIN</t>
  </si>
  <si>
    <t>3217110708900012</t>
  </si>
  <si>
    <t>BANDUNG,07/08/1990</t>
  </si>
  <si>
    <t>EULIS KODARIAH</t>
  </si>
  <si>
    <t>321711460690002</t>
  </si>
  <si>
    <t>BANDUNG,06/06/1990</t>
  </si>
  <si>
    <t>1</t>
  </si>
  <si>
    <t>083181603550</t>
  </si>
  <si>
    <t>223</t>
  </si>
  <si>
    <t>0133396581</t>
  </si>
  <si>
    <t>3217111808150003</t>
  </si>
  <si>
    <t>3217111002130002</t>
  </si>
  <si>
    <t>3217-LU-14032013-0109</t>
  </si>
  <si>
    <t>MI-25-120118284</t>
  </si>
  <si>
    <t>40652</t>
  </si>
  <si>
    <t>DENI MULYADI</t>
  </si>
  <si>
    <t>3217101509920001</t>
  </si>
  <si>
    <t>BANDUNG,15/09/1992</t>
  </si>
  <si>
    <t>EVI NURJANAH</t>
  </si>
  <si>
    <t>321711491295008</t>
  </si>
  <si>
    <t>BANDUNG,09/12/1995</t>
  </si>
  <si>
    <t>083821029116</t>
  </si>
  <si>
    <t>224</t>
  </si>
  <si>
    <t>0138510182</t>
  </si>
  <si>
    <t>3217114307130004</t>
  </si>
  <si>
    <t>317-LT-12092017-0620</t>
  </si>
  <si>
    <t>25-10-26-1-0828-0011</t>
  </si>
  <si>
    <t>BANDUNG,03/03/1980</t>
  </si>
  <si>
    <t>SD,SEDERAJAT</t>
  </si>
  <si>
    <t>BANDUNG,05/11/1985</t>
  </si>
  <si>
    <t>1946902692067152</t>
  </si>
  <si>
    <t>081371426059</t>
  </si>
  <si>
    <t>225</t>
  </si>
  <si>
    <t>3125164756</t>
  </si>
  <si>
    <t>3217111304056468</t>
  </si>
  <si>
    <t>3217116206120006</t>
  </si>
  <si>
    <t>3217-LU-28082012-0037</t>
  </si>
  <si>
    <t>MI-25120118305</t>
  </si>
  <si>
    <t>25-10-26-1-0828-0024</t>
  </si>
  <si>
    <t>13</t>
  </si>
  <si>
    <t>HAMAD</t>
  </si>
  <si>
    <t>MARWATI</t>
  </si>
  <si>
    <t>BANDUNG,01/03/1965</t>
  </si>
  <si>
    <t>3217114604730001</t>
  </si>
  <si>
    <t>BANDUNG,06/04/1973</t>
  </si>
  <si>
    <t>P9DBSO</t>
  </si>
  <si>
    <t>081312567155</t>
  </si>
  <si>
    <t>226</t>
  </si>
  <si>
    <t>3136338072</t>
  </si>
  <si>
    <t>SUMEDANG</t>
  </si>
  <si>
    <t>3217112912230006</t>
  </si>
  <si>
    <t>3211055211120001</t>
  </si>
  <si>
    <t>3217-LT-04122022-0017</t>
  </si>
  <si>
    <t>25-10-26-1--0828-0010</t>
  </si>
  <si>
    <t>8</t>
  </si>
  <si>
    <t>3217114802700009</t>
  </si>
  <si>
    <t>BANDUNG,08/02/1970</t>
  </si>
  <si>
    <t>227</t>
  </si>
  <si>
    <t>3138442391</t>
  </si>
  <si>
    <t>3217110608090000</t>
  </si>
  <si>
    <t>3217110704120002</t>
  </si>
  <si>
    <t>3217-LU-17072012-0116</t>
  </si>
  <si>
    <t>MI-25 120118285</t>
  </si>
  <si>
    <t>25-10-26-1-0828-0004</t>
  </si>
  <si>
    <t>PIPIN SOPANDI</t>
  </si>
  <si>
    <t>3217111804820008</t>
  </si>
  <si>
    <t>BANDUNG,18/04/82</t>
  </si>
  <si>
    <t>3217115503850017</t>
  </si>
  <si>
    <t>BANDUNG,15/03/85</t>
  </si>
  <si>
    <t>228</t>
  </si>
  <si>
    <t>3138637040</t>
  </si>
  <si>
    <t>3217111306240005</t>
  </si>
  <si>
    <t>3217111001130001</t>
  </si>
  <si>
    <t>3217-LU-31012013-0429</t>
  </si>
  <si>
    <t>MI-25 120118312</t>
  </si>
  <si>
    <t>25-10-26-1-0828-0031</t>
  </si>
  <si>
    <t>3217114103810001</t>
  </si>
  <si>
    <t>BANDUNG,01/03/1981</t>
  </si>
  <si>
    <t>229</t>
  </si>
  <si>
    <t>RIKA MAULIDA (225)</t>
  </si>
  <si>
    <t>3123213403</t>
  </si>
  <si>
    <t>3217111411230004</t>
  </si>
  <si>
    <t>3217114103120001</t>
  </si>
  <si>
    <t>3217-LU-09072012-0134</t>
  </si>
  <si>
    <t>MI-25 120118290</t>
  </si>
  <si>
    <t>25-10-26-1-0882-0009</t>
  </si>
  <si>
    <t>BAHTIAR (ALM)</t>
  </si>
  <si>
    <t>NURLAELA</t>
  </si>
  <si>
    <t>3217115807780005</t>
  </si>
  <si>
    <t>230</t>
  </si>
  <si>
    <t>01322767208</t>
  </si>
  <si>
    <t>3217111601130021</t>
  </si>
  <si>
    <t>3217117105130002</t>
  </si>
  <si>
    <t>3217-LU-28082013-0253</t>
  </si>
  <si>
    <t>MI-25 120118306</t>
  </si>
  <si>
    <t>25-10-26-1-0828-0025</t>
  </si>
  <si>
    <t>SL.TA/SEDERAJAT</t>
  </si>
  <si>
    <t>231</t>
  </si>
  <si>
    <t>0123656853</t>
  </si>
  <si>
    <t>3202110305210008</t>
  </si>
  <si>
    <t>3202115011120002</t>
  </si>
  <si>
    <t>3217-LU-17012013-0033</t>
  </si>
  <si>
    <t>MI-25 120118297</t>
  </si>
  <si>
    <t>25-10-26-1-0828-0016</t>
  </si>
  <si>
    <t>232</t>
  </si>
  <si>
    <t>3139560498</t>
  </si>
  <si>
    <t>3217111304058259</t>
  </si>
  <si>
    <t>32171157702130002</t>
  </si>
  <si>
    <t>MI-25 120118299</t>
  </si>
  <si>
    <t>25-10-26-1-0828-0018</t>
  </si>
  <si>
    <t>233</t>
  </si>
  <si>
    <t>3132620417</t>
  </si>
  <si>
    <t>3217111912120011</t>
  </si>
  <si>
    <t>3217114205130001</t>
  </si>
  <si>
    <t>3217-LU-04062013-0010</t>
  </si>
  <si>
    <t>MI-25 120118309</t>
  </si>
  <si>
    <t>25-10-26-1-0828-0028</t>
  </si>
  <si>
    <t>RICKY RAMDANI</t>
  </si>
  <si>
    <t>3217110610870006</t>
  </si>
  <si>
    <t>PADANG,06/10/1987</t>
  </si>
  <si>
    <t>RIANA RISKY</t>
  </si>
  <si>
    <t>3217116207920006</t>
  </si>
  <si>
    <t>BANDUNG,22/07/1992</t>
  </si>
  <si>
    <t>083198235536</t>
  </si>
  <si>
    <t>234</t>
  </si>
  <si>
    <t>3124176280</t>
  </si>
  <si>
    <t>3217121501200010</t>
  </si>
  <si>
    <t>3217121711120001</t>
  </si>
  <si>
    <t>3217-LT-31082022-0039</t>
  </si>
  <si>
    <t xml:space="preserve">CITALEM </t>
  </si>
  <si>
    <t xml:space="preserve">SAMSUDIN </t>
  </si>
  <si>
    <t>3204320705760001</t>
  </si>
  <si>
    <t>BANDUNG 07/05/1976</t>
  </si>
  <si>
    <t xml:space="preserve">ECIN KURAESIN </t>
  </si>
  <si>
    <t>321712600583005</t>
  </si>
  <si>
    <t>BANDUNG,20/05/1983</t>
  </si>
  <si>
    <t>08562899893</t>
  </si>
  <si>
    <t>235</t>
  </si>
  <si>
    <t>0125855007</t>
  </si>
  <si>
    <t>321712011116001</t>
  </si>
  <si>
    <t>3217121012120003</t>
  </si>
  <si>
    <t>3217-LT-26022019-0107</t>
  </si>
  <si>
    <t>HENI YULIANTI</t>
  </si>
  <si>
    <t>3217124808820030</t>
  </si>
  <si>
    <t>BANDUNG, 08/08/1982</t>
  </si>
  <si>
    <t>085935223650</t>
  </si>
  <si>
    <t>236</t>
  </si>
  <si>
    <t>0139085719</t>
  </si>
  <si>
    <t>3273122711190009</t>
  </si>
  <si>
    <t>3217114403130004</t>
  </si>
  <si>
    <t>3217-LU-27052013-0026</t>
  </si>
  <si>
    <t>MALEER UTARA</t>
  </si>
  <si>
    <t>MALEER</t>
  </si>
  <si>
    <t>BATUNUNGGAL</t>
  </si>
  <si>
    <t>3205171005830004</t>
  </si>
  <si>
    <t>GARUR, 10/05/1983</t>
  </si>
  <si>
    <t>SRI MULYATI</t>
  </si>
  <si>
    <t>3217114804950016</t>
  </si>
  <si>
    <t>BANDUNG, 08/04/1995</t>
  </si>
  <si>
    <t>SDN 028 GUMURUH</t>
  </si>
  <si>
    <t>237</t>
  </si>
  <si>
    <t>3217121006130008</t>
  </si>
  <si>
    <t>3217126806120002</t>
  </si>
  <si>
    <t>3217-LT-13092013-0058</t>
  </si>
  <si>
    <t>MI-25 120119181</t>
  </si>
  <si>
    <t>ACEP HARIYANDI</t>
  </si>
  <si>
    <t>3217123010800006</t>
  </si>
  <si>
    <t>BANDUNG, 30/10/1980</t>
  </si>
  <si>
    <t>IKA PURBAYANI</t>
  </si>
  <si>
    <t>3217124902900008</t>
  </si>
  <si>
    <t>BANDUNG,09/02/1990</t>
  </si>
  <si>
    <t>238</t>
  </si>
  <si>
    <t>3214052101130000</t>
  </si>
  <si>
    <t>;3214051402130004</t>
  </si>
  <si>
    <t>3217-LT-16122013-0190</t>
  </si>
  <si>
    <t>CIPICUNG</t>
  </si>
  <si>
    <t>NANDANG NUROBI</t>
  </si>
  <si>
    <t>3214051609830001</t>
  </si>
  <si>
    <t>BANDUNG,16/09/1983</t>
  </si>
  <si>
    <t>IDA MUNAWARTI SA'ADAH</t>
  </si>
  <si>
    <t>3214055506950005</t>
  </si>
  <si>
    <t>PURWAKARTA, 15/06/1995</t>
  </si>
  <si>
    <t>SDN CIPICUNG</t>
  </si>
  <si>
    <t>239</t>
  </si>
  <si>
    <t>3175050701095679</t>
  </si>
  <si>
    <t>3175050912121002</t>
  </si>
  <si>
    <t>DHARMA</t>
  </si>
  <si>
    <t>3175051505770001</t>
  </si>
  <si>
    <t>BANDUNG, 10/05/1977</t>
  </si>
  <si>
    <t>TNI</t>
  </si>
  <si>
    <t>3175055505770004</t>
  </si>
  <si>
    <t>BANDUNG,15/05/1977</t>
  </si>
  <si>
    <t>MIN 3 JAKARTA</t>
  </si>
  <si>
    <t>240</t>
  </si>
  <si>
    <t>3217121306120081</t>
  </si>
  <si>
    <t>3217120912120006</t>
  </si>
  <si>
    <t>3217-LU-15012013-0077</t>
  </si>
  <si>
    <t>ASEP SURATMAN</t>
  </si>
  <si>
    <t>3217122006760011</t>
  </si>
  <si>
    <t>BANDUNG, 20/06/1967</t>
  </si>
  <si>
    <t>DODOH SURATMAN</t>
  </si>
  <si>
    <t>3217124603780020</t>
  </si>
  <si>
    <t>BANDUNG,06/03/1978</t>
  </si>
  <si>
    <t>241</t>
  </si>
  <si>
    <t>231712070120091</t>
  </si>
  <si>
    <t>3217126003130005</t>
  </si>
  <si>
    <t>3217-LT-27052013-0044</t>
  </si>
  <si>
    <t>111202526566901</t>
  </si>
  <si>
    <t xml:space="preserve">BASIRUL MUTAABAN </t>
  </si>
  <si>
    <t>3217120801860011</t>
  </si>
  <si>
    <t>BANDUNG,08/01/1986</t>
  </si>
  <si>
    <t>QISTI NURKHAERIYAH</t>
  </si>
  <si>
    <t>3217126006930016</t>
  </si>
  <si>
    <t>BANDUNG,20/08/1993</t>
  </si>
  <si>
    <t>242</t>
  </si>
  <si>
    <t>0123521940</t>
  </si>
  <si>
    <t>3217112407170009</t>
  </si>
  <si>
    <t>3217082301120004</t>
  </si>
  <si>
    <t>DN-02/D-SD/K13/24/ 0077556</t>
  </si>
  <si>
    <t>AEP SAEPUDIN</t>
  </si>
  <si>
    <t>3217082007840015</t>
  </si>
  <si>
    <t>BANDUNG,12/11/1984</t>
  </si>
  <si>
    <t>WAHYUNI</t>
  </si>
  <si>
    <t>32170851011920019</t>
  </si>
  <si>
    <t>CILILIN,11/01/1992</t>
  </si>
  <si>
    <t>243</t>
  </si>
  <si>
    <t>0113239442</t>
  </si>
  <si>
    <t>3217121707230009</t>
  </si>
  <si>
    <t>3217122609110001</t>
  </si>
  <si>
    <t>3217-LT-08112017-1825</t>
  </si>
  <si>
    <t>LAPANG</t>
  </si>
  <si>
    <t>PENTI NUR RS</t>
  </si>
  <si>
    <t>3217125010830015</t>
  </si>
  <si>
    <t>BANDUNG,10/10/1993</t>
  </si>
  <si>
    <t>244</t>
  </si>
  <si>
    <t>3217120407120092</t>
  </si>
  <si>
    <t>3217126602130006</t>
  </si>
  <si>
    <t>3217-LU-11042013-0078</t>
  </si>
  <si>
    <t>11120256566864</t>
  </si>
  <si>
    <t>AZI SETIAWAN</t>
  </si>
  <si>
    <t>3217120911870008</t>
  </si>
  <si>
    <t>BANDUNG, 09/11/1987</t>
  </si>
  <si>
    <t>3217125807860014</t>
  </si>
  <si>
    <t>245</t>
  </si>
  <si>
    <t>0116910810</t>
  </si>
  <si>
    <t>DN-02/D-SD/K13/24/0063808</t>
  </si>
  <si>
    <t>HENDARSAH</t>
  </si>
  <si>
    <t>3217120412760004</t>
  </si>
  <si>
    <t>BANDUNG, 04/12/1976</t>
  </si>
  <si>
    <t>EVAYANTI</t>
  </si>
  <si>
    <t>3217125212850020</t>
  </si>
  <si>
    <t>246</t>
  </si>
  <si>
    <t>0134475022</t>
  </si>
  <si>
    <t>3217110310120034</t>
  </si>
  <si>
    <t>3217110603130004</t>
  </si>
  <si>
    <t>3217-LT-10072018-0170</t>
  </si>
  <si>
    <t>CIMALINGPING</t>
  </si>
  <si>
    <t>3217112101820004</t>
  </si>
  <si>
    <t>BANDUNG, 21/01/1982</t>
  </si>
  <si>
    <t>NENG SOLIHAT</t>
  </si>
  <si>
    <t>3217114101940096</t>
  </si>
  <si>
    <t>BANDUNG,06/07/1995</t>
  </si>
  <si>
    <t>3120673054</t>
  </si>
  <si>
    <t>3217116005120003</t>
  </si>
  <si>
    <t>3217113101080010</t>
  </si>
  <si>
    <t>3217-LU-24072012-0037</t>
  </si>
  <si>
    <t>MI-25100012309</t>
  </si>
  <si>
    <t>AGUS MULYADI</t>
  </si>
  <si>
    <t>321711404730015</t>
  </si>
  <si>
    <t>BANDUNG, 04/05/1973</t>
  </si>
  <si>
    <t>IKA SANTIKA PURI</t>
  </si>
  <si>
    <t>3217115103880007</t>
  </si>
  <si>
    <t>BANDUNG, 11/03/1988</t>
  </si>
  <si>
    <t>TRISA RAHAYU</t>
  </si>
  <si>
    <t>3125951669</t>
  </si>
  <si>
    <t>'3217121312120007</t>
  </si>
  <si>
    <t>3217126109120002</t>
  </si>
  <si>
    <t>3217-LT-21062013-0062</t>
  </si>
  <si>
    <t>GAGAN SUGANDI</t>
  </si>
  <si>
    <t>SDN PADAKATI</t>
  </si>
  <si>
    <t>CIGEMBOR</t>
  </si>
  <si>
    <t>3217122705720003</t>
  </si>
  <si>
    <t>CIANJUR, 27/05/1972</t>
  </si>
  <si>
    <t>3217124909940009</t>
  </si>
  <si>
    <t>BANDUNG, 09/09/1994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</si>
</sst>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[$-409]d\-mmm\-yy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MS Sans Serif"/>
      <family val="2"/>
    </font>
    <font>
      <sz val="12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</font>
    <font>
      <sz val="9"/>
      <color theme="1"/>
      <name val="Times New Roman"/>
      <family val="1"/>
    </font>
    <font>
      <sz val="9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i/>
      <sz val="10"/>
      <name val="Calibri"/>
      <family val="2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Calibri"/>
      <family val="2"/>
    </font>
    <font>
      <i/>
      <sz val="8"/>
      <name val="Calibri"/>
      <family val="2"/>
    </font>
    <font>
      <sz val="9"/>
      <color rgb="FF000000"/>
      <name val="Calibri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6">
    <xf numFmtId="0" fontId="0" fillId="0" borderId="0"/>
    <xf numFmtId="0" fontId="3" fillId="0" borderId="0"/>
    <xf numFmtId="0" fontId="7" fillId="0" borderId="0"/>
    <xf numFmtId="0" fontId="8" fillId="0" borderId="0"/>
    <xf numFmtId="0" fontId="3" fillId="0" borderId="0"/>
    <xf numFmtId="0" fontId="2" fillId="0" borderId="0"/>
    <xf numFmtId="0" fontId="9" fillId="0" borderId="0"/>
    <xf numFmtId="0" fontId="12" fillId="0" borderId="0"/>
    <xf numFmtId="164" fontId="12" fillId="0" borderId="0"/>
    <xf numFmtId="0" fontId="12" fillId="0" borderId="0"/>
    <xf numFmtId="41" fontId="2" fillId="0" borderId="0" applyFont="0" applyFill="0" applyBorder="0" applyAlignment="0" applyProtection="0"/>
    <xf numFmtId="0" fontId="1" fillId="0" borderId="0"/>
    <xf numFmtId="0" fontId="2" fillId="0" borderId="0"/>
    <xf numFmtId="0" fontId="3" fillId="0" borderId="0"/>
    <xf numFmtId="0" fontId="2" fillId="0" borderId="0"/>
    <xf numFmtId="41" fontId="2" fillId="0" borderId="0" applyFont="0" applyFill="0" applyBorder="0" applyAlignment="0" applyProtection="0"/>
  </cellStyleXfs>
  <cellXfs count="575">
    <xf numFmtId="0" fontId="0" fillId="0" borderId="0" xfId="0"/>
    <xf numFmtId="0" fontId="4" fillId="0" borderId="0" xfId="1" applyFont="1"/>
    <xf numFmtId="0" fontId="5" fillId="0" borderId="0" xfId="1" applyFont="1"/>
    <xf numFmtId="0" fontId="0" fillId="0" borderId="1" xfId="0" applyBorder="1"/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5" fillId="2" borderId="1" xfId="1" applyFont="1" applyFill="1" applyBorder="1"/>
    <xf numFmtId="0" fontId="5" fillId="0" borderId="1" xfId="0" applyFont="1" applyBorder="1" applyAlignment="1">
      <alignment horizontal="center" vertical="center"/>
    </xf>
    <xf numFmtId="0" fontId="13" fillId="2" borderId="1" xfId="9" applyFont="1" applyFill="1" applyBorder="1" applyAlignment="1">
      <alignment horizontal="center" vertical="center"/>
    </xf>
    <xf numFmtId="0" fontId="11" fillId="0" borderId="0" xfId="1" applyFont="1"/>
    <xf numFmtId="0" fontId="15" fillId="0" borderId="1" xfId="0" applyFont="1" applyBorder="1"/>
    <xf numFmtId="0" fontId="15" fillId="0" borderId="0" xfId="0" applyFont="1"/>
    <xf numFmtId="0" fontId="5" fillId="0" borderId="1" xfId="1" applyFont="1" applyBorder="1"/>
    <xf numFmtId="0" fontId="17" fillId="0" borderId="1" xfId="2" applyFont="1" applyBorder="1"/>
    <xf numFmtId="49" fontId="5" fillId="2" borderId="1" xfId="0" applyNumberFormat="1" applyFont="1" applyFill="1" applyBorder="1"/>
    <xf numFmtId="0" fontId="2" fillId="0" borderId="1" xfId="1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7" fillId="0" borderId="1" xfId="2" applyFont="1" applyBorder="1" applyAlignment="1">
      <alignment horizontal="center"/>
    </xf>
    <xf numFmtId="0" fontId="13" fillId="2" borderId="0" xfId="1" applyFont="1" applyFill="1"/>
    <xf numFmtId="0" fontId="5" fillId="2" borderId="0" xfId="1" applyFont="1" applyFill="1"/>
    <xf numFmtId="0" fontId="5" fillId="0" borderId="1" xfId="1" applyFont="1" applyBorder="1" applyAlignment="1">
      <alignment horizontal="left"/>
    </xf>
    <xf numFmtId="0" fontId="17" fillId="2" borderId="1" xfId="2" applyFont="1" applyFill="1" applyBorder="1"/>
    <xf numFmtId="0" fontId="11" fillId="2" borderId="1" xfId="1" applyFont="1" applyFill="1" applyBorder="1"/>
    <xf numFmtId="0" fontId="2" fillId="0" borderId="1" xfId="1" applyFont="1" applyBorder="1" applyAlignment="1">
      <alignment horizontal="center" vertical="center"/>
    </xf>
    <xf numFmtId="0" fontId="2" fillId="0" borderId="1" xfId="1" applyFont="1" applyBorder="1"/>
    <xf numFmtId="49" fontId="2" fillId="2" borderId="1" xfId="0" applyNumberFormat="1" applyFont="1" applyFill="1" applyBorder="1"/>
    <xf numFmtId="0" fontId="2" fillId="0" borderId="1" xfId="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0" borderId="6" xfId="1" applyFont="1" applyBorder="1"/>
    <xf numFmtId="49" fontId="17" fillId="0" borderId="1" xfId="6" applyNumberFormat="1" applyFont="1" applyBorder="1"/>
    <xf numFmtId="0" fontId="17" fillId="0" borderId="1" xfId="6" applyFont="1" applyBorder="1"/>
    <xf numFmtId="49" fontId="17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49" fontId="19" fillId="0" borderId="1" xfId="6" applyNumberFormat="1" applyFont="1" applyBorder="1"/>
    <xf numFmtId="49" fontId="17" fillId="0" borderId="1" xfId="6" applyNumberFormat="1" applyFont="1" applyBorder="1" applyAlignment="1">
      <alignment horizontal="center"/>
    </xf>
    <xf numFmtId="49" fontId="19" fillId="0" borderId="1" xfId="6" applyNumberFormat="1" applyFont="1" applyBorder="1" applyAlignment="1">
      <alignment horizontal="center" vertical="center"/>
    </xf>
    <xf numFmtId="49" fontId="17" fillId="0" borderId="6" xfId="6" applyNumberFormat="1" applyFont="1" applyBorder="1" applyAlignment="1">
      <alignment horizontal="center" vertical="center"/>
    </xf>
    <xf numFmtId="0" fontId="20" fillId="0" borderId="0" xfId="0" applyFont="1"/>
    <xf numFmtId="0" fontId="14" fillId="2" borderId="0" xfId="1" applyFont="1" applyFill="1"/>
    <xf numFmtId="0" fontId="0" fillId="2" borderId="1" xfId="0" applyFill="1" applyBorder="1" applyAlignment="1">
      <alignment horizontal="left"/>
    </xf>
    <xf numFmtId="0" fontId="17" fillId="2" borderId="1" xfId="2" applyFont="1" applyFill="1" applyBorder="1" applyAlignment="1">
      <alignment horizontal="left" vertical="center"/>
    </xf>
    <xf numFmtId="0" fontId="0" fillId="2" borderId="1" xfId="0" quotePrefix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1" fillId="0" borderId="1" xfId="1" applyFont="1" applyBorder="1"/>
    <xf numFmtId="0" fontId="21" fillId="0" borderId="1" xfId="0" applyFont="1" applyBorder="1"/>
    <xf numFmtId="0" fontId="0" fillId="3" borderId="1" xfId="0" applyFill="1" applyBorder="1"/>
    <xf numFmtId="0" fontId="23" fillId="2" borderId="1" xfId="0" applyFont="1" applyFill="1" applyBorder="1" applyAlignment="1">
      <alignment horizontal="left"/>
    </xf>
    <xf numFmtId="0" fontId="25" fillId="0" borderId="0" xfId="1" applyFont="1"/>
    <xf numFmtId="0" fontId="16" fillId="0" borderId="0" xfId="1" applyFont="1"/>
    <xf numFmtId="0" fontId="24" fillId="0" borderId="0" xfId="1" applyFont="1" applyAlignment="1">
      <alignment horizontal="center"/>
    </xf>
    <xf numFmtId="0" fontId="25" fillId="0" borderId="2" xfId="1" applyFont="1" applyBorder="1" applyAlignment="1">
      <alignment horizontal="center"/>
    </xf>
    <xf numFmtId="0" fontId="25" fillId="0" borderId="7" xfId="1" applyFont="1" applyBorder="1" applyAlignment="1">
      <alignment horizontal="center"/>
    </xf>
    <xf numFmtId="0" fontId="16" fillId="0" borderId="1" xfId="1" applyFont="1" applyBorder="1" applyAlignment="1">
      <alignment horizontal="center"/>
    </xf>
    <xf numFmtId="0" fontId="0" fillId="0" borderId="1" xfId="0" applyBorder="1" applyAlignment="1">
      <alignment vertical="center"/>
    </xf>
    <xf numFmtId="0" fontId="25" fillId="0" borderId="0" xfId="1" applyFont="1" applyAlignment="1">
      <alignment horizontal="center"/>
    </xf>
    <xf numFmtId="0" fontId="16" fillId="0" borderId="1" xfId="1" applyFont="1" applyBorder="1" applyAlignment="1">
      <alignment horizontal="center" vertical="center"/>
    </xf>
    <xf numFmtId="0" fontId="26" fillId="0" borderId="0" xfId="1" applyFont="1"/>
    <xf numFmtId="0" fontId="4" fillId="0" borderId="0" xfId="1" applyFont="1" applyAlignment="1">
      <alignment vertical="center"/>
    </xf>
    <xf numFmtId="0" fontId="27" fillId="0" borderId="0" xfId="1" applyFont="1" applyAlignment="1">
      <alignment vertical="center"/>
    </xf>
    <xf numFmtId="0" fontId="0" fillId="4" borderId="1" xfId="0" applyFill="1" applyBorder="1"/>
    <xf numFmtId="0" fontId="5" fillId="3" borderId="1" xfId="1" applyFont="1" applyFill="1" applyBorder="1"/>
    <xf numFmtId="49" fontId="5" fillId="3" borderId="1" xfId="0" applyNumberFormat="1" applyFont="1" applyFill="1" applyBorder="1"/>
    <xf numFmtId="0" fontId="6" fillId="5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15" fillId="0" borderId="1" xfId="9" applyFont="1" applyBorder="1" applyAlignment="1">
      <alignment horizontal="center"/>
    </xf>
    <xf numFmtId="0" fontId="28" fillId="2" borderId="1" xfId="0" applyFont="1" applyFill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3" fillId="2" borderId="0" xfId="1" applyFont="1" applyFill="1" applyAlignment="1">
      <alignment horizontal="right"/>
    </xf>
    <xf numFmtId="0" fontId="0" fillId="2" borderId="6" xfId="0" applyFill="1" applyBorder="1" applyAlignment="1">
      <alignment horizontal="center" vertical="center"/>
    </xf>
    <xf numFmtId="0" fontId="0" fillId="2" borderId="0" xfId="0" applyFill="1"/>
    <xf numFmtId="0" fontId="5" fillId="2" borderId="6" xfId="1" applyFont="1" applyFill="1" applyBorder="1"/>
    <xf numFmtId="0" fontId="15" fillId="2" borderId="1" xfId="0" applyFont="1" applyFill="1" applyBorder="1" applyAlignment="1">
      <alignment horizontal="left"/>
    </xf>
    <xf numFmtId="0" fontId="29" fillId="2" borderId="1" xfId="2" applyFont="1" applyFill="1" applyBorder="1" applyAlignment="1">
      <alignment horizontal="left" vertical="center"/>
    </xf>
    <xf numFmtId="0" fontId="15" fillId="2" borderId="1" xfId="0" applyFont="1" applyFill="1" applyBorder="1"/>
    <xf numFmtId="0" fontId="28" fillId="2" borderId="1" xfId="0" applyFont="1" applyFill="1" applyBorder="1"/>
    <xf numFmtId="0" fontId="20" fillId="2" borderId="1" xfId="0" applyFont="1" applyFill="1" applyBorder="1"/>
    <xf numFmtId="0" fontId="30" fillId="2" borderId="1" xfId="2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/>
    </xf>
    <xf numFmtId="0" fontId="15" fillId="2" borderId="1" xfId="0" quotePrefix="1" applyFont="1" applyFill="1" applyBorder="1" applyAlignment="1">
      <alignment horizontal="left"/>
    </xf>
    <xf numFmtId="0" fontId="28" fillId="2" borderId="1" xfId="0" quotePrefix="1" applyFont="1" applyFill="1" applyBorder="1" applyAlignment="1">
      <alignment horizontal="left"/>
    </xf>
    <xf numFmtId="0" fontId="0" fillId="2" borderId="5" xfId="0" applyFill="1" applyBorder="1"/>
    <xf numFmtId="0" fontId="17" fillId="2" borderId="1" xfId="2" applyFont="1" applyFill="1" applyBorder="1" applyAlignment="1">
      <alignment vertical="center"/>
    </xf>
    <xf numFmtId="0" fontId="15" fillId="2" borderId="0" xfId="0" quotePrefix="1" applyFont="1" applyFill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28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31" fillId="0" borderId="1" xfId="0" applyFont="1" applyBorder="1"/>
    <xf numFmtId="0" fontId="32" fillId="2" borderId="1" xfId="2" applyFont="1" applyFill="1" applyBorder="1" applyAlignment="1">
      <alignment horizontal="left" vertical="center"/>
    </xf>
    <xf numFmtId="0" fontId="15" fillId="2" borderId="1" xfId="9" applyFont="1" applyFill="1" applyBorder="1" applyAlignment="1">
      <alignment horizontal="center"/>
    </xf>
    <xf numFmtId="20" fontId="15" fillId="0" borderId="1" xfId="9" applyNumberFormat="1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left"/>
    </xf>
    <xf numFmtId="14" fontId="0" fillId="3" borderId="1" xfId="0" applyNumberFormat="1" applyFill="1" applyBorder="1"/>
    <xf numFmtId="0" fontId="33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4" fillId="0" borderId="1" xfId="12" applyFont="1" applyBorder="1" applyAlignment="1">
      <alignment horizontal="left"/>
    </xf>
    <xf numFmtId="0" fontId="35" fillId="0" borderId="1" xfId="12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5" fillId="2" borderId="1" xfId="12" quotePrefix="1" applyFont="1" applyFill="1" applyBorder="1" applyAlignment="1">
      <alignment horizontal="left"/>
    </xf>
    <xf numFmtId="0" fontId="41" fillId="0" borderId="1" xfId="12" applyFont="1" applyBorder="1" applyAlignment="1">
      <alignment horizontal="left"/>
    </xf>
    <xf numFmtId="0" fontId="42" fillId="0" borderId="1" xfId="0" applyFont="1" applyBorder="1" applyAlignment="1">
      <alignment vertical="center" wrapText="1"/>
    </xf>
    <xf numFmtId="0" fontId="43" fillId="0" borderId="1" xfId="12" applyFont="1" applyBorder="1" applyAlignment="1">
      <alignment horizontal="left"/>
    </xf>
    <xf numFmtId="0" fontId="35" fillId="0" borderId="1" xfId="12" quotePrefix="1" applyFont="1" applyBorder="1" applyAlignment="1">
      <alignment horizontal="left"/>
    </xf>
    <xf numFmtId="0" fontId="33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9" fillId="2" borderId="1" xfId="12" applyFont="1" applyFill="1" applyBorder="1" applyAlignment="1">
      <alignment horizontal="left"/>
    </xf>
    <xf numFmtId="0" fontId="34" fillId="2" borderId="1" xfId="12" applyFont="1" applyFill="1" applyBorder="1" applyAlignment="1">
      <alignment horizontal="left"/>
    </xf>
    <xf numFmtId="0" fontId="34" fillId="2" borderId="1" xfId="12" quotePrefix="1" applyFont="1" applyFill="1" applyBorder="1" applyAlignment="1">
      <alignment horizontal="left"/>
    </xf>
    <xf numFmtId="0" fontId="43" fillId="2" borderId="1" xfId="12" applyFont="1" applyFill="1" applyBorder="1" applyAlignment="1">
      <alignment horizontal="left"/>
    </xf>
    <xf numFmtId="0" fontId="35" fillId="2" borderId="1" xfId="12" applyFont="1" applyFill="1" applyBorder="1" applyAlignment="1">
      <alignment horizontal="left"/>
    </xf>
    <xf numFmtId="0" fontId="32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wrapText="1"/>
    </xf>
    <xf numFmtId="0" fontId="36" fillId="2" borderId="1" xfId="0" applyFont="1" applyFill="1" applyBorder="1" applyAlignment="1">
      <alignment vertical="center" wrapText="1"/>
    </xf>
    <xf numFmtId="0" fontId="37" fillId="2" borderId="1" xfId="12" applyFont="1" applyFill="1" applyBorder="1" applyAlignment="1">
      <alignment horizontal="left"/>
    </xf>
    <xf numFmtId="0" fontId="37" fillId="2" borderId="1" xfId="2" applyFont="1" applyFill="1" applyBorder="1" applyAlignment="1">
      <alignment horizontal="left" vertical="center"/>
    </xf>
    <xf numFmtId="0" fontId="36" fillId="2" borderId="1" xfId="0" applyFont="1" applyFill="1" applyBorder="1" applyAlignment="1">
      <alignment wrapText="1"/>
    </xf>
    <xf numFmtId="0" fontId="28" fillId="2" borderId="1" xfId="12" applyFont="1" applyFill="1" applyBorder="1"/>
    <xf numFmtId="0" fontId="44" fillId="2" borderId="1" xfId="12" applyFont="1" applyFill="1" applyBorder="1" applyAlignment="1">
      <alignment horizontal="left"/>
    </xf>
    <xf numFmtId="0" fontId="45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left" vertical="center" wrapText="1"/>
    </xf>
    <xf numFmtId="0" fontId="34" fillId="2" borderId="1" xfId="2" applyFont="1" applyFill="1" applyBorder="1" applyAlignment="1">
      <alignment horizontal="left" vertical="center"/>
    </xf>
    <xf numFmtId="0" fontId="37" fillId="2" borderId="1" xfId="12" quotePrefix="1" applyFont="1" applyFill="1" applyBorder="1" applyAlignment="1">
      <alignment horizontal="left"/>
    </xf>
    <xf numFmtId="0" fontId="38" fillId="2" borderId="1" xfId="12" applyFont="1" applyFill="1" applyBorder="1" applyAlignment="1">
      <alignment horizontal="left"/>
    </xf>
    <xf numFmtId="0" fontId="39" fillId="2" borderId="1" xfId="0" applyFont="1" applyFill="1" applyBorder="1" applyAlignment="1">
      <alignment horizontal="left" vertical="center"/>
    </xf>
    <xf numFmtId="0" fontId="46" fillId="2" borderId="1" xfId="0" applyFont="1" applyFill="1" applyBorder="1" applyAlignment="1">
      <alignment horizontal="left" vertical="center"/>
    </xf>
    <xf numFmtId="0" fontId="43" fillId="2" borderId="1" xfId="2" applyFont="1" applyFill="1" applyBorder="1" applyAlignment="1">
      <alignment horizontal="left" vertical="center"/>
    </xf>
    <xf numFmtId="0" fontId="39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2" borderId="1" xfId="0" applyFont="1" applyFill="1" applyBorder="1" applyAlignment="1">
      <alignment vertical="center"/>
    </xf>
    <xf numFmtId="0" fontId="46" fillId="2" borderId="1" xfId="0" applyFont="1" applyFill="1" applyBorder="1"/>
    <xf numFmtId="0" fontId="48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7" fillId="2" borderId="1" xfId="12" applyFont="1" applyFill="1" applyBorder="1"/>
    <xf numFmtId="0" fontId="33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38" fillId="2" borderId="1" xfId="12" quotePrefix="1" applyFont="1" applyFill="1" applyBorder="1" applyAlignment="1">
      <alignment horizontal="left"/>
    </xf>
    <xf numFmtId="0" fontId="0" fillId="2" borderId="1" xfId="12" applyFont="1" applyFill="1" applyBorder="1" applyAlignment="1">
      <alignment horizontal="left"/>
    </xf>
    <xf numFmtId="14" fontId="0" fillId="0" borderId="1" xfId="0" applyNumberFormat="1" applyBorder="1"/>
    <xf numFmtId="0" fontId="36" fillId="2" borderId="5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5" xfId="0" applyBorder="1"/>
    <xf numFmtId="0" fontId="15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15" fillId="0" borderId="5" xfId="0" applyFont="1" applyBorder="1"/>
    <xf numFmtId="0" fontId="0" fillId="0" borderId="1" xfId="0" applyBorder="1" applyAlignment="1">
      <alignment wrapText="1"/>
    </xf>
    <xf numFmtId="21" fontId="0" fillId="3" borderId="1" xfId="0" applyNumberFormat="1" applyFill="1" applyBorder="1"/>
    <xf numFmtId="0" fontId="0" fillId="0" borderId="1" xfId="0" quotePrefix="1" applyBorder="1"/>
    <xf numFmtId="0" fontId="17" fillId="3" borderId="1" xfId="2" applyFont="1" applyFill="1" applyBorder="1" applyAlignment="1">
      <alignment horizontal="left" vertical="center"/>
    </xf>
    <xf numFmtId="0" fontId="19" fillId="2" borderId="1" xfId="2" applyFont="1" applyFill="1" applyBorder="1" applyAlignment="1">
      <alignment horizontal="center" vertical="center" wrapText="1"/>
    </xf>
    <xf numFmtId="0" fontId="0" fillId="0" borderId="7" xfId="0" applyBorder="1"/>
    <xf numFmtId="0" fontId="19" fillId="2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left"/>
    </xf>
    <xf numFmtId="20" fontId="15" fillId="2" borderId="1" xfId="9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16" fillId="2" borderId="1" xfId="0" applyFont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left"/>
    </xf>
    <xf numFmtId="0" fontId="17" fillId="2" borderId="5" xfId="2" applyFont="1" applyFill="1" applyBorder="1" applyAlignment="1">
      <alignment horizontal="center" vertical="center" wrapText="1"/>
    </xf>
    <xf numFmtId="0" fontId="19" fillId="2" borderId="1" xfId="0" applyFont="1" applyFill="1" applyBorder="1"/>
    <xf numFmtId="0" fontId="5" fillId="0" borderId="0" xfId="1" applyFont="1" applyAlignment="1">
      <alignment vertical="center"/>
    </xf>
    <xf numFmtId="0" fontId="51" fillId="0" borderId="4" xfId="1" applyFont="1" applyBorder="1" applyAlignment="1">
      <alignment horizontal="center" vertical="center"/>
    </xf>
    <xf numFmtId="0" fontId="51" fillId="0" borderId="1" xfId="1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/>
    </xf>
    <xf numFmtId="0" fontId="51" fillId="0" borderId="4" xfId="0" applyFont="1" applyBorder="1" applyAlignment="1">
      <alignment horizontal="center" wrapText="1"/>
    </xf>
    <xf numFmtId="49" fontId="30" fillId="3" borderId="1" xfId="2" quotePrefix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17" fillId="3" borderId="1" xfId="2" quotePrefix="1" applyFont="1" applyFill="1" applyBorder="1" applyAlignment="1">
      <alignment horizontal="left" vertical="center"/>
    </xf>
    <xf numFmtId="0" fontId="17" fillId="3" borderId="1" xfId="2" applyFont="1" applyFill="1" applyBorder="1" applyAlignment="1">
      <alignment horizontal="left" vertical="center" wrapText="1"/>
    </xf>
    <xf numFmtId="14" fontId="17" fillId="3" borderId="1" xfId="2" applyNumberFormat="1" applyFont="1" applyFill="1" applyBorder="1" applyAlignment="1">
      <alignment horizontal="center" wrapText="1"/>
    </xf>
    <xf numFmtId="0" fontId="17" fillId="3" borderId="1" xfId="2" applyFont="1" applyFill="1" applyBorder="1" applyAlignment="1">
      <alignment horizontal="center" vertical="center" wrapText="1"/>
    </xf>
    <xf numFmtId="0" fontId="17" fillId="3" borderId="1" xfId="2" quotePrefix="1" applyFont="1" applyFill="1" applyBorder="1" applyAlignment="1">
      <alignment horizontal="center" vertical="center" wrapText="1"/>
    </xf>
    <xf numFmtId="0" fontId="0" fillId="3" borderId="1" xfId="1" applyFont="1" applyFill="1" applyBorder="1" applyAlignment="1">
      <alignment horizontal="center" vertical="center"/>
    </xf>
    <xf numFmtId="0" fontId="0" fillId="3" borderId="1" xfId="1" quotePrefix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0" fontId="2" fillId="3" borderId="1" xfId="1" applyFont="1" applyFill="1" applyBorder="1" applyAlignment="1">
      <alignment horizontal="center" vertical="center" wrapText="1"/>
    </xf>
    <xf numFmtId="0" fontId="0" fillId="3" borderId="1" xfId="0" quotePrefix="1" applyFill="1" applyBorder="1"/>
    <xf numFmtId="0" fontId="17" fillId="3" borderId="1" xfId="2" quotePrefix="1" applyFont="1" applyFill="1" applyBorder="1" applyAlignment="1">
      <alignment horizontal="center" vertical="center"/>
    </xf>
    <xf numFmtId="0" fontId="17" fillId="3" borderId="1" xfId="2" quotePrefix="1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/>
    </xf>
    <xf numFmtId="49" fontId="30" fillId="6" borderId="1" xfId="2" quotePrefix="1" applyNumberFormat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left" vertical="center"/>
    </xf>
    <xf numFmtId="0" fontId="17" fillId="6" borderId="1" xfId="2" quotePrefix="1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left" vertical="center" wrapText="1"/>
    </xf>
    <xf numFmtId="14" fontId="17" fillId="6" borderId="1" xfId="2" applyNumberFormat="1" applyFont="1" applyFill="1" applyBorder="1" applyAlignment="1">
      <alignment horizontal="center" wrapText="1"/>
    </xf>
    <xf numFmtId="0" fontId="17" fillId="6" borderId="1" xfId="2" applyFont="1" applyFill="1" applyBorder="1" applyAlignment="1">
      <alignment horizontal="center" vertical="center" wrapText="1"/>
    </xf>
    <xf numFmtId="0" fontId="17" fillId="6" borderId="1" xfId="2" quotePrefix="1" applyFont="1" applyFill="1" applyBorder="1" applyAlignment="1">
      <alignment horizontal="center" vertical="center" wrapText="1"/>
    </xf>
    <xf numFmtId="0" fontId="17" fillId="6" borderId="1" xfId="2" quotePrefix="1" applyFont="1" applyFill="1" applyBorder="1" applyAlignment="1">
      <alignment horizontal="left" vertical="center" wrapText="1"/>
    </xf>
    <xf numFmtId="0" fontId="0" fillId="6" borderId="1" xfId="1" applyFont="1" applyFill="1" applyBorder="1" applyAlignment="1">
      <alignment horizontal="center" vertical="center"/>
    </xf>
    <xf numFmtId="0" fontId="0" fillId="6" borderId="1" xfId="1" quotePrefix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/>
    </xf>
    <xf numFmtId="0" fontId="2" fillId="6" borderId="1" xfId="1" applyFont="1" applyFill="1" applyBorder="1" applyAlignment="1">
      <alignment horizontal="center" vertical="center" wrapText="1"/>
    </xf>
    <xf numFmtId="0" fontId="0" fillId="6" borderId="1" xfId="0" quotePrefix="1" applyFill="1" applyBorder="1"/>
    <xf numFmtId="0" fontId="0" fillId="3" borderId="0" xfId="0" applyFill="1"/>
    <xf numFmtId="14" fontId="17" fillId="6" borderId="1" xfId="2" quotePrefix="1" applyNumberFormat="1" applyFont="1" applyFill="1" applyBorder="1" applyAlignment="1">
      <alignment horizontal="center" wrapText="1"/>
    </xf>
    <xf numFmtId="0" fontId="17" fillId="6" borderId="1" xfId="2" applyFont="1" applyFill="1" applyBorder="1" applyAlignment="1">
      <alignment horizontal="left" vertical="center"/>
    </xf>
    <xf numFmtId="49" fontId="30" fillId="2" borderId="1" xfId="2" quotePrefix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17" fillId="2" borderId="1" xfId="2" quotePrefix="1" applyFont="1" applyFill="1" applyBorder="1" applyAlignment="1">
      <alignment horizontal="center" vertical="center"/>
    </xf>
    <xf numFmtId="0" fontId="17" fillId="2" borderId="1" xfId="2" applyFont="1" applyFill="1" applyBorder="1" applyAlignment="1">
      <alignment horizontal="left" vertical="center" wrapText="1"/>
    </xf>
    <xf numFmtId="14" fontId="17" fillId="2" borderId="1" xfId="2" applyNumberFormat="1" applyFont="1" applyFill="1" applyBorder="1" applyAlignment="1">
      <alignment horizontal="center" wrapText="1"/>
    </xf>
    <xf numFmtId="0" fontId="17" fillId="2" borderId="1" xfId="2" quotePrefix="1" applyFont="1" applyFill="1" applyBorder="1" applyAlignment="1">
      <alignment horizontal="center" vertical="center" wrapText="1"/>
    </xf>
    <xf numFmtId="0" fontId="17" fillId="2" borderId="1" xfId="2" quotePrefix="1" applyFont="1" applyFill="1" applyBorder="1" applyAlignment="1">
      <alignment horizontal="left" vertical="center" wrapText="1"/>
    </xf>
    <xf numFmtId="0" fontId="0" fillId="2" borderId="1" xfId="1" applyFont="1" applyFill="1" applyBorder="1" applyAlignment="1">
      <alignment horizontal="center" vertical="center"/>
    </xf>
    <xf numFmtId="0" fontId="0" fillId="2" borderId="1" xfId="1" quotePrefix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0" fillId="2" borderId="1" xfId="0" quotePrefix="1" applyFill="1" applyBorder="1"/>
    <xf numFmtId="49" fontId="52" fillId="3" borderId="1" xfId="2" quotePrefix="1" applyNumberFormat="1" applyFont="1" applyFill="1" applyBorder="1" applyAlignment="1">
      <alignment horizontal="center" vertical="center" wrapText="1"/>
    </xf>
    <xf numFmtId="0" fontId="19" fillId="3" borderId="1" xfId="2" applyFont="1" applyFill="1" applyBorder="1" applyAlignment="1">
      <alignment horizontal="left" vertical="center"/>
    </xf>
    <xf numFmtId="0" fontId="19" fillId="3" borderId="1" xfId="2" applyFont="1" applyFill="1" applyBorder="1" applyAlignment="1">
      <alignment horizontal="center" vertical="center" wrapText="1"/>
    </xf>
    <xf numFmtId="0" fontId="0" fillId="3" borderId="0" xfId="0" quotePrefix="1" applyFill="1" applyAlignment="1">
      <alignment horizontal="left"/>
    </xf>
    <xf numFmtId="0" fontId="0" fillId="6" borderId="1" xfId="0" applyFill="1" applyBorder="1" applyAlignment="1">
      <alignment horizontal="left"/>
    </xf>
    <xf numFmtId="0" fontId="0" fillId="3" borderId="1" xfId="1" quotePrefix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49" fontId="52" fillId="7" borderId="1" xfId="2" quotePrefix="1" applyNumberFormat="1" applyFont="1" applyFill="1" applyBorder="1" applyAlignment="1">
      <alignment horizontal="center" vertical="center" wrapText="1"/>
    </xf>
    <xf numFmtId="0" fontId="0" fillId="7" borderId="1" xfId="1" applyFont="1" applyFill="1" applyBorder="1" applyAlignment="1">
      <alignment horizontal="center" vertical="center"/>
    </xf>
    <xf numFmtId="0" fontId="19" fillId="7" borderId="1" xfId="2" quotePrefix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14" fontId="19" fillId="7" borderId="1" xfId="2" applyNumberFormat="1" applyFont="1" applyFill="1" applyBorder="1" applyAlignment="1">
      <alignment horizontal="center" wrapText="1"/>
    </xf>
    <xf numFmtId="0" fontId="19" fillId="7" borderId="1" xfId="2" applyFont="1" applyFill="1" applyBorder="1" applyAlignment="1">
      <alignment horizontal="center" vertical="center" wrapText="1"/>
    </xf>
    <xf numFmtId="0" fontId="19" fillId="7" borderId="1" xfId="2" quotePrefix="1" applyFont="1" applyFill="1" applyBorder="1" applyAlignment="1">
      <alignment horizontal="center" vertical="center" wrapText="1"/>
    </xf>
    <xf numFmtId="0" fontId="19" fillId="7" borderId="1" xfId="2" quotePrefix="1" applyFont="1" applyFill="1" applyBorder="1" applyAlignment="1">
      <alignment horizontal="left" vertical="center" wrapText="1"/>
    </xf>
    <xf numFmtId="0" fontId="0" fillId="7" borderId="1" xfId="1" quotePrefix="1" applyFon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/>
    </xf>
    <xf numFmtId="0" fontId="0" fillId="7" borderId="1" xfId="1" applyFont="1" applyFill="1" applyBorder="1" applyAlignment="1">
      <alignment horizontal="center" vertical="center" wrapText="1"/>
    </xf>
    <xf numFmtId="0" fontId="0" fillId="7" borderId="1" xfId="0" quotePrefix="1" applyFill="1" applyBorder="1"/>
    <xf numFmtId="49" fontId="30" fillId="7" borderId="1" xfId="2" quotePrefix="1" applyNumberFormat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/>
    </xf>
    <xf numFmtId="0" fontId="17" fillId="7" borderId="1" xfId="2" quotePrefix="1" applyFont="1" applyFill="1" applyBorder="1" applyAlignment="1">
      <alignment horizontal="center" vertical="center"/>
    </xf>
    <xf numFmtId="14" fontId="17" fillId="7" borderId="1" xfId="2" applyNumberFormat="1" applyFont="1" applyFill="1" applyBorder="1" applyAlignment="1">
      <alignment horizontal="center" wrapText="1"/>
    </xf>
    <xf numFmtId="0" fontId="17" fillId="7" borderId="1" xfId="2" applyFont="1" applyFill="1" applyBorder="1" applyAlignment="1">
      <alignment horizontal="center" vertical="center" wrapText="1"/>
    </xf>
    <xf numFmtId="0" fontId="17" fillId="7" borderId="1" xfId="2" quotePrefix="1" applyFont="1" applyFill="1" applyBorder="1" applyAlignment="1">
      <alignment horizontal="center" vertical="center" wrapText="1"/>
    </xf>
    <xf numFmtId="0" fontId="17" fillId="7" borderId="1" xfId="2" quotePrefix="1" applyFont="1" applyFill="1" applyBorder="1" applyAlignment="1">
      <alignment horizontal="left" vertical="center" wrapText="1"/>
    </xf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wrapText="1"/>
    </xf>
    <xf numFmtId="0" fontId="52" fillId="3" borderId="17" xfId="0" applyFont="1" applyFill="1" applyBorder="1" applyAlignment="1">
      <alignment horizontal="center" wrapText="1"/>
    </xf>
    <xf numFmtId="0" fontId="53" fillId="3" borderId="17" xfId="0" applyFont="1" applyFill="1" applyBorder="1" applyAlignment="1">
      <alignment horizontal="center" wrapText="1"/>
    </xf>
    <xf numFmtId="0" fontId="19" fillId="3" borderId="17" xfId="0" applyFont="1" applyFill="1" applyBorder="1" applyAlignment="1">
      <alignment wrapText="1"/>
    </xf>
    <xf numFmtId="0" fontId="53" fillId="3" borderId="17" xfId="0" quotePrefix="1" applyFont="1" applyFill="1" applyBorder="1" applyAlignment="1">
      <alignment wrapText="1"/>
    </xf>
    <xf numFmtId="14" fontId="19" fillId="3" borderId="17" xfId="0" applyNumberFormat="1" applyFont="1" applyFill="1" applyBorder="1" applyAlignment="1">
      <alignment horizontal="center" wrapText="1"/>
    </xf>
    <xf numFmtId="0" fontId="19" fillId="3" borderId="17" xfId="0" applyFont="1" applyFill="1" applyBorder="1" applyAlignment="1">
      <alignment horizontal="center" wrapText="1"/>
    </xf>
    <xf numFmtId="0" fontId="19" fillId="3" borderId="17" xfId="0" quotePrefix="1" applyFont="1" applyFill="1" applyBorder="1" applyAlignment="1">
      <alignment horizontal="center" wrapText="1"/>
    </xf>
    <xf numFmtId="0" fontId="19" fillId="3" borderId="17" xfId="0" quotePrefix="1" applyFont="1" applyFill="1" applyBorder="1" applyAlignment="1">
      <alignment wrapText="1"/>
    </xf>
    <xf numFmtId="0" fontId="53" fillId="3" borderId="17" xfId="0" applyFont="1" applyFill="1" applyBorder="1" applyAlignment="1">
      <alignment wrapText="1"/>
    </xf>
    <xf numFmtId="0" fontId="19" fillId="3" borderId="18" xfId="0" applyFont="1" applyFill="1" applyBorder="1" applyAlignment="1">
      <alignment horizontal="center" vertical="center"/>
    </xf>
    <xf numFmtId="0" fontId="17" fillId="2" borderId="1" xfId="2" quotePrefix="1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17" fillId="3" borderId="4" xfId="2" quotePrefix="1" applyFont="1" applyFill="1" applyBorder="1" applyAlignment="1">
      <alignment horizontal="left" vertical="center"/>
    </xf>
    <xf numFmtId="14" fontId="17" fillId="3" borderId="4" xfId="2" applyNumberFormat="1" applyFont="1" applyFill="1" applyBorder="1" applyAlignment="1">
      <alignment horizontal="center" wrapText="1"/>
    </xf>
    <xf numFmtId="0" fontId="17" fillId="3" borderId="4" xfId="2" applyFont="1" applyFill="1" applyBorder="1" applyAlignment="1">
      <alignment horizontal="center" vertical="center" wrapText="1"/>
    </xf>
    <xf numFmtId="0" fontId="17" fillId="3" borderId="4" xfId="2" quotePrefix="1" applyFont="1" applyFill="1" applyBorder="1" applyAlignment="1">
      <alignment horizontal="center" vertical="center" wrapText="1"/>
    </xf>
    <xf numFmtId="0" fontId="17" fillId="3" borderId="4" xfId="2" quotePrefix="1" applyFont="1" applyFill="1" applyBorder="1" applyAlignment="1">
      <alignment horizontal="left" vertical="center" wrapText="1"/>
    </xf>
    <xf numFmtId="0" fontId="0" fillId="3" borderId="4" xfId="1" applyFont="1" applyFill="1" applyBorder="1" applyAlignment="1">
      <alignment horizontal="center" vertical="center"/>
    </xf>
    <xf numFmtId="0" fontId="0" fillId="3" borderId="4" xfId="1" quotePrefix="1" applyFont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4" xfId="1" applyFont="1" applyFill="1" applyBorder="1" applyAlignment="1">
      <alignment horizontal="center" vertical="center" wrapText="1"/>
    </xf>
    <xf numFmtId="0" fontId="0" fillId="3" borderId="4" xfId="0" quotePrefix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17" fillId="3" borderId="1" xfId="2" applyFont="1" applyFill="1" applyBorder="1" applyAlignment="1">
      <alignment horizontal="center" vertical="center"/>
    </xf>
    <xf numFmtId="0" fontId="5" fillId="3" borderId="1" xfId="1" quotePrefix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0" quotePrefix="1" applyFont="1" applyFill="1" applyBorder="1"/>
    <xf numFmtId="14" fontId="17" fillId="3" borderId="1" xfId="2" quotePrefix="1" applyNumberFormat="1" applyFont="1" applyFill="1" applyBorder="1" applyAlignment="1">
      <alignment horizontal="center" wrapText="1"/>
    </xf>
    <xf numFmtId="0" fontId="0" fillId="3" borderId="1" xfId="1" applyFont="1" applyFill="1" applyBorder="1" applyAlignment="1">
      <alignment horizontal="left" vertical="center"/>
    </xf>
    <xf numFmtId="0" fontId="0" fillId="3" borderId="1" xfId="1" quotePrefix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left" vertical="center" wrapText="1"/>
    </xf>
    <xf numFmtId="0" fontId="17" fillId="7" borderId="1" xfId="2" applyFont="1" applyFill="1" applyBorder="1" applyAlignment="1">
      <alignment horizontal="left" vertical="center"/>
    </xf>
    <xf numFmtId="0" fontId="17" fillId="7" borderId="1" xfId="2" quotePrefix="1" applyFont="1" applyFill="1" applyBorder="1" applyAlignment="1">
      <alignment horizontal="left" vertical="center"/>
    </xf>
    <xf numFmtId="0" fontId="17" fillId="7" borderId="1" xfId="2" applyFont="1" applyFill="1" applyBorder="1" applyAlignment="1">
      <alignment horizontal="left" vertical="center" wrapText="1"/>
    </xf>
    <xf numFmtId="0" fontId="0" fillId="7" borderId="1" xfId="1" applyFont="1" applyFill="1" applyBorder="1" applyAlignment="1">
      <alignment horizontal="left" vertical="center"/>
    </xf>
    <xf numFmtId="0" fontId="0" fillId="7" borderId="0" xfId="0" quotePrefix="1" applyFill="1"/>
    <xf numFmtId="0" fontId="0" fillId="7" borderId="1" xfId="1" quotePrefix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left" vertical="center"/>
    </xf>
    <xf numFmtId="0" fontId="0" fillId="7" borderId="1" xfId="0" quotePrefix="1" applyFill="1" applyBorder="1" applyAlignment="1">
      <alignment horizontal="left"/>
    </xf>
    <xf numFmtId="0" fontId="0" fillId="7" borderId="0" xfId="0" applyFill="1"/>
    <xf numFmtId="0" fontId="2" fillId="7" borderId="1" xfId="1" applyFont="1" applyFill="1" applyBorder="1" applyAlignment="1">
      <alignment horizontal="left" vertical="center" wrapText="1"/>
    </xf>
    <xf numFmtId="14" fontId="17" fillId="7" borderId="1" xfId="2" quotePrefix="1" applyNumberFormat="1" applyFont="1" applyFill="1" applyBorder="1" applyAlignment="1">
      <alignment horizontal="center" wrapText="1"/>
    </xf>
    <xf numFmtId="0" fontId="17" fillId="6" borderId="1" xfId="2" quotePrefix="1" applyFont="1" applyFill="1" applyBorder="1" applyAlignment="1">
      <alignment horizontal="left" vertical="center"/>
    </xf>
    <xf numFmtId="0" fontId="0" fillId="6" borderId="1" xfId="1" applyFont="1" applyFill="1" applyBorder="1" applyAlignment="1">
      <alignment horizontal="left" vertical="center"/>
    </xf>
    <xf numFmtId="0" fontId="0" fillId="6" borderId="1" xfId="1" quotePrefix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0" fillId="6" borderId="1" xfId="0" quotePrefix="1" applyFill="1" applyBorder="1" applyAlignment="1">
      <alignment horizontal="left"/>
    </xf>
    <xf numFmtId="0" fontId="2" fillId="6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/>
    </xf>
    <xf numFmtId="14" fontId="0" fillId="6" borderId="1" xfId="15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0" fillId="6" borderId="0" xfId="0" applyFill="1"/>
    <xf numFmtId="0" fontId="0" fillId="6" borderId="6" xfId="0" applyFill="1" applyBorder="1" applyAlignment="1">
      <alignment horizontal="left"/>
    </xf>
    <xf numFmtId="14" fontId="0" fillId="3" borderId="1" xfId="0" applyNumberFormat="1" applyFill="1" applyBorder="1" applyAlignment="1">
      <alignment horizontal="center"/>
    </xf>
    <xf numFmtId="49" fontId="52" fillId="2" borderId="1" xfId="2" quotePrefix="1" applyNumberFormat="1" applyFont="1" applyFill="1" applyBorder="1" applyAlignment="1">
      <alignment horizontal="center" vertical="center" wrapText="1"/>
    </xf>
    <xf numFmtId="0" fontId="0" fillId="2" borderId="0" xfId="0" quotePrefix="1" applyFill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0" fillId="2" borderId="1" xfId="1" applyFont="1" applyFill="1" applyBorder="1" applyAlignment="1">
      <alignment horizontal="left" vertical="center"/>
    </xf>
    <xf numFmtId="0" fontId="0" fillId="3" borderId="0" xfId="0" quotePrefix="1" applyFill="1"/>
    <xf numFmtId="0" fontId="5" fillId="3" borderId="1" xfId="0" quotePrefix="1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/>
    </xf>
    <xf numFmtId="16" fontId="5" fillId="3" borderId="1" xfId="0" applyNumberFormat="1" applyFont="1" applyFill="1" applyBorder="1" applyAlignment="1">
      <alignment horizontal="left"/>
    </xf>
    <xf numFmtId="0" fontId="5" fillId="3" borderId="0" xfId="0" applyFont="1" applyFill="1"/>
    <xf numFmtId="14" fontId="5" fillId="3" borderId="1" xfId="0" quotePrefix="1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left"/>
    </xf>
    <xf numFmtId="0" fontId="0" fillId="3" borderId="6" xfId="0" quotePrefix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17" fillId="3" borderId="6" xfId="2" applyFont="1" applyFill="1" applyBorder="1" applyAlignment="1">
      <alignment horizontal="center" vertical="center" wrapText="1"/>
    </xf>
    <xf numFmtId="0" fontId="19" fillId="6" borderId="1" xfId="2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6" borderId="0" xfId="0" applyNumberFormat="1" applyFill="1"/>
    <xf numFmtId="0" fontId="0" fillId="4" borderId="1" xfId="0" quotePrefix="1" applyFill="1" applyBorder="1" applyAlignment="1">
      <alignment horizontal="left"/>
    </xf>
    <xf numFmtId="14" fontId="0" fillId="6" borderId="1" xfId="0" applyNumberFormat="1" applyFill="1" applyBorder="1" applyAlignment="1">
      <alignment horizontal="left"/>
    </xf>
    <xf numFmtId="0" fontId="0" fillId="6" borderId="0" xfId="0" quotePrefix="1" applyFill="1"/>
    <xf numFmtId="14" fontId="0" fillId="7" borderId="1" xfId="0" quotePrefix="1" applyNumberForma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/>
    <xf numFmtId="14" fontId="0" fillId="6" borderId="1" xfId="0" applyNumberFormat="1" applyFill="1" applyBorder="1"/>
    <xf numFmtId="0" fontId="0" fillId="4" borderId="0" xfId="0" applyFill="1"/>
    <xf numFmtId="0" fontId="0" fillId="3" borderId="4" xfId="0" applyFill="1" applyBorder="1"/>
    <xf numFmtId="49" fontId="30" fillId="2" borderId="1" xfId="2" applyNumberFormat="1" applyFont="1" applyFill="1" applyBorder="1" applyAlignment="1">
      <alignment horizontal="center" vertical="center" wrapText="1"/>
    </xf>
    <xf numFmtId="49" fontId="30" fillId="3" borderId="5" xfId="2" applyNumberFormat="1" applyFont="1" applyFill="1" applyBorder="1" applyAlignment="1">
      <alignment horizontal="center" vertical="center" wrapText="1"/>
    </xf>
    <xf numFmtId="21" fontId="15" fillId="0" borderId="1" xfId="0" applyNumberFormat="1" applyFont="1" applyBorder="1"/>
    <xf numFmtId="14" fontId="17" fillId="2" borderId="1" xfId="2" quotePrefix="1" applyNumberFormat="1" applyFont="1" applyFill="1" applyBorder="1" applyAlignment="1">
      <alignment horizontal="center" wrapText="1"/>
    </xf>
    <xf numFmtId="0" fontId="0" fillId="2" borderId="1" xfId="1" quotePrefix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/>
    </xf>
    <xf numFmtId="49" fontId="52" fillId="8" borderId="1" xfId="2" quotePrefix="1" applyNumberFormat="1" applyFont="1" applyFill="1" applyBorder="1" applyAlignment="1">
      <alignment horizontal="center" vertical="center" wrapText="1"/>
    </xf>
    <xf numFmtId="0" fontId="0" fillId="8" borderId="1" xfId="1" applyFont="1" applyFill="1" applyBorder="1" applyAlignment="1">
      <alignment horizontal="center" vertical="center"/>
    </xf>
    <xf numFmtId="0" fontId="19" fillId="8" borderId="1" xfId="2" applyFont="1" applyFill="1" applyBorder="1" applyAlignment="1">
      <alignment horizontal="left" vertical="center"/>
    </xf>
    <xf numFmtId="0" fontId="19" fillId="8" borderId="1" xfId="2" quotePrefix="1" applyFont="1" applyFill="1" applyBorder="1" applyAlignment="1">
      <alignment horizontal="center" vertical="center"/>
    </xf>
    <xf numFmtId="0" fontId="19" fillId="8" borderId="1" xfId="2" applyFont="1" applyFill="1" applyBorder="1" applyAlignment="1">
      <alignment horizontal="left" vertical="center" wrapText="1"/>
    </xf>
    <xf numFmtId="14" fontId="19" fillId="8" borderId="1" xfId="2" applyNumberFormat="1" applyFont="1" applyFill="1" applyBorder="1" applyAlignment="1">
      <alignment horizontal="center" wrapText="1"/>
    </xf>
    <xf numFmtId="0" fontId="19" fillId="8" borderId="1" xfId="2" applyFont="1" applyFill="1" applyBorder="1" applyAlignment="1">
      <alignment horizontal="center" vertical="center" wrapText="1"/>
    </xf>
    <xf numFmtId="0" fontId="19" fillId="8" borderId="1" xfId="2" quotePrefix="1" applyFont="1" applyFill="1" applyBorder="1" applyAlignment="1">
      <alignment horizontal="center" vertical="center" wrapText="1"/>
    </xf>
    <xf numFmtId="0" fontId="19" fillId="8" borderId="1" xfId="2" quotePrefix="1" applyFont="1" applyFill="1" applyBorder="1" applyAlignment="1">
      <alignment horizontal="left" vertical="center" wrapText="1"/>
    </xf>
    <xf numFmtId="0" fontId="0" fillId="8" borderId="1" xfId="1" quotePrefix="1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/>
    </xf>
    <xf numFmtId="0" fontId="0" fillId="8" borderId="1" xfId="1" applyFont="1" applyFill="1" applyBorder="1" applyAlignment="1">
      <alignment horizontal="center" vertical="center" wrapText="1"/>
    </xf>
    <xf numFmtId="0" fontId="0" fillId="8" borderId="1" xfId="0" quotePrefix="1" applyFill="1" applyBorder="1"/>
    <xf numFmtId="0" fontId="0" fillId="8" borderId="0" xfId="0" applyFill="1"/>
    <xf numFmtId="0" fontId="36" fillId="3" borderId="1" xfId="0" applyFont="1" applyFill="1" applyBorder="1" applyAlignment="1">
      <alignment vertical="center" wrapText="1"/>
    </xf>
    <xf numFmtId="0" fontId="39" fillId="3" borderId="1" xfId="0" applyFont="1" applyFill="1" applyBorder="1" applyAlignment="1">
      <alignment vertical="center"/>
    </xf>
    <xf numFmtId="20" fontId="15" fillId="3" borderId="1" xfId="9" applyNumberFormat="1" applyFont="1" applyFill="1" applyBorder="1" applyAlignment="1">
      <alignment horizontal="center"/>
    </xf>
    <xf numFmtId="0" fontId="19" fillId="2" borderId="1" xfId="2" applyFont="1" applyFill="1" applyBorder="1" applyAlignment="1">
      <alignment horizontal="left" vertical="center"/>
    </xf>
    <xf numFmtId="0" fontId="17" fillId="2" borderId="4" xfId="2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/>
    </xf>
    <xf numFmtId="0" fontId="19" fillId="2" borderId="5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0" fontId="19" fillId="2" borderId="5" xfId="0" applyFont="1" applyFill="1" applyBorder="1" applyAlignment="1">
      <alignment wrapText="1"/>
    </xf>
    <xf numFmtId="0" fontId="5" fillId="2" borderId="1" xfId="1" applyFont="1" applyFill="1" applyBorder="1" applyAlignment="1">
      <alignment horizontal="left" vertical="center"/>
    </xf>
    <xf numFmtId="0" fontId="17" fillId="2" borderId="4" xfId="2" applyFont="1" applyFill="1" applyBorder="1" applyAlignment="1">
      <alignment horizontal="left" vertical="center"/>
    </xf>
    <xf numFmtId="0" fontId="20" fillId="2" borderId="1" xfId="0" quotePrefix="1" applyFont="1" applyFill="1" applyBorder="1" applyAlignment="1">
      <alignment horizontal="left"/>
    </xf>
    <xf numFmtId="0" fontId="0" fillId="2" borderId="7" xfId="0" applyFill="1" applyBorder="1"/>
    <xf numFmtId="0" fontId="0" fillId="2" borderId="4" xfId="0" applyFill="1" applyBorder="1"/>
    <xf numFmtId="0" fontId="0" fillId="2" borderId="0" xfId="0" applyFill="1" applyAlignment="1">
      <alignment horizontal="left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/>
    </xf>
    <xf numFmtId="49" fontId="30" fillId="9" borderId="1" xfId="2" quotePrefix="1" applyNumberFormat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/>
    </xf>
    <xf numFmtId="0" fontId="17" fillId="9" borderId="1" xfId="2" quotePrefix="1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 wrapText="1"/>
    </xf>
    <xf numFmtId="14" fontId="17" fillId="9" borderId="1" xfId="2" applyNumberFormat="1" applyFont="1" applyFill="1" applyBorder="1" applyAlignment="1">
      <alignment horizontal="center" wrapText="1"/>
    </xf>
    <xf numFmtId="0" fontId="17" fillId="9" borderId="1" xfId="2" applyFont="1" applyFill="1" applyBorder="1" applyAlignment="1">
      <alignment horizontal="center" vertical="center" wrapText="1"/>
    </xf>
    <xf numFmtId="0" fontId="17" fillId="9" borderId="1" xfId="2" quotePrefix="1" applyFont="1" applyFill="1" applyBorder="1" applyAlignment="1">
      <alignment horizontal="center" vertical="center" wrapText="1"/>
    </xf>
    <xf numFmtId="0" fontId="17" fillId="9" borderId="1" xfId="2" quotePrefix="1" applyFont="1" applyFill="1" applyBorder="1" applyAlignment="1">
      <alignment horizontal="left" vertical="center" wrapText="1"/>
    </xf>
    <xf numFmtId="0" fontId="0" fillId="9" borderId="1" xfId="1" applyFont="1" applyFill="1" applyBorder="1" applyAlignment="1">
      <alignment horizontal="center" vertical="center"/>
    </xf>
    <xf numFmtId="0" fontId="0" fillId="9" borderId="1" xfId="1" quotePrefix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/>
    </xf>
    <xf numFmtId="0" fontId="2" fillId="9" borderId="1" xfId="1" applyFont="1" applyFill="1" applyBorder="1" applyAlignment="1">
      <alignment horizontal="center" vertical="center" wrapText="1"/>
    </xf>
    <xf numFmtId="0" fontId="0" fillId="9" borderId="1" xfId="0" quotePrefix="1" applyFill="1" applyBorder="1"/>
    <xf numFmtId="0" fontId="19" fillId="3" borderId="1" xfId="2" quotePrefix="1" applyFont="1" applyFill="1" applyBorder="1" applyAlignment="1">
      <alignment horizontal="center" vertical="center"/>
    </xf>
    <xf numFmtId="0" fontId="19" fillId="3" borderId="1" xfId="2" applyFont="1" applyFill="1" applyBorder="1" applyAlignment="1">
      <alignment horizontal="left" vertical="center" wrapText="1"/>
    </xf>
    <xf numFmtId="14" fontId="19" fillId="3" borderId="1" xfId="2" applyNumberFormat="1" applyFont="1" applyFill="1" applyBorder="1" applyAlignment="1">
      <alignment horizontal="center" wrapText="1"/>
    </xf>
    <xf numFmtId="0" fontId="19" fillId="3" borderId="1" xfId="2" quotePrefix="1" applyFont="1" applyFill="1" applyBorder="1" applyAlignment="1">
      <alignment horizontal="center" vertical="center" wrapText="1"/>
    </xf>
    <xf numFmtId="0" fontId="19" fillId="3" borderId="1" xfId="2" quotePrefix="1" applyFont="1" applyFill="1" applyBorder="1" applyAlignment="1">
      <alignment horizontal="left" vertical="center" wrapText="1"/>
    </xf>
    <xf numFmtId="0" fontId="0" fillId="3" borderId="1" xfId="1" applyFont="1" applyFill="1" applyBorder="1" applyAlignment="1">
      <alignment horizontal="center" vertical="center" wrapText="1"/>
    </xf>
    <xf numFmtId="0" fontId="17" fillId="10" borderId="1" xfId="2" applyFont="1" applyFill="1" applyBorder="1" applyAlignment="1">
      <alignment horizontal="left" vertical="center"/>
    </xf>
    <xf numFmtId="0" fontId="0" fillId="3" borderId="0" xfId="0" quotePrefix="1" applyFill="1" applyAlignment="1">
      <alignment horizontal="center"/>
    </xf>
    <xf numFmtId="0" fontId="0" fillId="10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53" fillId="3" borderId="17" xfId="0" quotePrefix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/>
    </xf>
    <xf numFmtId="0" fontId="17" fillId="3" borderId="4" xfId="2" quotePrefix="1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49" fontId="30" fillId="13" borderId="1" xfId="2" quotePrefix="1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/>
    </xf>
    <xf numFmtId="14" fontId="17" fillId="13" borderId="1" xfId="2" applyNumberFormat="1" applyFont="1" applyFill="1" applyBorder="1" applyAlignment="1">
      <alignment horizontal="center" wrapText="1"/>
    </xf>
    <xf numFmtId="0" fontId="17" fillId="13" borderId="1" xfId="2" applyFont="1" applyFill="1" applyBorder="1" applyAlignment="1">
      <alignment horizontal="center" vertical="center" wrapText="1"/>
    </xf>
    <xf numFmtId="0" fontId="17" fillId="13" borderId="1" xfId="2" quotePrefix="1" applyFont="1" applyFill="1" applyBorder="1" applyAlignment="1">
      <alignment horizontal="left" vertical="center" wrapText="1"/>
    </xf>
    <xf numFmtId="0" fontId="17" fillId="13" borderId="1" xfId="2" applyFont="1" applyFill="1" applyBorder="1" applyAlignment="1">
      <alignment horizontal="left" vertical="center" wrapText="1"/>
    </xf>
    <xf numFmtId="0" fontId="0" fillId="13" borderId="1" xfId="1" applyFont="1" applyFill="1" applyBorder="1" applyAlignment="1">
      <alignment horizontal="left" vertical="center"/>
    </xf>
    <xf numFmtId="0" fontId="0" fillId="13" borderId="1" xfId="1" quotePrefix="1" applyFont="1" applyFill="1" applyBorder="1" applyAlignment="1">
      <alignment horizontal="left" vertical="center"/>
    </xf>
    <xf numFmtId="0" fontId="0" fillId="13" borderId="1" xfId="0" quotePrefix="1" applyFill="1" applyBorder="1" applyAlignment="1">
      <alignment horizontal="left"/>
    </xf>
    <xf numFmtId="0" fontId="2" fillId="13" borderId="1" xfId="1" applyFont="1" applyFill="1" applyBorder="1" applyAlignment="1">
      <alignment horizontal="left" vertical="center"/>
    </xf>
    <xf numFmtId="0" fontId="2" fillId="13" borderId="1" xfId="1" applyFont="1" applyFill="1" applyBorder="1" applyAlignment="1">
      <alignment horizontal="left" vertical="center" wrapText="1"/>
    </xf>
    <xf numFmtId="0" fontId="0" fillId="13" borderId="1" xfId="0" quotePrefix="1" applyFill="1" applyBorder="1"/>
    <xf numFmtId="0" fontId="17" fillId="13" borderId="1" xfId="2" applyFont="1" applyFill="1" applyBorder="1" applyAlignment="1">
      <alignment horizontal="left" vertical="center"/>
    </xf>
    <xf numFmtId="0" fontId="0" fillId="13" borderId="0" xfId="0" quotePrefix="1" applyFill="1"/>
    <xf numFmtId="0" fontId="5" fillId="13" borderId="1" xfId="1" applyFont="1" applyFill="1" applyBorder="1" applyAlignment="1">
      <alignment horizontal="center" vertical="center"/>
    </xf>
    <xf numFmtId="0" fontId="0" fillId="13" borderId="0" xfId="0" applyFill="1"/>
    <xf numFmtId="14" fontId="17" fillId="13" borderId="1" xfId="2" quotePrefix="1" applyNumberFormat="1" applyFont="1" applyFill="1" applyBorder="1" applyAlignment="1">
      <alignment horizontal="center" wrapText="1"/>
    </xf>
    <xf numFmtId="0" fontId="4" fillId="3" borderId="1" xfId="1" applyFont="1" applyFill="1" applyBorder="1" applyAlignment="1">
      <alignment horizontal="center" vertical="center"/>
    </xf>
    <xf numFmtId="14" fontId="0" fillId="3" borderId="1" xfId="15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quotePrefix="1" applyFont="1" applyFill="1" applyBorder="1" applyAlignment="1">
      <alignment horizontal="center"/>
    </xf>
    <xf numFmtId="14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quotePrefix="1" applyFont="1" applyFill="1" applyBorder="1" applyAlignment="1">
      <alignment horizontal="left"/>
    </xf>
    <xf numFmtId="0" fontId="5" fillId="2" borderId="1" xfId="0" quotePrefix="1" applyFont="1" applyFill="1" applyBorder="1" applyAlignment="1">
      <alignment horizontal="left"/>
    </xf>
    <xf numFmtId="0" fontId="5" fillId="7" borderId="1" xfId="0" quotePrefix="1" applyFont="1" applyFill="1" applyBorder="1"/>
    <xf numFmtId="0" fontId="0" fillId="7" borderId="0" xfId="0" quotePrefix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16" fontId="5" fillId="7" borderId="1" xfId="0" applyNumberFormat="1" applyFont="1" applyFill="1" applyBorder="1" applyAlignment="1">
      <alignment horizontal="left"/>
    </xf>
    <xf numFmtId="14" fontId="5" fillId="7" borderId="1" xfId="0" quotePrefix="1" applyNumberFormat="1" applyFont="1" applyFill="1" applyBorder="1" applyAlignment="1">
      <alignment horizontal="center"/>
    </xf>
    <xf numFmtId="0" fontId="5" fillId="7" borderId="0" xfId="0" quotePrefix="1" applyFont="1" applyFill="1"/>
    <xf numFmtId="0" fontId="5" fillId="7" borderId="6" xfId="0" applyFont="1" applyFill="1" applyBorder="1" applyAlignment="1">
      <alignment horizontal="left"/>
    </xf>
    <xf numFmtId="0" fontId="0" fillId="7" borderId="1" xfId="0" applyFill="1" applyBorder="1"/>
    <xf numFmtId="0" fontId="0" fillId="4" borderId="6" xfId="0" applyFill="1" applyBorder="1" applyAlignment="1">
      <alignment horizontal="left"/>
    </xf>
    <xf numFmtId="0" fontId="0" fillId="9" borderId="6" xfId="0" quotePrefix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0" fontId="17" fillId="9" borderId="6" xfId="2" applyFont="1" applyFill="1" applyBorder="1" applyAlignment="1">
      <alignment horizontal="center" vertical="center" wrapText="1"/>
    </xf>
    <xf numFmtId="0" fontId="0" fillId="9" borderId="6" xfId="0" quotePrefix="1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0" xfId="0" applyFill="1"/>
    <xf numFmtId="0" fontId="0" fillId="9" borderId="1" xfId="0" applyFill="1" applyBorder="1"/>
    <xf numFmtId="0" fontId="0" fillId="9" borderId="0" xfId="0" quotePrefix="1" applyFill="1"/>
    <xf numFmtId="49" fontId="52" fillId="9" borderId="1" xfId="2" quotePrefix="1" applyNumberFormat="1" applyFont="1" applyFill="1" applyBorder="1" applyAlignment="1">
      <alignment horizontal="center" vertical="center" wrapText="1"/>
    </xf>
    <xf numFmtId="0" fontId="0" fillId="9" borderId="1" xfId="0" quotePrefix="1" applyFill="1" applyBorder="1" applyAlignment="1">
      <alignment horizontal="left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9" fillId="9" borderId="1" xfId="2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/>
    </xf>
    <xf numFmtId="14" fontId="0" fillId="9" borderId="1" xfId="0" applyNumberFormat="1" applyFill="1" applyBorder="1" applyAlignment="1">
      <alignment horizontal="left"/>
    </xf>
    <xf numFmtId="14" fontId="0" fillId="9" borderId="1" xfId="0" quotePrefix="1" applyNumberFormat="1" applyFill="1" applyBorder="1" applyAlignment="1">
      <alignment horizontal="center"/>
    </xf>
    <xf numFmtId="14" fontId="0" fillId="9" borderId="1" xfId="0" applyNumberFormat="1" applyFill="1" applyBorder="1"/>
    <xf numFmtId="0" fontId="0" fillId="9" borderId="1" xfId="0" quotePrefix="1" applyFill="1" applyBorder="1" applyAlignment="1">
      <alignment horizontal="center" vertical="center"/>
    </xf>
    <xf numFmtId="14" fontId="0" fillId="7" borderId="1" xfId="0" applyNumberFormat="1" applyFill="1" applyBorder="1"/>
    <xf numFmtId="14" fontId="0" fillId="2" borderId="1" xfId="0" applyNumberFormat="1" applyFill="1" applyBorder="1"/>
    <xf numFmtId="49" fontId="30" fillId="7" borderId="4" xfId="2" quotePrefix="1" applyNumberFormat="1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left"/>
    </xf>
    <xf numFmtId="0" fontId="0" fillId="7" borderId="4" xfId="0" quotePrefix="1" applyFill="1" applyBorder="1" applyAlignment="1">
      <alignment horizontal="center"/>
    </xf>
    <xf numFmtId="0" fontId="0" fillId="7" borderId="4" xfId="0" quotePrefix="1" applyFill="1" applyBorder="1"/>
    <xf numFmtId="14" fontId="0" fillId="7" borderId="4" xfId="0" applyNumberFormat="1" applyFill="1" applyBorder="1"/>
    <xf numFmtId="14" fontId="0" fillId="7" borderId="4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49" fontId="30" fillId="7" borderId="1" xfId="2" applyNumberFormat="1" applyFont="1" applyFill="1" applyBorder="1" applyAlignment="1">
      <alignment horizontal="center" vertical="center" wrapText="1"/>
    </xf>
    <xf numFmtId="0" fontId="0" fillId="14" borderId="1" xfId="0" applyFill="1" applyBorder="1"/>
    <xf numFmtId="49" fontId="30" fillId="3" borderId="1" xfId="2" applyNumberFormat="1" applyFont="1" applyFill="1" applyBorder="1" applyAlignment="1">
      <alignment horizontal="center" vertical="center" wrapText="1"/>
    </xf>
    <xf numFmtId="0" fontId="0" fillId="9" borderId="0" xfId="0" quotePrefix="1" applyFill="1" applyAlignment="1">
      <alignment horizontal="center"/>
    </xf>
    <xf numFmtId="49" fontId="30" fillId="15" borderId="1" xfId="2" quotePrefix="1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/>
    </xf>
    <xf numFmtId="0" fontId="0" fillId="0" borderId="0" xfId="0" applyAlignment="1">
      <alignment horizontal="left"/>
    </xf>
    <xf numFmtId="49" fontId="30" fillId="9" borderId="0" xfId="2" quotePrefix="1" applyNumberFormat="1" applyFont="1" applyFill="1" applyAlignment="1">
      <alignment horizontal="center" vertical="center" wrapText="1"/>
    </xf>
    <xf numFmtId="0" fontId="24" fillId="0" borderId="0" xfId="1" applyFont="1" applyAlignment="1">
      <alignment horizontal="center"/>
    </xf>
    <xf numFmtId="0" fontId="25" fillId="0" borderId="2" xfId="1" applyFont="1" applyBorder="1" applyAlignment="1">
      <alignment horizontal="center"/>
    </xf>
    <xf numFmtId="0" fontId="25" fillId="0" borderId="7" xfId="1" applyFont="1" applyBorder="1" applyAlignment="1">
      <alignment horizontal="center"/>
    </xf>
    <xf numFmtId="0" fontId="25" fillId="0" borderId="2" xfId="1" applyFont="1" applyBorder="1" applyAlignment="1">
      <alignment horizontal="center" vertical="center"/>
    </xf>
    <xf numFmtId="0" fontId="25" fillId="0" borderId="7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/>
    </xf>
    <xf numFmtId="0" fontId="16" fillId="0" borderId="7" xfId="1" applyFont="1" applyBorder="1" applyAlignment="1">
      <alignment horizontal="center"/>
    </xf>
    <xf numFmtId="0" fontId="51" fillId="0" borderId="4" xfId="1" applyFont="1" applyBorder="1" applyAlignment="1">
      <alignment horizontal="center" vertical="center"/>
    </xf>
    <xf numFmtId="0" fontId="51" fillId="0" borderId="5" xfId="1" applyFont="1" applyBorder="1" applyAlignment="1">
      <alignment horizontal="center" vertical="center"/>
    </xf>
    <xf numFmtId="0" fontId="51" fillId="0" borderId="4" xfId="1" applyFont="1" applyBorder="1" applyAlignment="1">
      <alignment horizontal="center" vertical="center" wrapText="1"/>
    </xf>
    <xf numFmtId="0" fontId="51" fillId="0" borderId="5" xfId="1" applyFont="1" applyBorder="1" applyAlignment="1">
      <alignment horizontal="center" vertical="center" wrapText="1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0" fillId="0" borderId="4" xfId="2" applyFont="1" applyBorder="1" applyAlignment="1">
      <alignment horizontal="center" vertical="center" wrapText="1"/>
    </xf>
    <xf numFmtId="0" fontId="50" fillId="0" borderId="5" xfId="2" applyFont="1" applyBorder="1" applyAlignment="1">
      <alignment horizontal="center" vertical="center" wrapText="1"/>
    </xf>
    <xf numFmtId="0" fontId="51" fillId="0" borderId="2" xfId="1" applyFont="1" applyBorder="1" applyAlignment="1">
      <alignment horizontal="center" vertical="center"/>
    </xf>
    <xf numFmtId="0" fontId="51" fillId="0" borderId="3" xfId="1" applyFont="1" applyBorder="1" applyAlignment="1">
      <alignment horizontal="center" vertical="center"/>
    </xf>
    <xf numFmtId="0" fontId="51" fillId="0" borderId="7" xfId="1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49" fillId="0" borderId="4" xfId="2" applyNumberFormat="1" applyFont="1" applyBorder="1" applyAlignment="1">
      <alignment horizontal="center" vertical="center" wrapText="1"/>
    </xf>
    <xf numFmtId="49" fontId="49" fillId="0" borderId="5" xfId="2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0" fillId="0" borderId="4" xfId="2" applyFont="1" applyBorder="1" applyAlignment="1">
      <alignment horizontal="center" vertical="center"/>
    </xf>
    <xf numFmtId="0" fontId="50" fillId="0" borderId="5" xfId="2" applyFont="1" applyBorder="1" applyAlignment="1">
      <alignment horizontal="center" vertical="center"/>
    </xf>
    <xf numFmtId="0" fontId="50" fillId="0" borderId="10" xfId="2" applyFont="1" applyBorder="1" applyAlignment="1">
      <alignment horizontal="center" vertical="center" wrapText="1"/>
    </xf>
    <xf numFmtId="0" fontId="50" fillId="0" borderId="9" xfId="2" applyFont="1" applyBorder="1" applyAlignment="1">
      <alignment horizontal="center" vertical="center" wrapText="1"/>
    </xf>
    <xf numFmtId="0" fontId="50" fillId="0" borderId="11" xfId="2" applyFont="1" applyBorder="1" applyAlignment="1">
      <alignment horizontal="center" vertical="center" wrapText="1"/>
    </xf>
    <xf numFmtId="0" fontId="50" fillId="0" borderId="13" xfId="2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18" fontId="5" fillId="0" borderId="4" xfId="1" applyNumberFormat="1" applyFont="1" applyBorder="1" applyAlignment="1">
      <alignment horizontal="center" vertical="center"/>
    </xf>
    <xf numFmtId="18" fontId="5" fillId="0" borderId="6" xfId="1" applyNumberFormat="1" applyFont="1" applyBorder="1" applyAlignment="1">
      <alignment horizontal="center" vertical="center"/>
    </xf>
    <xf numFmtId="18" fontId="5" fillId="0" borderId="5" xfId="1" applyNumberFormat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1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8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5" fillId="5" borderId="10" xfId="1" applyFont="1" applyFill="1" applyBorder="1" applyAlignment="1">
      <alignment horizontal="left"/>
    </xf>
    <xf numFmtId="0" fontId="5" fillId="5" borderId="8" xfId="1" applyFont="1" applyFill="1" applyBorder="1" applyAlignment="1">
      <alignment horizontal="left"/>
    </xf>
    <xf numFmtId="0" fontId="5" fillId="5" borderId="9" xfId="1" applyFont="1" applyFill="1" applyBorder="1" applyAlignment="1">
      <alignment horizontal="left"/>
    </xf>
    <xf numFmtId="0" fontId="5" fillId="5" borderId="11" xfId="1" applyFont="1" applyFill="1" applyBorder="1" applyAlignment="1">
      <alignment horizontal="left" vertical="center"/>
    </xf>
    <xf numFmtId="0" fontId="5" fillId="5" borderId="12" xfId="1" applyFont="1" applyFill="1" applyBorder="1" applyAlignment="1">
      <alignment horizontal="left" vertical="center"/>
    </xf>
    <xf numFmtId="0" fontId="5" fillId="5" borderId="13" xfId="1" applyFont="1" applyFill="1" applyBorder="1" applyAlignment="1">
      <alignment horizontal="left" vertical="center"/>
    </xf>
    <xf numFmtId="0" fontId="5" fillId="0" borderId="10" xfId="1" applyFont="1" applyBorder="1" applyAlignment="1">
      <alignment horizontal="left"/>
    </xf>
    <xf numFmtId="0" fontId="5" fillId="0" borderId="8" xfId="1" applyFont="1" applyBorder="1" applyAlignment="1">
      <alignment horizontal="left"/>
    </xf>
    <xf numFmtId="0" fontId="5" fillId="0" borderId="9" xfId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8" fontId="5" fillId="0" borderId="1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</cellXfs>
  <cellStyles count="16">
    <cellStyle name="Comma [0]" xfId="15" builtinId="6"/>
    <cellStyle name="Comma [0] 2" xfId="10" xr:uid="{9FFBDBA3-3C78-45FF-A19D-A43DAA7472C4}"/>
    <cellStyle name="Normal" xfId="0" builtinId="0"/>
    <cellStyle name="Normal 10" xfId="14" xr:uid="{636A8831-9199-4FD1-A633-697FBC136AB9}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13" xr:uid="{2484B3FE-AC46-41D1-882C-22B7AE6B9C3D}"/>
    <cellStyle name="Normal 3" xfId="4" xr:uid="{00000000-0005-0000-0000-000004000000}"/>
    <cellStyle name="Normal 3 2" xfId="6" xr:uid="{00000000-0005-0000-0000-000005000000}"/>
    <cellStyle name="Normal 4" xfId="5" xr:uid="{00000000-0005-0000-0000-000006000000}"/>
    <cellStyle name="Normal 5" xfId="8" xr:uid="{00000000-0005-0000-0000-000007000000}"/>
    <cellStyle name="Normal 6" xfId="7" xr:uid="{00000000-0005-0000-0000-000008000000}"/>
    <cellStyle name="Normal 7" xfId="9" xr:uid="{00000000-0005-0000-0000-000009000000}"/>
    <cellStyle name="Normal 7 2" xfId="11" xr:uid="{085BC823-0704-4F8D-AA75-F13AD4DE9183}"/>
    <cellStyle name="Normal 9" xfId="12" xr:uid="{689FF84E-8806-46E1-91D6-01AA07B413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39FD-A38C-4C4C-B144-01E8422289AA}">
  <dimension ref="A1:Q49"/>
  <sheetViews>
    <sheetView view="pageLayout" topLeftCell="A9" zoomScaleNormal="100" workbookViewId="0">
      <selection activeCell="A26" sqref="A26"/>
    </sheetView>
  </sheetViews>
  <sheetFormatPr defaultRowHeight="14.4" x14ac:dyDescent="0.3"/>
  <cols>
    <col min="1" max="16" width="8.33203125" customWidth="1"/>
  </cols>
  <sheetData>
    <row r="1" spans="1:17" ht="15.6" x14ac:dyDescent="0.3">
      <c r="A1" s="500" t="s">
        <v>1611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  <c r="O1" s="500"/>
      <c r="P1" s="500"/>
      <c r="Q1" s="500"/>
    </row>
    <row r="2" spans="1:17" ht="15.6" x14ac:dyDescent="0.3">
      <c r="A2" s="500" t="s">
        <v>8175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  <c r="M2" s="500"/>
      <c r="N2" s="500"/>
      <c r="O2" s="500"/>
      <c r="P2" s="500"/>
      <c r="Q2" s="500"/>
    </row>
    <row r="3" spans="1:17" ht="15.6" x14ac:dyDescent="0.3">
      <c r="A3" s="56" t="s">
        <v>1612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8"/>
    </row>
    <row r="4" spans="1:17" ht="15.6" x14ac:dyDescent="0.3">
      <c r="A4" s="501" t="s">
        <v>13</v>
      </c>
      <c r="B4" s="502"/>
      <c r="C4" s="501" t="s">
        <v>1613</v>
      </c>
      <c r="D4" s="502"/>
      <c r="E4" s="501" t="s">
        <v>1614</v>
      </c>
      <c r="F4" s="502"/>
      <c r="G4" s="501" t="s">
        <v>1615</v>
      </c>
      <c r="H4" s="502"/>
      <c r="I4" s="501" t="s">
        <v>1616</v>
      </c>
      <c r="J4" s="502"/>
      <c r="K4" s="501" t="s">
        <v>1617</v>
      </c>
      <c r="L4" s="502"/>
      <c r="M4" s="501" t="s">
        <v>1618</v>
      </c>
      <c r="N4" s="502"/>
      <c r="O4" s="501" t="s">
        <v>1619</v>
      </c>
      <c r="P4" s="502"/>
      <c r="Q4" s="58"/>
    </row>
    <row r="5" spans="1:17" ht="15.6" x14ac:dyDescent="0.3">
      <c r="A5" s="61" t="s">
        <v>52</v>
      </c>
      <c r="B5" s="61" t="s">
        <v>53</v>
      </c>
      <c r="C5" s="61" t="s">
        <v>52</v>
      </c>
      <c r="D5" s="61" t="s">
        <v>53</v>
      </c>
      <c r="E5" s="61" t="s">
        <v>52</v>
      </c>
      <c r="F5" s="61" t="s">
        <v>53</v>
      </c>
      <c r="G5" s="61" t="s">
        <v>52</v>
      </c>
      <c r="H5" s="61" t="s">
        <v>53</v>
      </c>
      <c r="I5" s="61" t="s">
        <v>52</v>
      </c>
      <c r="J5" s="61" t="s">
        <v>53</v>
      </c>
      <c r="K5" s="61" t="s">
        <v>52</v>
      </c>
      <c r="L5" s="61" t="s">
        <v>53</v>
      </c>
      <c r="M5" s="61" t="s">
        <v>52</v>
      </c>
      <c r="N5" s="61" t="s">
        <v>53</v>
      </c>
      <c r="O5" s="61" t="s">
        <v>52</v>
      </c>
      <c r="P5" s="61" t="s">
        <v>53</v>
      </c>
      <c r="Q5" s="58"/>
    </row>
    <row r="6" spans="1:17" ht="15.6" x14ac:dyDescent="0.3">
      <c r="A6" s="61">
        <v>20</v>
      </c>
      <c r="B6" s="61">
        <v>20</v>
      </c>
      <c r="C6" s="61">
        <v>20</v>
      </c>
      <c r="D6" s="61">
        <v>20</v>
      </c>
      <c r="E6" s="61">
        <v>20</v>
      </c>
      <c r="F6" s="61">
        <v>22</v>
      </c>
      <c r="G6" s="61">
        <v>20</v>
      </c>
      <c r="H6" s="61">
        <v>20</v>
      </c>
      <c r="I6" s="61">
        <v>20</v>
      </c>
      <c r="J6" s="61">
        <v>20</v>
      </c>
      <c r="K6" s="61">
        <v>21</v>
      </c>
      <c r="L6" s="61">
        <v>22</v>
      </c>
      <c r="M6" s="61"/>
      <c r="N6" s="61"/>
      <c r="O6" s="61">
        <f>SUM(A6,C6,E6,G6,I6,K6,M6)</f>
        <v>121</v>
      </c>
      <c r="P6" s="62">
        <f>SUM(B6,D6,F6,H6,J6,L6,N6)</f>
        <v>124</v>
      </c>
      <c r="Q6" s="58"/>
    </row>
    <row r="7" spans="1:17" ht="15.6" x14ac:dyDescent="0.3">
      <c r="A7" s="501">
        <f>SUM(A6+B6)</f>
        <v>40</v>
      </c>
      <c r="B7" s="502"/>
      <c r="C7" s="501">
        <f>SUM(C6+D6)</f>
        <v>40</v>
      </c>
      <c r="D7" s="502"/>
      <c r="E7" s="501">
        <f>SUM(E6+F6)</f>
        <v>42</v>
      </c>
      <c r="F7" s="502"/>
      <c r="G7" s="501">
        <f>SUM(G6+H6)</f>
        <v>40</v>
      </c>
      <c r="H7" s="502"/>
      <c r="I7" s="501">
        <f>SUM(I6+J6)</f>
        <v>40</v>
      </c>
      <c r="J7" s="502"/>
      <c r="K7" s="501">
        <f>SUM(K6+L6)</f>
        <v>43</v>
      </c>
      <c r="L7" s="502"/>
      <c r="M7" s="501">
        <f>SUM(M6+N6)</f>
        <v>0</v>
      </c>
      <c r="N7" s="502"/>
      <c r="O7" s="501">
        <f>SUM(O6+P6)</f>
        <v>245</v>
      </c>
      <c r="P7" s="502"/>
      <c r="Q7" s="58"/>
    </row>
    <row r="8" spans="1:17" ht="15.6" x14ac:dyDescent="0.3">
      <c r="A8" s="56" t="s">
        <v>1620</v>
      </c>
      <c r="B8" s="57"/>
      <c r="C8" s="57"/>
      <c r="D8" s="57"/>
      <c r="E8" s="57"/>
      <c r="F8" s="57"/>
      <c r="G8" s="57"/>
      <c r="H8" s="57"/>
      <c r="I8" s="57"/>
      <c r="J8" s="57" t="s">
        <v>4221</v>
      </c>
      <c r="K8" s="57"/>
      <c r="L8" s="57"/>
      <c r="M8" s="57" t="s">
        <v>1394</v>
      </c>
      <c r="N8" s="57"/>
      <c r="O8" s="57"/>
      <c r="P8" s="57"/>
      <c r="Q8" s="58"/>
    </row>
    <row r="9" spans="1:17" ht="15.6" x14ac:dyDescent="0.3">
      <c r="A9" s="501" t="s">
        <v>13</v>
      </c>
      <c r="B9" s="502"/>
      <c r="C9" s="501" t="s">
        <v>1613</v>
      </c>
      <c r="D9" s="502"/>
      <c r="E9" s="501" t="s">
        <v>1614</v>
      </c>
      <c r="F9" s="502"/>
      <c r="G9" s="501" t="s">
        <v>1615</v>
      </c>
      <c r="H9" s="502"/>
      <c r="I9" s="501" t="s">
        <v>1616</v>
      </c>
      <c r="J9" s="502"/>
      <c r="K9" s="501" t="s">
        <v>1617</v>
      </c>
      <c r="L9" s="502"/>
      <c r="M9" s="59" t="s">
        <v>1618</v>
      </c>
      <c r="N9" s="60"/>
      <c r="O9" s="501" t="s">
        <v>1619</v>
      </c>
      <c r="P9" s="502"/>
      <c r="Q9" s="58"/>
    </row>
    <row r="10" spans="1:17" ht="15.6" x14ac:dyDescent="0.3">
      <c r="A10" s="61" t="s">
        <v>52</v>
      </c>
      <c r="B10" s="61" t="s">
        <v>53</v>
      </c>
      <c r="C10" s="61" t="s">
        <v>52</v>
      </c>
      <c r="D10" s="61" t="s">
        <v>53</v>
      </c>
      <c r="E10" s="61" t="s">
        <v>52</v>
      </c>
      <c r="F10" s="61" t="s">
        <v>53</v>
      </c>
      <c r="G10" s="61" t="s">
        <v>52</v>
      </c>
      <c r="H10" s="61" t="s">
        <v>53</v>
      </c>
      <c r="I10" s="61" t="s">
        <v>52</v>
      </c>
      <c r="J10" s="61" t="s">
        <v>53</v>
      </c>
      <c r="K10" s="61" t="s">
        <v>52</v>
      </c>
      <c r="L10" s="61" t="s">
        <v>53</v>
      </c>
      <c r="M10" s="61" t="s">
        <v>52</v>
      </c>
      <c r="N10" s="61" t="s">
        <v>53</v>
      </c>
      <c r="O10" s="61" t="s">
        <v>52</v>
      </c>
      <c r="P10" s="61" t="s">
        <v>53</v>
      </c>
      <c r="Q10" s="58"/>
    </row>
    <row r="11" spans="1:17" ht="15.6" x14ac:dyDescent="0.3">
      <c r="A11" s="61">
        <v>19</v>
      </c>
      <c r="B11" s="61">
        <v>13</v>
      </c>
      <c r="C11" s="61">
        <v>17</v>
      </c>
      <c r="D11" s="61">
        <v>17</v>
      </c>
      <c r="E11" s="61">
        <v>17</v>
      </c>
      <c r="F11" s="61">
        <v>16</v>
      </c>
      <c r="G11" s="61">
        <v>20</v>
      </c>
      <c r="H11" s="61">
        <v>14</v>
      </c>
      <c r="I11" s="61">
        <v>18</v>
      </c>
      <c r="J11" s="61">
        <v>15</v>
      </c>
      <c r="K11" s="61">
        <v>20</v>
      </c>
      <c r="L11" s="61">
        <v>16</v>
      </c>
      <c r="M11" s="61"/>
      <c r="N11" s="61"/>
      <c r="O11" s="61">
        <f>SUM(A11,C11,E11,G11,I11,K11,M11)</f>
        <v>111</v>
      </c>
      <c r="P11" s="62">
        <f>SUM(B11,D11,F11,H11,J11,L11,N11)</f>
        <v>91</v>
      </c>
      <c r="Q11" s="58"/>
    </row>
    <row r="12" spans="1:17" ht="15.6" x14ac:dyDescent="0.3">
      <c r="A12" s="501">
        <f>SUM(A11+B11)</f>
        <v>32</v>
      </c>
      <c r="B12" s="502"/>
      <c r="C12" s="501">
        <f>SUM(C11+D11)</f>
        <v>34</v>
      </c>
      <c r="D12" s="502"/>
      <c r="E12" s="501">
        <f>SUM(E11+F11)</f>
        <v>33</v>
      </c>
      <c r="F12" s="502"/>
      <c r="G12" s="501">
        <f>SUM(G11+H11)</f>
        <v>34</v>
      </c>
      <c r="H12" s="502"/>
      <c r="I12" s="501">
        <f>SUM(I11+J11)</f>
        <v>33</v>
      </c>
      <c r="J12" s="502"/>
      <c r="K12" s="501">
        <f>SUM(K11+L11)</f>
        <v>36</v>
      </c>
      <c r="L12" s="502"/>
      <c r="M12" s="501">
        <f>SUM(M11+N11)</f>
        <v>0</v>
      </c>
      <c r="N12" s="502"/>
      <c r="O12" s="501">
        <f>SUM(O11+P11)</f>
        <v>202</v>
      </c>
      <c r="P12" s="502"/>
      <c r="Q12" s="58"/>
    </row>
    <row r="13" spans="1:17" x14ac:dyDescent="0.3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17" x14ac:dyDescent="0.3">
      <c r="A14" s="56" t="s">
        <v>1621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17" x14ac:dyDescent="0.3">
      <c r="A15" s="501" t="s">
        <v>13</v>
      </c>
      <c r="B15" s="502"/>
      <c r="C15" s="501" t="s">
        <v>1613</v>
      </c>
      <c r="D15" s="502"/>
      <c r="E15" s="501" t="s">
        <v>1614</v>
      </c>
      <c r="F15" s="502"/>
      <c r="G15" s="501" t="s">
        <v>1615</v>
      </c>
      <c r="H15" s="502"/>
      <c r="I15" s="501" t="s">
        <v>1616</v>
      </c>
      <c r="J15" s="502"/>
      <c r="K15" s="501" t="s">
        <v>1617</v>
      </c>
      <c r="L15" s="502"/>
      <c r="M15" s="59" t="s">
        <v>1618</v>
      </c>
      <c r="N15" s="60"/>
      <c r="O15" s="501" t="s">
        <v>1619</v>
      </c>
      <c r="P15" s="502"/>
      <c r="Q15" s="57"/>
    </row>
    <row r="16" spans="1:17" x14ac:dyDescent="0.3">
      <c r="A16" s="61" t="s">
        <v>52</v>
      </c>
      <c r="B16" s="61" t="s">
        <v>53</v>
      </c>
      <c r="C16" s="61" t="s">
        <v>52</v>
      </c>
      <c r="D16" s="61" t="s">
        <v>53</v>
      </c>
      <c r="E16" s="61" t="s">
        <v>52</v>
      </c>
      <c r="F16" s="61" t="s">
        <v>53</v>
      </c>
      <c r="G16" s="61" t="s">
        <v>52</v>
      </c>
      <c r="H16" s="61" t="s">
        <v>53</v>
      </c>
      <c r="I16" s="61" t="s">
        <v>52</v>
      </c>
      <c r="J16" s="61" t="s">
        <v>53</v>
      </c>
      <c r="K16" s="61" t="s">
        <v>52</v>
      </c>
      <c r="L16" s="61" t="s">
        <v>53</v>
      </c>
      <c r="M16" s="61" t="s">
        <v>52</v>
      </c>
      <c r="N16" s="61" t="s">
        <v>53</v>
      </c>
      <c r="O16" s="61" t="s">
        <v>52</v>
      </c>
      <c r="P16" s="61" t="s">
        <v>53</v>
      </c>
      <c r="Q16" s="57"/>
    </row>
    <row r="17" spans="1:17" x14ac:dyDescent="0.3">
      <c r="A17" s="61">
        <v>18</v>
      </c>
      <c r="B17" s="61">
        <v>16</v>
      </c>
      <c r="C17" s="61">
        <v>20</v>
      </c>
      <c r="D17" s="61">
        <v>15</v>
      </c>
      <c r="E17" s="61">
        <v>14</v>
      </c>
      <c r="F17" s="61">
        <v>19</v>
      </c>
      <c r="G17" s="61">
        <v>14</v>
      </c>
      <c r="H17" s="61">
        <v>22</v>
      </c>
      <c r="I17" s="61">
        <v>20</v>
      </c>
      <c r="J17" s="61">
        <v>15</v>
      </c>
      <c r="K17" s="61">
        <v>20</v>
      </c>
      <c r="L17" s="61">
        <v>13</v>
      </c>
      <c r="M17" s="61"/>
      <c r="N17" s="61"/>
      <c r="O17" s="61">
        <f>SUM(A17,C17,E17,G17,I17,K17,M17)</f>
        <v>106</v>
      </c>
      <c r="P17" s="62">
        <f>SUM(B17,D17,F17,H17,J17,L17,N17)</f>
        <v>100</v>
      </c>
      <c r="Q17" s="57"/>
    </row>
    <row r="18" spans="1:17" x14ac:dyDescent="0.3">
      <c r="A18" s="501">
        <f>SUM(A17+B17)</f>
        <v>34</v>
      </c>
      <c r="B18" s="502"/>
      <c r="C18" s="501">
        <f>SUM(C17+D17)</f>
        <v>35</v>
      </c>
      <c r="D18" s="502"/>
      <c r="E18" s="501">
        <f>SUM(E17+F17)</f>
        <v>33</v>
      </c>
      <c r="F18" s="502"/>
      <c r="G18" s="501">
        <f>SUM(G17+H17)</f>
        <v>36</v>
      </c>
      <c r="H18" s="502"/>
      <c r="I18" s="501">
        <f>SUM(I17+J17)</f>
        <v>35</v>
      </c>
      <c r="J18" s="502"/>
      <c r="K18" s="501">
        <f>SUM(K17+L17)</f>
        <v>33</v>
      </c>
      <c r="L18" s="502"/>
      <c r="M18" s="501">
        <f>SUM(M17+N17)</f>
        <v>0</v>
      </c>
      <c r="N18" s="502"/>
      <c r="O18" s="501">
        <f>SUM(O17+P17)</f>
        <v>206</v>
      </c>
      <c r="P18" s="502"/>
      <c r="Q18" s="57"/>
    </row>
    <row r="19" spans="1:17" x14ac:dyDescent="0.3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57"/>
    </row>
    <row r="20" spans="1:17" x14ac:dyDescent="0.3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 x14ac:dyDescent="0.3">
      <c r="O21" s="503" t="s">
        <v>1622</v>
      </c>
      <c r="P21" s="504"/>
      <c r="Q21" s="57"/>
    </row>
    <row r="22" spans="1:17" x14ac:dyDescent="0.3">
      <c r="I22" s="57" t="s">
        <v>7932</v>
      </c>
      <c r="J22" s="57"/>
      <c r="O22" s="61" t="s">
        <v>52</v>
      </c>
      <c r="P22" s="61" t="s">
        <v>53</v>
      </c>
      <c r="Q22" s="57"/>
    </row>
    <row r="23" spans="1:17" x14ac:dyDescent="0.3">
      <c r="I23" s="57" t="s">
        <v>1623</v>
      </c>
      <c r="J23" s="57"/>
      <c r="O23" s="64">
        <f>SUM(O11+O17+O6,)</f>
        <v>338</v>
      </c>
      <c r="P23" s="64">
        <f>SUM(P17+P6+P11,)</f>
        <v>315</v>
      </c>
      <c r="Q23" s="57"/>
    </row>
    <row r="24" spans="1:17" x14ac:dyDescent="0.3">
      <c r="I24" s="57"/>
      <c r="J24" s="57"/>
      <c r="O24" s="505">
        <f>SUM(O23+P23)</f>
        <v>653</v>
      </c>
      <c r="P24" s="506"/>
      <c r="Q24" s="57"/>
    </row>
    <row r="25" spans="1:17" x14ac:dyDescent="0.3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 ht="23.4" x14ac:dyDescent="0.3">
      <c r="A26" s="57"/>
      <c r="B26" s="57"/>
      <c r="C26" s="57"/>
      <c r="D26" s="57"/>
      <c r="E26" s="57"/>
      <c r="F26" s="57"/>
      <c r="G26" s="57"/>
      <c r="H26" s="57"/>
      <c r="I26" s="65" t="s">
        <v>4227</v>
      </c>
      <c r="J26" s="57"/>
      <c r="K26" s="66"/>
      <c r="L26" s="66"/>
      <c r="M26" s="66"/>
      <c r="N26" s="67"/>
      <c r="Q26" s="57"/>
    </row>
    <row r="27" spans="1:17" ht="23.4" x14ac:dyDescent="0.3">
      <c r="A27" s="57"/>
      <c r="B27" s="57"/>
      <c r="C27" s="57"/>
      <c r="D27" s="57"/>
      <c r="E27" s="57"/>
      <c r="F27" s="57"/>
      <c r="G27" s="57"/>
      <c r="H27" s="57"/>
      <c r="I27" s="57" t="s">
        <v>1624</v>
      </c>
      <c r="J27" s="57"/>
      <c r="K27" s="66"/>
      <c r="L27" s="66"/>
      <c r="M27" s="66"/>
      <c r="N27" s="67"/>
      <c r="Q27" s="57"/>
    </row>
    <row r="28" spans="1:17" ht="23.4" x14ac:dyDescent="0.3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66"/>
      <c r="L28" s="66"/>
      <c r="M28" s="66"/>
      <c r="N28" s="67"/>
      <c r="Q28" s="57"/>
    </row>
    <row r="29" spans="1:17" ht="23.4" x14ac:dyDescent="0.3">
      <c r="A29" s="57"/>
      <c r="B29" s="57"/>
      <c r="C29" s="57"/>
      <c r="D29" s="57"/>
      <c r="E29" s="57"/>
      <c r="F29" s="57"/>
      <c r="G29" s="57"/>
      <c r="H29" s="57"/>
      <c r="I29" s="57"/>
      <c r="J29" s="57"/>
      <c r="K29" s="66"/>
      <c r="L29" s="66"/>
      <c r="M29" s="66"/>
      <c r="N29" s="67"/>
      <c r="Q29" s="57"/>
    </row>
    <row r="30" spans="1:17" ht="23.4" x14ac:dyDescent="0.3">
      <c r="A30" s="57"/>
      <c r="B30" s="57"/>
      <c r="C30" s="57"/>
      <c r="D30" s="57"/>
      <c r="E30" s="57"/>
      <c r="F30" s="57"/>
      <c r="G30" s="57"/>
      <c r="H30" s="57"/>
      <c r="I30" s="57"/>
      <c r="J30" s="57"/>
      <c r="K30" s="66"/>
      <c r="L30" s="66"/>
      <c r="M30" s="66"/>
      <c r="N30" s="67"/>
      <c r="Q30" s="57"/>
    </row>
    <row r="31" spans="1:17" x14ac:dyDescent="0.3">
      <c r="Q31" s="57"/>
    </row>
    <row r="32" spans="1:17" x14ac:dyDescent="0.3">
      <c r="Q32" s="57"/>
    </row>
    <row r="33" spans="1:17" x14ac:dyDescent="0.3">
      <c r="Q33" s="57"/>
    </row>
    <row r="34" spans="1:17" x14ac:dyDescent="0.3">
      <c r="Q34" s="57"/>
    </row>
    <row r="35" spans="1:17" x14ac:dyDescent="0.3">
      <c r="Q35" s="57"/>
    </row>
    <row r="36" spans="1:17" x14ac:dyDescent="0.3">
      <c r="Q36" s="57"/>
    </row>
    <row r="37" spans="1:17" x14ac:dyDescent="0.3">
      <c r="Q37" s="57"/>
    </row>
    <row r="38" spans="1:17" x14ac:dyDescent="0.3">
      <c r="Q38" s="57"/>
    </row>
    <row r="39" spans="1:17" x14ac:dyDescent="0.3">
      <c r="Q39" s="57"/>
    </row>
    <row r="40" spans="1:17" x14ac:dyDescent="0.3">
      <c r="Q40" s="57"/>
    </row>
    <row r="41" spans="1:17" x14ac:dyDescent="0.3">
      <c r="Q41" s="57"/>
    </row>
    <row r="42" spans="1:17" x14ac:dyDescent="0.3">
      <c r="Q42" s="57"/>
    </row>
    <row r="43" spans="1:17" x14ac:dyDescent="0.3">
      <c r="Q43" s="57"/>
    </row>
    <row r="44" spans="1:17" x14ac:dyDescent="0.3">
      <c r="Q44" s="57"/>
    </row>
    <row r="45" spans="1:17" x14ac:dyDescent="0.3">
      <c r="Q45" s="57"/>
    </row>
    <row r="46" spans="1:17" x14ac:dyDescent="0.3">
      <c r="Q46" s="57"/>
    </row>
    <row r="47" spans="1:17" x14ac:dyDescent="0.3">
      <c r="Q47" s="57"/>
    </row>
    <row r="48" spans="1:17" x14ac:dyDescent="0.3">
      <c r="A48" s="57"/>
      <c r="B48" s="57"/>
      <c r="C48" s="57"/>
      <c r="D48" s="57"/>
      <c r="E48" s="57"/>
      <c r="F48" s="57"/>
      <c r="G48" s="57"/>
      <c r="H48" s="57"/>
      <c r="J48" s="57"/>
      <c r="K48" s="57"/>
      <c r="L48" s="57"/>
      <c r="M48" s="57"/>
      <c r="N48" s="57"/>
      <c r="O48" s="65"/>
      <c r="P48" s="65"/>
      <c r="Q48" s="65"/>
    </row>
    <row r="49" spans="1:17" x14ac:dyDescent="0.3">
      <c r="A49" s="57"/>
      <c r="B49" s="57"/>
      <c r="C49" s="57"/>
      <c r="D49" s="57"/>
      <c r="E49" s="57"/>
      <c r="F49" s="57"/>
      <c r="G49" s="57"/>
      <c r="H49" s="57"/>
      <c r="J49" s="57"/>
      <c r="K49" s="57"/>
      <c r="L49" s="57"/>
      <c r="M49" s="57"/>
      <c r="N49" s="57"/>
      <c r="O49" s="57"/>
      <c r="P49" s="57"/>
      <c r="Q49" s="57"/>
    </row>
  </sheetData>
  <mergeCells count="50">
    <mergeCell ref="K15:L15"/>
    <mergeCell ref="G15:H15"/>
    <mergeCell ref="E15:F15"/>
    <mergeCell ref="C15:D15"/>
    <mergeCell ref="A15:B15"/>
    <mergeCell ref="I15:J15"/>
    <mergeCell ref="O7:P7"/>
    <mergeCell ref="E7:F7"/>
    <mergeCell ref="G7:H7"/>
    <mergeCell ref="I7:J7"/>
    <mergeCell ref="K7:L7"/>
    <mergeCell ref="M7:N7"/>
    <mergeCell ref="O21:P21"/>
    <mergeCell ref="O15:P15"/>
    <mergeCell ref="O12:P12"/>
    <mergeCell ref="O24:P24"/>
    <mergeCell ref="O18:P18"/>
    <mergeCell ref="M18:N18"/>
    <mergeCell ref="A18:B18"/>
    <mergeCell ref="C18:D18"/>
    <mergeCell ref="E18:F18"/>
    <mergeCell ref="G18:H18"/>
    <mergeCell ref="I18:J18"/>
    <mergeCell ref="K18:L18"/>
    <mergeCell ref="K12:L12"/>
    <mergeCell ref="A7:B7"/>
    <mergeCell ref="C7:D7"/>
    <mergeCell ref="M12:N12"/>
    <mergeCell ref="K9:L9"/>
    <mergeCell ref="A12:B12"/>
    <mergeCell ref="C12:D12"/>
    <mergeCell ref="E12:F12"/>
    <mergeCell ref="G12:H12"/>
    <mergeCell ref="I12:J12"/>
    <mergeCell ref="A1:Q1"/>
    <mergeCell ref="A2:Q2"/>
    <mergeCell ref="A9:B9"/>
    <mergeCell ref="C9:D9"/>
    <mergeCell ref="E9:F9"/>
    <mergeCell ref="G9:H9"/>
    <mergeCell ref="I9:J9"/>
    <mergeCell ref="O9:P9"/>
    <mergeCell ref="A4:B4"/>
    <mergeCell ref="C4:D4"/>
    <mergeCell ref="E4:F4"/>
    <mergeCell ref="G4:H4"/>
    <mergeCell ref="I4:J4"/>
    <mergeCell ref="O4:P4"/>
    <mergeCell ref="K4:L4"/>
    <mergeCell ref="M4:N4"/>
  </mergeCells>
  <pageMargins left="0.71875" right="1.0416666666666666E-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51F0-C035-4617-A8F3-9188D0FBDCB0}">
  <dimension ref="A1:AI1048528"/>
  <sheetViews>
    <sheetView topLeftCell="AB242" workbookViewId="0">
      <selection activeCell="AK250" sqref="AK250"/>
    </sheetView>
  </sheetViews>
  <sheetFormatPr defaultRowHeight="14.4" x14ac:dyDescent="0.3"/>
  <cols>
    <col min="1" max="1" width="9.109375" style="78"/>
    <col min="2" max="2" width="6.109375" customWidth="1"/>
    <col min="3" max="3" width="17.109375" style="397" customWidth="1"/>
    <col min="4" max="4" width="37" customWidth="1"/>
    <col min="5" max="5" width="13.6640625" style="397" customWidth="1"/>
    <col min="6" max="6" width="17.44140625" customWidth="1"/>
    <col min="7" max="7" width="13.44140625" customWidth="1"/>
    <col min="8" max="8" width="9.109375" style="397"/>
    <col min="9" max="9" width="6.88671875" customWidth="1"/>
    <col min="10" max="10" width="20.5546875" customWidth="1"/>
    <col min="11" max="11" width="24.33203125" customWidth="1"/>
    <col min="12" max="12" width="23.44140625" customWidth="1"/>
    <col min="13" max="13" width="20.33203125" customWidth="1"/>
    <col min="14" max="14" width="28.88671875" customWidth="1"/>
    <col min="15" max="15" width="17" customWidth="1"/>
    <col min="18" max="18" width="21.44140625" customWidth="1"/>
    <col min="19" max="19" width="14.6640625" customWidth="1"/>
    <col min="22" max="22" width="15.44140625" customWidth="1"/>
    <col min="23" max="23" width="18.88671875" customWidth="1"/>
    <col min="24" max="24" width="21.5546875" customWidth="1"/>
    <col min="25" max="26" width="19" customWidth="1"/>
    <col min="27" max="27" width="17" customWidth="1"/>
    <col min="28" max="28" width="20.5546875" customWidth="1"/>
    <col min="29" max="29" width="21" customWidth="1"/>
    <col min="30" max="30" width="17" customWidth="1"/>
    <col min="31" max="31" width="29.33203125" customWidth="1"/>
    <col min="32" max="32" width="27.33203125" customWidth="1"/>
    <col min="33" max="33" width="16" customWidth="1"/>
    <col min="34" max="34" width="11" bestFit="1" customWidth="1"/>
    <col min="35" max="35" width="16.44140625" customWidth="1"/>
  </cols>
  <sheetData>
    <row r="1" spans="1:35" x14ac:dyDescent="0.3">
      <c r="A1" s="520" t="s">
        <v>5</v>
      </c>
      <c r="B1" s="522" t="s">
        <v>5369</v>
      </c>
      <c r="C1" s="524" t="s">
        <v>5370</v>
      </c>
      <c r="D1" s="526" t="s">
        <v>6</v>
      </c>
      <c r="E1" s="526" t="s">
        <v>2305</v>
      </c>
      <c r="F1" s="528" t="s">
        <v>5371</v>
      </c>
      <c r="G1" s="529"/>
      <c r="H1" s="513" t="s">
        <v>5372</v>
      </c>
      <c r="I1" s="513" t="s">
        <v>5373</v>
      </c>
      <c r="J1" s="513" t="s">
        <v>5374</v>
      </c>
      <c r="K1" s="513" t="s">
        <v>2308</v>
      </c>
      <c r="L1" s="513" t="s">
        <v>5375</v>
      </c>
      <c r="M1" s="513" t="s">
        <v>5376</v>
      </c>
      <c r="N1" s="513" t="s">
        <v>5377</v>
      </c>
      <c r="O1" s="515" t="s">
        <v>5378</v>
      </c>
      <c r="P1" s="516"/>
      <c r="Q1" s="516"/>
      <c r="R1" s="516"/>
      <c r="S1" s="517"/>
      <c r="T1" s="507" t="s">
        <v>5379</v>
      </c>
      <c r="U1" s="518" t="s">
        <v>5380</v>
      </c>
      <c r="V1" s="184"/>
      <c r="W1" s="515" t="s">
        <v>5381</v>
      </c>
      <c r="X1" s="516"/>
      <c r="Y1" s="516"/>
      <c r="Z1" s="516"/>
      <c r="AA1" s="516"/>
      <c r="AB1" s="516"/>
      <c r="AC1" s="516"/>
      <c r="AD1" s="516"/>
      <c r="AE1" s="516"/>
      <c r="AF1" s="507" t="s">
        <v>5382</v>
      </c>
      <c r="AG1" s="507" t="s">
        <v>5383</v>
      </c>
      <c r="AH1" s="509" t="s">
        <v>5384</v>
      </c>
      <c r="AI1" s="511" t="s">
        <v>5385</v>
      </c>
    </row>
    <row r="2" spans="1:35" ht="28.8" x14ac:dyDescent="0.3">
      <c r="A2" s="521"/>
      <c r="B2" s="523"/>
      <c r="C2" s="525"/>
      <c r="D2" s="527"/>
      <c r="E2" s="527"/>
      <c r="F2" s="530"/>
      <c r="G2" s="531"/>
      <c r="H2" s="514"/>
      <c r="I2" s="514"/>
      <c r="J2" s="514"/>
      <c r="K2" s="514"/>
      <c r="L2" s="514"/>
      <c r="M2" s="514"/>
      <c r="N2" s="514"/>
      <c r="O2" s="183" t="s">
        <v>5386</v>
      </c>
      <c r="P2" s="183" t="s">
        <v>2311</v>
      </c>
      <c r="Q2" s="183" t="s">
        <v>2312</v>
      </c>
      <c r="R2" s="183" t="s">
        <v>5387</v>
      </c>
      <c r="S2" s="183" t="s">
        <v>5388</v>
      </c>
      <c r="T2" s="508"/>
      <c r="U2" s="519"/>
      <c r="V2" s="183" t="s">
        <v>5389</v>
      </c>
      <c r="W2" s="186" t="s">
        <v>2308</v>
      </c>
      <c r="X2" s="186" t="s">
        <v>5390</v>
      </c>
      <c r="Y2" s="187" t="s">
        <v>5391</v>
      </c>
      <c r="Z2" s="185" t="s">
        <v>5392</v>
      </c>
      <c r="AA2" s="183" t="s">
        <v>5393</v>
      </c>
      <c r="AB2" s="186" t="s">
        <v>2308</v>
      </c>
      <c r="AC2" s="186" t="s">
        <v>5390</v>
      </c>
      <c r="AD2" s="187" t="s">
        <v>5391</v>
      </c>
      <c r="AE2" s="185" t="s">
        <v>5392</v>
      </c>
      <c r="AF2" s="508"/>
      <c r="AG2" s="508"/>
      <c r="AH2" s="510"/>
      <c r="AI2" s="512"/>
    </row>
    <row r="3" spans="1:35" x14ac:dyDescent="0.3">
      <c r="A3" s="242">
        <v>1</v>
      </c>
      <c r="B3" s="255" t="s">
        <v>5394</v>
      </c>
      <c r="C3" s="256" t="s">
        <v>13</v>
      </c>
      <c r="D3" s="300" t="s">
        <v>8191</v>
      </c>
      <c r="E3" s="257"/>
      <c r="F3" s="302" t="s">
        <v>2377</v>
      </c>
      <c r="G3" s="310" t="s">
        <v>8690</v>
      </c>
      <c r="H3" s="259" t="s">
        <v>52</v>
      </c>
      <c r="I3" s="259" t="s">
        <v>5396</v>
      </c>
      <c r="J3" s="260" t="s">
        <v>8691</v>
      </c>
      <c r="K3" s="260" t="s">
        <v>8692</v>
      </c>
      <c r="L3" s="260" t="s">
        <v>8693</v>
      </c>
      <c r="M3" s="259"/>
      <c r="N3" s="259"/>
      <c r="O3" s="244" t="s">
        <v>6211</v>
      </c>
      <c r="P3" s="251" t="s">
        <v>5576</v>
      </c>
      <c r="Q3" s="251" t="s">
        <v>8694</v>
      </c>
      <c r="R3" s="244" t="s">
        <v>3581</v>
      </c>
      <c r="S3" s="244" t="s">
        <v>5422</v>
      </c>
      <c r="T3" s="262"/>
      <c r="U3" s="251" t="s">
        <v>5657</v>
      </c>
      <c r="V3" s="244" t="s">
        <v>4071</v>
      </c>
      <c r="W3" s="252" t="s">
        <v>8695</v>
      </c>
      <c r="X3" s="242" t="s">
        <v>5929</v>
      </c>
      <c r="Y3" s="242" t="s">
        <v>5772</v>
      </c>
      <c r="Z3" s="242" t="s">
        <v>5442</v>
      </c>
      <c r="AA3" s="244" t="s">
        <v>8696</v>
      </c>
      <c r="AB3" s="252" t="s">
        <v>8697</v>
      </c>
      <c r="AC3" s="242" t="s">
        <v>8698</v>
      </c>
      <c r="AD3" s="242" t="s">
        <v>5772</v>
      </c>
      <c r="AE3" s="242" t="s">
        <v>5412</v>
      </c>
      <c r="AF3" s="244" t="s">
        <v>8699</v>
      </c>
      <c r="AG3" s="262"/>
      <c r="AH3" s="263">
        <v>1</v>
      </c>
      <c r="AI3" s="254" t="s">
        <v>8700</v>
      </c>
    </row>
    <row r="4" spans="1:35" x14ac:dyDescent="0.3">
      <c r="A4" s="106">
        <v>2</v>
      </c>
      <c r="B4" s="188" t="s">
        <v>5415</v>
      </c>
      <c r="C4" s="189" t="s">
        <v>1617</v>
      </c>
      <c r="D4" s="206" t="s">
        <v>8392</v>
      </c>
      <c r="E4" s="201">
        <v>3134482476</v>
      </c>
      <c r="F4" s="191" t="s">
        <v>2377</v>
      </c>
      <c r="G4" s="192">
        <v>41368</v>
      </c>
      <c r="H4" s="193" t="s">
        <v>53</v>
      </c>
      <c r="I4" s="193" t="s">
        <v>5396</v>
      </c>
      <c r="J4" s="194" t="s">
        <v>8701</v>
      </c>
      <c r="K4" s="202" t="s">
        <v>8702</v>
      </c>
      <c r="L4" s="194" t="s">
        <v>8703</v>
      </c>
      <c r="M4" s="193"/>
      <c r="N4" s="193"/>
      <c r="O4" s="195" t="s">
        <v>2817</v>
      </c>
      <c r="P4" s="196" t="s">
        <v>8704</v>
      </c>
      <c r="Q4" s="196" t="s">
        <v>8694</v>
      </c>
      <c r="R4" s="195" t="s">
        <v>2399</v>
      </c>
      <c r="S4" s="195" t="s">
        <v>3961</v>
      </c>
      <c r="T4" s="197"/>
      <c r="U4" s="196" t="s">
        <v>5521</v>
      </c>
      <c r="V4" s="195" t="s">
        <v>675</v>
      </c>
      <c r="W4" s="198" t="s">
        <v>8705</v>
      </c>
      <c r="X4" s="106" t="s">
        <v>8706</v>
      </c>
      <c r="Y4" s="106" t="s">
        <v>5785</v>
      </c>
      <c r="Z4" s="106" t="s">
        <v>5442</v>
      </c>
      <c r="AA4" s="195" t="s">
        <v>8707</v>
      </c>
      <c r="AB4" s="198" t="s">
        <v>8708</v>
      </c>
      <c r="AC4" s="106" t="s">
        <v>8709</v>
      </c>
      <c r="AD4" s="106" t="s">
        <v>5772</v>
      </c>
      <c r="AE4" s="106" t="s">
        <v>5412</v>
      </c>
      <c r="AF4" s="195" t="s">
        <v>5776</v>
      </c>
      <c r="AG4" s="197"/>
      <c r="AH4" s="199">
        <v>1</v>
      </c>
      <c r="AI4" s="200" t="s">
        <v>8710</v>
      </c>
    </row>
    <row r="5" spans="1:35" x14ac:dyDescent="0.3">
      <c r="A5" s="106">
        <v>3</v>
      </c>
      <c r="B5" s="188" t="s">
        <v>5432</v>
      </c>
      <c r="C5" s="189" t="s">
        <v>1617</v>
      </c>
      <c r="D5" s="206" t="s">
        <v>8393</v>
      </c>
      <c r="E5" s="201" t="s">
        <v>8711</v>
      </c>
      <c r="F5" s="191" t="s">
        <v>2377</v>
      </c>
      <c r="G5" s="192">
        <v>41058</v>
      </c>
      <c r="H5" s="193" t="s">
        <v>53</v>
      </c>
      <c r="I5" s="193" t="s">
        <v>5396</v>
      </c>
      <c r="J5" s="194" t="s">
        <v>8712</v>
      </c>
      <c r="K5" s="202" t="s">
        <v>8713</v>
      </c>
      <c r="L5" s="194" t="s">
        <v>8714</v>
      </c>
      <c r="M5" s="193"/>
      <c r="N5" s="193"/>
      <c r="O5" s="195" t="s">
        <v>6523</v>
      </c>
      <c r="P5" s="196" t="s">
        <v>5156</v>
      </c>
      <c r="Q5" s="196" t="s">
        <v>8715</v>
      </c>
      <c r="R5" s="195" t="s">
        <v>2399</v>
      </c>
      <c r="S5" s="195" t="s">
        <v>3961</v>
      </c>
      <c r="T5" s="197"/>
      <c r="U5" s="196" t="s">
        <v>5521</v>
      </c>
      <c r="V5" s="195" t="s">
        <v>8716</v>
      </c>
      <c r="W5" s="198" t="s">
        <v>5606</v>
      </c>
      <c r="X5" s="106"/>
      <c r="Y5" s="106"/>
      <c r="Z5" s="106"/>
      <c r="AA5" s="195" t="s">
        <v>8717</v>
      </c>
      <c r="AB5" s="198" t="s">
        <v>8718</v>
      </c>
      <c r="AC5" s="106" t="s">
        <v>8719</v>
      </c>
      <c r="AD5" s="106" t="s">
        <v>5772</v>
      </c>
      <c r="AE5" s="106" t="s">
        <v>5412</v>
      </c>
      <c r="AF5" s="195" t="s">
        <v>5776</v>
      </c>
      <c r="AG5" s="195"/>
      <c r="AH5" s="199">
        <v>1</v>
      </c>
      <c r="AI5" s="200" t="s">
        <v>8720</v>
      </c>
    </row>
    <row r="6" spans="1:35" x14ac:dyDescent="0.3">
      <c r="A6" s="106">
        <v>4</v>
      </c>
      <c r="B6" s="188" t="s">
        <v>5448</v>
      </c>
      <c r="C6" s="189" t="s">
        <v>1617</v>
      </c>
      <c r="D6" s="206" t="s">
        <v>8394</v>
      </c>
      <c r="E6" s="201" t="s">
        <v>8721</v>
      </c>
      <c r="F6" s="191" t="s">
        <v>2377</v>
      </c>
      <c r="G6" s="192">
        <v>41182</v>
      </c>
      <c r="H6" s="193" t="s">
        <v>52</v>
      </c>
      <c r="I6" s="193" t="s">
        <v>5396</v>
      </c>
      <c r="J6" s="194" t="s">
        <v>8722</v>
      </c>
      <c r="K6" s="202" t="s">
        <v>8723</v>
      </c>
      <c r="L6" s="194" t="s">
        <v>8724</v>
      </c>
      <c r="M6" s="219"/>
      <c r="N6" s="193"/>
      <c r="O6" s="195" t="s">
        <v>2817</v>
      </c>
      <c r="P6" s="196" t="s">
        <v>8704</v>
      </c>
      <c r="Q6" s="196" t="s">
        <v>8694</v>
      </c>
      <c r="R6" s="195" t="s">
        <v>2399</v>
      </c>
      <c r="S6" s="195" t="s">
        <v>3961</v>
      </c>
      <c r="T6" s="197"/>
      <c r="U6" s="196" t="s">
        <v>5521</v>
      </c>
      <c r="V6" s="195" t="s">
        <v>8725</v>
      </c>
      <c r="W6" s="198" t="s">
        <v>8726</v>
      </c>
      <c r="X6" s="106" t="s">
        <v>8727</v>
      </c>
      <c r="Y6" s="106" t="s">
        <v>5785</v>
      </c>
      <c r="Z6" s="106" t="s">
        <v>5442</v>
      </c>
      <c r="AA6" s="195" t="s">
        <v>8728</v>
      </c>
      <c r="AB6" s="198" t="s">
        <v>8729</v>
      </c>
      <c r="AC6" s="106" t="s">
        <v>8730</v>
      </c>
      <c r="AD6" s="106" t="s">
        <v>5785</v>
      </c>
      <c r="AE6" s="106" t="s">
        <v>5412</v>
      </c>
      <c r="AF6" s="195" t="s">
        <v>5776</v>
      </c>
      <c r="AG6" s="196"/>
      <c r="AH6" s="199">
        <v>2</v>
      </c>
      <c r="AI6" s="200" t="s">
        <v>8731</v>
      </c>
    </row>
    <row r="7" spans="1:35" x14ac:dyDescent="0.3">
      <c r="A7" s="106">
        <v>5</v>
      </c>
      <c r="B7" s="188" t="s">
        <v>5461</v>
      </c>
      <c r="C7" s="189" t="s">
        <v>1617</v>
      </c>
      <c r="D7" s="206" t="s">
        <v>8395</v>
      </c>
      <c r="E7" s="201">
        <v>3126485609</v>
      </c>
      <c r="F7" s="191" t="s">
        <v>2377</v>
      </c>
      <c r="G7" s="295">
        <v>41170</v>
      </c>
      <c r="H7" s="193" t="s">
        <v>52</v>
      </c>
      <c r="I7" s="193" t="s">
        <v>5396</v>
      </c>
      <c r="J7" s="194" t="s">
        <v>8732</v>
      </c>
      <c r="K7" s="202" t="s">
        <v>8733</v>
      </c>
      <c r="L7" s="193" t="s">
        <v>8734</v>
      </c>
      <c r="M7" s="193"/>
      <c r="N7" s="193"/>
      <c r="O7" s="195" t="s">
        <v>8735</v>
      </c>
      <c r="P7" s="196" t="s">
        <v>5576</v>
      </c>
      <c r="Q7" s="196" t="s">
        <v>8694</v>
      </c>
      <c r="R7" s="195" t="s">
        <v>2399</v>
      </c>
      <c r="S7" s="195" t="s">
        <v>3961</v>
      </c>
      <c r="T7" s="197"/>
      <c r="U7" s="196" t="s">
        <v>5521</v>
      </c>
      <c r="V7" s="195" t="s">
        <v>8736</v>
      </c>
      <c r="W7" s="198" t="s">
        <v>8737</v>
      </c>
      <c r="X7" s="106" t="s">
        <v>8738</v>
      </c>
      <c r="Y7" s="106" t="s">
        <v>5785</v>
      </c>
      <c r="Z7" s="106" t="s">
        <v>5442</v>
      </c>
      <c r="AA7" s="195" t="s">
        <v>8739</v>
      </c>
      <c r="AB7" s="198" t="s">
        <v>8740</v>
      </c>
      <c r="AC7" s="106" t="s">
        <v>8741</v>
      </c>
      <c r="AD7" s="106" t="s">
        <v>5785</v>
      </c>
      <c r="AE7" s="106" t="s">
        <v>5412</v>
      </c>
      <c r="AF7" s="195" t="s">
        <v>3552</v>
      </c>
      <c r="AG7" s="197"/>
      <c r="AH7" s="199">
        <v>1</v>
      </c>
      <c r="AI7" s="200" t="s">
        <v>8742</v>
      </c>
    </row>
    <row r="8" spans="1:35" x14ac:dyDescent="0.3">
      <c r="A8" s="398">
        <v>6</v>
      </c>
      <c r="B8" s="399" t="s">
        <v>5157</v>
      </c>
      <c r="C8" s="400" t="s">
        <v>1617</v>
      </c>
      <c r="D8" s="206" t="s">
        <v>8396</v>
      </c>
      <c r="E8" s="401">
        <v>3127488370</v>
      </c>
      <c r="F8" s="402" t="s">
        <v>8743</v>
      </c>
      <c r="G8" s="403">
        <v>41148</v>
      </c>
      <c r="H8" s="404" t="s">
        <v>53</v>
      </c>
      <c r="I8" s="404" t="s">
        <v>5396</v>
      </c>
      <c r="J8" s="405" t="s">
        <v>8744</v>
      </c>
      <c r="K8" s="406" t="s">
        <v>8745</v>
      </c>
      <c r="L8" s="405" t="s">
        <v>8746</v>
      </c>
      <c r="M8" s="404"/>
      <c r="N8" s="404"/>
      <c r="O8" s="407" t="s">
        <v>5768</v>
      </c>
      <c r="P8" s="408" t="s">
        <v>5156</v>
      </c>
      <c r="Q8" s="408" t="s">
        <v>8715</v>
      </c>
      <c r="R8" s="407" t="s">
        <v>2399</v>
      </c>
      <c r="S8" s="407" t="s">
        <v>3961</v>
      </c>
      <c r="T8" s="409"/>
      <c r="U8" s="408" t="s">
        <v>5521</v>
      </c>
      <c r="V8" s="407" t="s">
        <v>8747</v>
      </c>
      <c r="W8" s="410" t="s">
        <v>8748</v>
      </c>
      <c r="X8" s="398" t="s">
        <v>8749</v>
      </c>
      <c r="Y8" s="398" t="s">
        <v>5772</v>
      </c>
      <c r="Z8" s="398" t="s">
        <v>5442</v>
      </c>
      <c r="AA8" s="407" t="s">
        <v>3234</v>
      </c>
      <c r="AB8" s="410" t="s">
        <v>8750</v>
      </c>
      <c r="AC8" s="398" t="s">
        <v>8751</v>
      </c>
      <c r="AD8" s="398" t="s">
        <v>5904</v>
      </c>
      <c r="AE8" s="398" t="s">
        <v>5412</v>
      </c>
      <c r="AF8" s="407" t="s">
        <v>5776</v>
      </c>
      <c r="AG8" s="407"/>
      <c r="AH8" s="411">
        <v>7</v>
      </c>
      <c r="AI8" s="412" t="s">
        <v>8752</v>
      </c>
    </row>
    <row r="9" spans="1:35" x14ac:dyDescent="0.3">
      <c r="A9" s="106">
        <v>7</v>
      </c>
      <c r="B9" s="188" t="s">
        <v>5401</v>
      </c>
      <c r="C9" s="189" t="s">
        <v>1617</v>
      </c>
      <c r="D9" s="206" t="s">
        <v>8397</v>
      </c>
      <c r="E9" s="201" t="s">
        <v>8753</v>
      </c>
      <c r="F9" s="191" t="s">
        <v>2352</v>
      </c>
      <c r="G9" s="192">
        <v>40949</v>
      </c>
      <c r="H9" s="193" t="s">
        <v>53</v>
      </c>
      <c r="I9" s="193" t="s">
        <v>5396</v>
      </c>
      <c r="J9" s="194" t="s">
        <v>8754</v>
      </c>
      <c r="K9" s="202" t="s">
        <v>8755</v>
      </c>
      <c r="L9" s="193" t="s">
        <v>8756</v>
      </c>
      <c r="M9" s="193"/>
      <c r="N9" s="193"/>
      <c r="O9" s="195" t="s">
        <v>2817</v>
      </c>
      <c r="P9" s="196" t="s">
        <v>8704</v>
      </c>
      <c r="Q9" s="196" t="s">
        <v>8694</v>
      </c>
      <c r="R9" s="195" t="s">
        <v>2399</v>
      </c>
      <c r="S9" s="195" t="s">
        <v>3961</v>
      </c>
      <c r="T9" s="197"/>
      <c r="U9" s="196" t="s">
        <v>5521</v>
      </c>
      <c r="V9" s="195" t="s">
        <v>8757</v>
      </c>
      <c r="W9" s="198" t="s">
        <v>8758</v>
      </c>
      <c r="X9" s="106" t="s">
        <v>8759</v>
      </c>
      <c r="Y9" s="106" t="s">
        <v>5785</v>
      </c>
      <c r="Z9" s="106" t="s">
        <v>5442</v>
      </c>
      <c r="AA9" s="195" t="s">
        <v>8760</v>
      </c>
      <c r="AB9" s="198" t="s">
        <v>8761</v>
      </c>
      <c r="AC9" s="106" t="s">
        <v>8762</v>
      </c>
      <c r="AD9" s="106" t="s">
        <v>5785</v>
      </c>
      <c r="AE9" s="106" t="s">
        <v>5412</v>
      </c>
      <c r="AF9" s="195" t="s">
        <v>5776</v>
      </c>
      <c r="AG9" s="196"/>
      <c r="AH9" s="199">
        <v>3</v>
      </c>
      <c r="AI9" s="200" t="s">
        <v>8763</v>
      </c>
    </row>
    <row r="10" spans="1:35" x14ac:dyDescent="0.3">
      <c r="A10" s="106">
        <v>8</v>
      </c>
      <c r="B10" s="188" t="s">
        <v>5502</v>
      </c>
      <c r="C10" s="189" t="s">
        <v>13</v>
      </c>
      <c r="D10" s="169" t="s">
        <v>8192</v>
      </c>
      <c r="E10" s="201" t="s">
        <v>8764</v>
      </c>
      <c r="F10" s="191" t="s">
        <v>2377</v>
      </c>
      <c r="G10" s="192">
        <v>41560</v>
      </c>
      <c r="H10" s="193" t="s">
        <v>53</v>
      </c>
      <c r="I10" s="193" t="s">
        <v>5396</v>
      </c>
      <c r="J10" s="194" t="s">
        <v>8765</v>
      </c>
      <c r="K10" s="202" t="s">
        <v>8766</v>
      </c>
      <c r="L10" s="193" t="s">
        <v>8767</v>
      </c>
      <c r="M10" s="193"/>
      <c r="N10" s="193"/>
      <c r="O10" s="195" t="s">
        <v>2887</v>
      </c>
      <c r="P10" s="196" t="s">
        <v>8704</v>
      </c>
      <c r="Q10" s="196" t="s">
        <v>8768</v>
      </c>
      <c r="R10" s="195" t="s">
        <v>2399</v>
      </c>
      <c r="S10" s="195" t="s">
        <v>3961</v>
      </c>
      <c r="T10" s="197"/>
      <c r="U10" s="196" t="s">
        <v>5521</v>
      </c>
      <c r="V10" s="195" t="s">
        <v>8769</v>
      </c>
      <c r="W10" s="198" t="s">
        <v>8770</v>
      </c>
      <c r="X10" s="106" t="s">
        <v>8771</v>
      </c>
      <c r="Y10" s="106" t="s">
        <v>5785</v>
      </c>
      <c r="Z10" s="106" t="s">
        <v>5442</v>
      </c>
      <c r="AA10" s="195" t="s">
        <v>4065</v>
      </c>
      <c r="AB10" s="198" t="s">
        <v>8772</v>
      </c>
      <c r="AC10" s="106" t="s">
        <v>8773</v>
      </c>
      <c r="AD10" s="106" t="s">
        <v>5772</v>
      </c>
      <c r="AE10" s="106" t="s">
        <v>5412</v>
      </c>
      <c r="AF10" s="195" t="s">
        <v>3552</v>
      </c>
      <c r="AG10" s="195"/>
      <c r="AH10" s="199">
        <v>1</v>
      </c>
      <c r="AI10" s="200" t="s">
        <v>8774</v>
      </c>
    </row>
    <row r="11" spans="1:35" x14ac:dyDescent="0.3">
      <c r="A11" s="106">
        <v>9</v>
      </c>
      <c r="B11" s="235" t="s">
        <v>5514</v>
      </c>
      <c r="C11" s="195" t="s">
        <v>13</v>
      </c>
      <c r="D11" s="236" t="s">
        <v>8193</v>
      </c>
      <c r="E11" s="413" t="s">
        <v>8775</v>
      </c>
      <c r="F11" s="414" t="s">
        <v>2377</v>
      </c>
      <c r="G11" s="415">
        <v>41225</v>
      </c>
      <c r="H11" s="237" t="s">
        <v>53</v>
      </c>
      <c r="I11" s="237" t="s">
        <v>5396</v>
      </c>
      <c r="J11" s="416" t="s">
        <v>8776</v>
      </c>
      <c r="K11" s="417" t="s">
        <v>8777</v>
      </c>
      <c r="L11" s="237" t="s">
        <v>8778</v>
      </c>
      <c r="M11" s="237"/>
      <c r="N11" s="237"/>
      <c r="O11" s="195" t="s">
        <v>2712</v>
      </c>
      <c r="P11" s="196" t="s">
        <v>8779</v>
      </c>
      <c r="Q11" s="196" t="s">
        <v>8768</v>
      </c>
      <c r="R11" s="195" t="s">
        <v>2399</v>
      </c>
      <c r="S11" s="195" t="s">
        <v>3961</v>
      </c>
      <c r="T11" s="195"/>
      <c r="U11" s="196" t="s">
        <v>5521</v>
      </c>
      <c r="V11" s="195" t="s">
        <v>8780</v>
      </c>
      <c r="W11" s="198" t="s">
        <v>8781</v>
      </c>
      <c r="X11" s="106" t="s">
        <v>8782</v>
      </c>
      <c r="Y11" s="106" t="s">
        <v>5904</v>
      </c>
      <c r="Z11" s="106" t="s">
        <v>5442</v>
      </c>
      <c r="AA11" s="195" t="s">
        <v>8783</v>
      </c>
      <c r="AB11" s="198" t="s">
        <v>8784</v>
      </c>
      <c r="AC11" s="106" t="s">
        <v>8785</v>
      </c>
      <c r="AD11" s="106" t="s">
        <v>5772</v>
      </c>
      <c r="AE11" s="106" t="s">
        <v>5412</v>
      </c>
      <c r="AF11" s="195" t="s">
        <v>3552</v>
      </c>
      <c r="AG11" s="195"/>
      <c r="AH11" s="418">
        <v>2</v>
      </c>
      <c r="AI11" s="200" t="s">
        <v>8786</v>
      </c>
    </row>
    <row r="12" spans="1:35" x14ac:dyDescent="0.3">
      <c r="A12" s="106">
        <v>10</v>
      </c>
      <c r="B12" s="188" t="s">
        <v>5520</v>
      </c>
      <c r="C12" s="189" t="s">
        <v>1613</v>
      </c>
      <c r="D12" s="169" t="s">
        <v>8231</v>
      </c>
      <c r="E12" s="201" t="s">
        <v>8787</v>
      </c>
      <c r="F12" s="191" t="s">
        <v>2377</v>
      </c>
      <c r="G12" s="192">
        <v>41457</v>
      </c>
      <c r="H12" s="193" t="s">
        <v>53</v>
      </c>
      <c r="I12" s="193" t="s">
        <v>5396</v>
      </c>
      <c r="J12" s="194" t="s">
        <v>8788</v>
      </c>
      <c r="K12" s="202" t="s">
        <v>8789</v>
      </c>
      <c r="L12" s="193" t="s">
        <v>8790</v>
      </c>
      <c r="M12" s="193"/>
      <c r="N12" s="193"/>
      <c r="O12" s="195" t="s">
        <v>2399</v>
      </c>
      <c r="P12" s="196" t="s">
        <v>5576</v>
      </c>
      <c r="Q12" s="196" t="s">
        <v>8715</v>
      </c>
      <c r="R12" s="195" t="s">
        <v>2399</v>
      </c>
      <c r="S12" s="195" t="s">
        <v>3961</v>
      </c>
      <c r="T12" s="197"/>
      <c r="U12" s="196" t="s">
        <v>5521</v>
      </c>
      <c r="V12" s="195" t="s">
        <v>8791</v>
      </c>
      <c r="W12" s="198" t="s">
        <v>8792</v>
      </c>
      <c r="X12" s="106" t="s">
        <v>8793</v>
      </c>
      <c r="Y12" s="106" t="s">
        <v>5785</v>
      </c>
      <c r="Z12" s="106" t="s">
        <v>5442</v>
      </c>
      <c r="AA12" s="195" t="s">
        <v>8794</v>
      </c>
      <c r="AB12" s="198" t="s">
        <v>8795</v>
      </c>
      <c r="AC12" s="106" t="s">
        <v>8796</v>
      </c>
      <c r="AD12" s="106" t="s">
        <v>5785</v>
      </c>
      <c r="AE12" s="106" t="s">
        <v>5412</v>
      </c>
      <c r="AF12" s="195" t="s">
        <v>3552</v>
      </c>
      <c r="AG12" s="196"/>
      <c r="AH12" s="199">
        <v>1</v>
      </c>
      <c r="AI12" s="201" t="s">
        <v>8797</v>
      </c>
    </row>
    <row r="13" spans="1:35" x14ac:dyDescent="0.3">
      <c r="A13" s="106">
        <v>11</v>
      </c>
      <c r="B13" s="188" t="s">
        <v>5542</v>
      </c>
      <c r="C13" s="189" t="s">
        <v>13</v>
      </c>
      <c r="D13" s="419" t="s">
        <v>8194</v>
      </c>
      <c r="E13" s="420" t="s">
        <v>8798</v>
      </c>
      <c r="F13" s="191" t="s">
        <v>2377</v>
      </c>
      <c r="G13" s="192">
        <v>41184</v>
      </c>
      <c r="H13" s="193" t="s">
        <v>52</v>
      </c>
      <c r="I13" s="193" t="s">
        <v>5396</v>
      </c>
      <c r="J13" s="194" t="s">
        <v>8799</v>
      </c>
      <c r="K13" s="202" t="s">
        <v>8800</v>
      </c>
      <c r="L13" s="194" t="s">
        <v>8801</v>
      </c>
      <c r="M13" s="193"/>
      <c r="N13" s="193"/>
      <c r="O13" s="195" t="s">
        <v>2712</v>
      </c>
      <c r="P13" s="196" t="s">
        <v>5156</v>
      </c>
      <c r="Q13" s="196" t="s">
        <v>8704</v>
      </c>
      <c r="R13" s="195" t="s">
        <v>2845</v>
      </c>
      <c r="S13" s="195" t="s">
        <v>3961</v>
      </c>
      <c r="T13" s="197"/>
      <c r="U13" s="196" t="s">
        <v>5521</v>
      </c>
      <c r="V13" s="195" t="s">
        <v>8802</v>
      </c>
      <c r="W13" s="198" t="s">
        <v>8803</v>
      </c>
      <c r="X13" s="106" t="s">
        <v>8804</v>
      </c>
      <c r="Y13" s="106" t="s">
        <v>5772</v>
      </c>
      <c r="Z13" s="106" t="s">
        <v>5442</v>
      </c>
      <c r="AA13" s="195" t="s">
        <v>8805</v>
      </c>
      <c r="AB13" s="198" t="s">
        <v>8806</v>
      </c>
      <c r="AC13" s="106" t="s">
        <v>8807</v>
      </c>
      <c r="AD13" s="106" t="s">
        <v>5785</v>
      </c>
      <c r="AE13" s="106" t="s">
        <v>5412</v>
      </c>
      <c r="AF13" s="195" t="s">
        <v>7914</v>
      </c>
      <c r="AG13" s="197"/>
      <c r="AH13" s="199">
        <v>1</v>
      </c>
      <c r="AI13" s="200" t="s">
        <v>8808</v>
      </c>
    </row>
    <row r="14" spans="1:35" x14ac:dyDescent="0.3">
      <c r="A14" s="106">
        <v>12</v>
      </c>
      <c r="B14" s="188" t="s">
        <v>5556</v>
      </c>
      <c r="C14" s="189" t="s">
        <v>13</v>
      </c>
      <c r="D14" s="169" t="s">
        <v>8195</v>
      </c>
      <c r="E14" s="201" t="s">
        <v>8809</v>
      </c>
      <c r="F14" s="191" t="s">
        <v>2377</v>
      </c>
      <c r="G14" s="192">
        <v>41111</v>
      </c>
      <c r="H14" s="193" t="s">
        <v>53</v>
      </c>
      <c r="I14" s="193" t="s">
        <v>5396</v>
      </c>
      <c r="J14" s="194" t="s">
        <v>8810</v>
      </c>
      <c r="K14" s="202" t="s">
        <v>8811</v>
      </c>
      <c r="L14" s="193" t="s">
        <v>8812</v>
      </c>
      <c r="M14" s="193"/>
      <c r="N14" s="193"/>
      <c r="O14" s="195" t="s">
        <v>5626</v>
      </c>
      <c r="P14" s="196" t="s">
        <v>8779</v>
      </c>
      <c r="Q14" s="196" t="s">
        <v>5576</v>
      </c>
      <c r="R14" s="195" t="s">
        <v>3105</v>
      </c>
      <c r="S14" s="195" t="s">
        <v>5422</v>
      </c>
      <c r="T14" s="197"/>
      <c r="U14" s="196" t="s">
        <v>5657</v>
      </c>
      <c r="V14" s="195" t="s">
        <v>8813</v>
      </c>
      <c r="W14" s="198" t="s">
        <v>8814</v>
      </c>
      <c r="X14" s="106" t="s">
        <v>8815</v>
      </c>
      <c r="Y14" s="106" t="s">
        <v>5785</v>
      </c>
      <c r="Z14" s="106" t="s">
        <v>5442</v>
      </c>
      <c r="AA14" s="195" t="s">
        <v>3571</v>
      </c>
      <c r="AB14" s="198" t="s">
        <v>8816</v>
      </c>
      <c r="AC14" s="106" t="s">
        <v>8817</v>
      </c>
      <c r="AD14" s="106" t="s">
        <v>5904</v>
      </c>
      <c r="AE14" s="106" t="s">
        <v>5412</v>
      </c>
      <c r="AF14" s="195" t="s">
        <v>6021</v>
      </c>
      <c r="AG14" s="197"/>
      <c r="AH14" s="199">
        <v>2</v>
      </c>
      <c r="AI14" s="200" t="s">
        <v>8818</v>
      </c>
    </row>
    <row r="15" spans="1:35" x14ac:dyDescent="0.3">
      <c r="A15" s="106">
        <v>13</v>
      </c>
      <c r="B15" s="188" t="s">
        <v>5421</v>
      </c>
      <c r="C15" s="189" t="s">
        <v>13</v>
      </c>
      <c r="D15" s="169" t="s">
        <v>8196</v>
      </c>
      <c r="E15" s="201">
        <v>3128080326</v>
      </c>
      <c r="F15" s="191" t="s">
        <v>2377</v>
      </c>
      <c r="G15" s="192">
        <v>41204</v>
      </c>
      <c r="H15" s="193" t="s">
        <v>53</v>
      </c>
      <c r="I15" s="193" t="s">
        <v>5396</v>
      </c>
      <c r="J15" s="194" t="s">
        <v>8819</v>
      </c>
      <c r="K15" s="202" t="s">
        <v>8820</v>
      </c>
      <c r="L15" s="193" t="s">
        <v>8821</v>
      </c>
      <c r="M15" s="193"/>
      <c r="N15" s="193"/>
      <c r="O15" s="195" t="s">
        <v>5480</v>
      </c>
      <c r="P15" s="196" t="s">
        <v>5576</v>
      </c>
      <c r="Q15" s="196" t="s">
        <v>5156</v>
      </c>
      <c r="R15" s="195" t="s">
        <v>2399</v>
      </c>
      <c r="S15" s="195" t="s">
        <v>3961</v>
      </c>
      <c r="T15" s="197"/>
      <c r="U15" s="196" t="s">
        <v>5521</v>
      </c>
      <c r="V15" s="195" t="s">
        <v>8822</v>
      </c>
      <c r="W15" s="198" t="s">
        <v>8823</v>
      </c>
      <c r="X15" s="106" t="s">
        <v>8824</v>
      </c>
      <c r="Y15" s="106" t="s">
        <v>5785</v>
      </c>
      <c r="Z15" s="106" t="s">
        <v>5427</v>
      </c>
      <c r="AA15" s="195" t="s">
        <v>8825</v>
      </c>
      <c r="AB15" s="198" t="s">
        <v>8826</v>
      </c>
      <c r="AC15" s="106" t="s">
        <v>8827</v>
      </c>
      <c r="AD15" s="106" t="s">
        <v>8828</v>
      </c>
      <c r="AE15" s="106" t="s">
        <v>5427</v>
      </c>
      <c r="AF15" s="195" t="s">
        <v>5487</v>
      </c>
      <c r="AG15" s="197"/>
      <c r="AH15" s="199">
        <v>1</v>
      </c>
      <c r="AI15" s="200" t="s">
        <v>8829</v>
      </c>
    </row>
    <row r="16" spans="1:35" x14ac:dyDescent="0.3">
      <c r="A16" s="106">
        <v>14</v>
      </c>
      <c r="B16" s="188" t="s">
        <v>5584</v>
      </c>
      <c r="C16" s="189" t="s">
        <v>1613</v>
      </c>
      <c r="D16" s="101" t="s">
        <v>8232</v>
      </c>
      <c r="E16" s="201" t="s">
        <v>8830</v>
      </c>
      <c r="F16" s="101" t="s">
        <v>2377</v>
      </c>
      <c r="G16" s="192">
        <v>41304</v>
      </c>
      <c r="H16" s="193" t="s">
        <v>53</v>
      </c>
      <c r="I16" s="193" t="s">
        <v>5396</v>
      </c>
      <c r="J16" s="194" t="s">
        <v>8831</v>
      </c>
      <c r="K16" s="202" t="s">
        <v>8832</v>
      </c>
      <c r="L16" s="193" t="s">
        <v>8833</v>
      </c>
      <c r="M16" s="193"/>
      <c r="N16" s="194"/>
      <c r="O16" s="195" t="s">
        <v>3087</v>
      </c>
      <c r="P16" s="196" t="s">
        <v>5156</v>
      </c>
      <c r="Q16" s="196" t="s">
        <v>8768</v>
      </c>
      <c r="R16" s="195" t="s">
        <v>2399</v>
      </c>
      <c r="S16" s="195" t="s">
        <v>3961</v>
      </c>
      <c r="T16" s="197"/>
      <c r="U16" s="196"/>
      <c r="V16" s="195" t="s">
        <v>8834</v>
      </c>
      <c r="W16" s="198"/>
      <c r="X16" s="106"/>
      <c r="Y16" s="106"/>
      <c r="Z16" s="106"/>
      <c r="AA16" s="106" t="s">
        <v>6997</v>
      </c>
      <c r="AB16" s="198" t="s">
        <v>8835</v>
      </c>
      <c r="AC16" s="106" t="s">
        <v>8836</v>
      </c>
      <c r="AD16" s="106" t="s">
        <v>5772</v>
      </c>
      <c r="AE16" s="106" t="s">
        <v>5412</v>
      </c>
      <c r="AF16" s="195" t="s">
        <v>3552</v>
      </c>
      <c r="AG16" s="197"/>
      <c r="AH16" s="199">
        <v>1</v>
      </c>
      <c r="AI16" s="200" t="s">
        <v>8837</v>
      </c>
    </row>
    <row r="17" spans="1:35" x14ac:dyDescent="0.3">
      <c r="A17" s="106">
        <v>15</v>
      </c>
      <c r="B17" s="188" t="s">
        <v>5595</v>
      </c>
      <c r="C17" s="189" t="s">
        <v>13</v>
      </c>
      <c r="D17" s="101" t="s">
        <v>8197</v>
      </c>
      <c r="E17" s="201" t="s">
        <v>8838</v>
      </c>
      <c r="F17" s="101" t="s">
        <v>2377</v>
      </c>
      <c r="G17" s="192">
        <v>41289</v>
      </c>
      <c r="H17" s="193" t="s">
        <v>53</v>
      </c>
      <c r="I17" s="193" t="s">
        <v>5396</v>
      </c>
      <c r="J17" s="194" t="s">
        <v>8839</v>
      </c>
      <c r="K17" s="202" t="s">
        <v>8840</v>
      </c>
      <c r="L17" s="194" t="s">
        <v>8841</v>
      </c>
      <c r="M17" s="193"/>
      <c r="N17" s="194"/>
      <c r="O17" s="195" t="s">
        <v>5897</v>
      </c>
      <c r="P17" s="196" t="s">
        <v>5156</v>
      </c>
      <c r="Q17" s="196" t="s">
        <v>8715</v>
      </c>
      <c r="R17" s="195" t="s">
        <v>2845</v>
      </c>
      <c r="S17" s="195" t="s">
        <v>3961</v>
      </c>
      <c r="T17" s="195"/>
      <c r="U17" s="196" t="s">
        <v>8842</v>
      </c>
      <c r="V17" s="195" t="s">
        <v>3432</v>
      </c>
      <c r="W17" s="198" t="s">
        <v>8843</v>
      </c>
      <c r="X17" s="106" t="s">
        <v>8844</v>
      </c>
      <c r="Y17" s="106" t="s">
        <v>5904</v>
      </c>
      <c r="Z17" s="106" t="s">
        <v>5442</v>
      </c>
      <c r="AA17" s="195" t="s">
        <v>8845</v>
      </c>
      <c r="AB17" s="198" t="s">
        <v>8846</v>
      </c>
      <c r="AC17" s="106" t="s">
        <v>8847</v>
      </c>
      <c r="AD17" s="106" t="s">
        <v>5772</v>
      </c>
      <c r="AE17" s="106" t="s">
        <v>5412</v>
      </c>
      <c r="AF17" s="195" t="s">
        <v>8848</v>
      </c>
      <c r="AG17" s="195"/>
      <c r="AH17" s="199">
        <v>1</v>
      </c>
      <c r="AI17" s="200" t="s">
        <v>8849</v>
      </c>
    </row>
    <row r="18" spans="1:35" x14ac:dyDescent="0.3">
      <c r="A18" s="242">
        <v>16</v>
      </c>
      <c r="B18" s="255" t="s">
        <v>5607</v>
      </c>
      <c r="C18" s="256" t="s">
        <v>1613</v>
      </c>
      <c r="D18" s="421" t="s">
        <v>8233</v>
      </c>
      <c r="E18" s="257">
        <v>3137911543</v>
      </c>
      <c r="F18" s="246" t="s">
        <v>2352</v>
      </c>
      <c r="G18" s="310">
        <v>41448</v>
      </c>
      <c r="H18" s="259" t="s">
        <v>53</v>
      </c>
      <c r="I18" s="259" t="s">
        <v>5396</v>
      </c>
      <c r="J18" s="260" t="s">
        <v>8850</v>
      </c>
      <c r="K18" s="260" t="s">
        <v>8851</v>
      </c>
      <c r="L18" s="260" t="s">
        <v>8852</v>
      </c>
      <c r="M18" s="259"/>
      <c r="N18" s="260"/>
      <c r="O18" s="244" t="s">
        <v>8853</v>
      </c>
      <c r="P18" s="251" t="s">
        <v>5394</v>
      </c>
      <c r="Q18" s="251" t="s">
        <v>5432</v>
      </c>
      <c r="R18" s="244" t="s">
        <v>5753</v>
      </c>
      <c r="S18" s="244" t="s">
        <v>8854</v>
      </c>
      <c r="T18" s="244"/>
      <c r="U18" s="251">
        <v>40565</v>
      </c>
      <c r="V18" s="244" t="s">
        <v>8855</v>
      </c>
      <c r="W18" s="252" t="s">
        <v>8856</v>
      </c>
      <c r="X18" s="242" t="s">
        <v>2352</v>
      </c>
      <c r="Y18" s="242" t="s">
        <v>5904</v>
      </c>
      <c r="Z18" s="242" t="s">
        <v>5442</v>
      </c>
      <c r="AA18" s="244" t="s">
        <v>8857</v>
      </c>
      <c r="AB18" s="252" t="s">
        <v>8858</v>
      </c>
      <c r="AC18" s="242" t="s">
        <v>2352</v>
      </c>
      <c r="AD18" s="242" t="s">
        <v>5785</v>
      </c>
      <c r="AE18" s="242" t="s">
        <v>5412</v>
      </c>
      <c r="AF18" s="244" t="s">
        <v>8859</v>
      </c>
      <c r="AG18" s="262"/>
      <c r="AH18" s="263"/>
      <c r="AI18" s="254"/>
    </row>
    <row r="19" spans="1:35" x14ac:dyDescent="0.3">
      <c r="A19" s="106">
        <v>17</v>
      </c>
      <c r="B19" s="188" t="s">
        <v>5620</v>
      </c>
      <c r="C19" s="189" t="s">
        <v>1614</v>
      </c>
      <c r="D19" s="101" t="s">
        <v>8269</v>
      </c>
      <c r="E19" s="201"/>
      <c r="F19" s="101" t="s">
        <v>2377</v>
      </c>
      <c r="G19" s="192">
        <v>41026</v>
      </c>
      <c r="H19" s="193" t="s">
        <v>53</v>
      </c>
      <c r="I19" s="193" t="s">
        <v>5396</v>
      </c>
      <c r="J19" s="194" t="s">
        <v>8860</v>
      </c>
      <c r="K19" s="202" t="s">
        <v>8861</v>
      </c>
      <c r="L19" s="193" t="s">
        <v>8862</v>
      </c>
      <c r="M19" s="193"/>
      <c r="N19" s="193"/>
      <c r="O19" s="195" t="s">
        <v>3087</v>
      </c>
      <c r="P19" s="196" t="s">
        <v>5432</v>
      </c>
      <c r="Q19" s="196" t="s">
        <v>5461</v>
      </c>
      <c r="R19" s="195" t="s">
        <v>2399</v>
      </c>
      <c r="S19" s="195" t="s">
        <v>3961</v>
      </c>
      <c r="T19" s="195"/>
      <c r="U19" s="196">
        <v>40764</v>
      </c>
      <c r="V19" s="195" t="s">
        <v>8863</v>
      </c>
      <c r="W19" s="198" t="s">
        <v>8864</v>
      </c>
      <c r="X19" s="106" t="s">
        <v>2352</v>
      </c>
      <c r="Y19" s="106" t="s">
        <v>5785</v>
      </c>
      <c r="Z19" s="106" t="s">
        <v>5551</v>
      </c>
      <c r="AA19" s="195" t="s">
        <v>8865</v>
      </c>
      <c r="AB19" s="198" t="s">
        <v>8866</v>
      </c>
      <c r="AC19" s="106" t="s">
        <v>2352</v>
      </c>
      <c r="AD19" s="106" t="s">
        <v>5772</v>
      </c>
      <c r="AE19" s="106" t="s">
        <v>5412</v>
      </c>
      <c r="AF19" s="195" t="s">
        <v>3552</v>
      </c>
      <c r="AG19" s="197"/>
      <c r="AH19" s="199"/>
      <c r="AI19" s="200"/>
    </row>
    <row r="20" spans="1:35" x14ac:dyDescent="0.3">
      <c r="A20" s="242">
        <v>18</v>
      </c>
      <c r="B20" s="255" t="s">
        <v>5632</v>
      </c>
      <c r="C20" s="256" t="s">
        <v>13</v>
      </c>
      <c r="D20" s="246" t="s">
        <v>8198</v>
      </c>
      <c r="E20" s="257" t="s">
        <v>8867</v>
      </c>
      <c r="F20" s="246" t="s">
        <v>2377</v>
      </c>
      <c r="G20" s="258">
        <v>41047</v>
      </c>
      <c r="H20" s="259" t="s">
        <v>52</v>
      </c>
      <c r="I20" s="259" t="s">
        <v>5396</v>
      </c>
      <c r="J20" s="260" t="s">
        <v>8868</v>
      </c>
      <c r="K20" s="261" t="s">
        <v>8869</v>
      </c>
      <c r="L20" s="259" t="s">
        <v>8870</v>
      </c>
      <c r="M20" s="259"/>
      <c r="N20" s="259"/>
      <c r="O20" s="244" t="s">
        <v>5626</v>
      </c>
      <c r="P20" s="251" t="s">
        <v>5432</v>
      </c>
      <c r="Q20" s="251" t="s">
        <v>5415</v>
      </c>
      <c r="R20" s="244" t="s">
        <v>3105</v>
      </c>
      <c r="S20" s="244" t="s">
        <v>5422</v>
      </c>
      <c r="T20" s="244"/>
      <c r="U20" s="251">
        <v>40562</v>
      </c>
      <c r="V20" s="244" t="s">
        <v>8871</v>
      </c>
      <c r="W20" s="252" t="s">
        <v>8872</v>
      </c>
      <c r="X20" s="242" t="s">
        <v>2352</v>
      </c>
      <c r="Y20" s="242" t="s">
        <v>5785</v>
      </c>
      <c r="Z20" s="242" t="s">
        <v>5442</v>
      </c>
      <c r="AA20" s="244" t="s">
        <v>8873</v>
      </c>
      <c r="AB20" s="252" t="s">
        <v>8874</v>
      </c>
      <c r="AC20" s="242" t="s">
        <v>2352</v>
      </c>
      <c r="AD20" s="242" t="s">
        <v>5904</v>
      </c>
      <c r="AE20" s="242" t="s">
        <v>5412</v>
      </c>
      <c r="AF20" s="244" t="s">
        <v>8875</v>
      </c>
      <c r="AG20" s="262"/>
      <c r="AH20" s="263">
        <v>1</v>
      </c>
      <c r="AI20" s="254" t="s">
        <v>8876</v>
      </c>
    </row>
    <row r="21" spans="1:35" x14ac:dyDescent="0.3">
      <c r="A21" s="106">
        <v>19</v>
      </c>
      <c r="B21" s="188" t="s">
        <v>5649</v>
      </c>
      <c r="C21" s="189" t="s">
        <v>1617</v>
      </c>
      <c r="D21" s="241" t="s">
        <v>8398</v>
      </c>
      <c r="E21" s="201">
        <v>3121100507</v>
      </c>
      <c r="F21" s="101" t="s">
        <v>2377</v>
      </c>
      <c r="G21" s="192">
        <v>41173</v>
      </c>
      <c r="H21" s="193" t="s">
        <v>53</v>
      </c>
      <c r="I21" s="193" t="s">
        <v>5396</v>
      </c>
      <c r="J21" s="194" t="s">
        <v>8877</v>
      </c>
      <c r="K21" s="202" t="s">
        <v>8878</v>
      </c>
      <c r="L21" s="193" t="s">
        <v>8879</v>
      </c>
      <c r="M21" s="193"/>
      <c r="N21" s="193"/>
      <c r="O21" s="195" t="s">
        <v>8880</v>
      </c>
      <c r="P21" s="196" t="s">
        <v>5461</v>
      </c>
      <c r="Q21" s="196" t="s">
        <v>5461</v>
      </c>
      <c r="R21" s="195" t="s">
        <v>2845</v>
      </c>
      <c r="S21" s="195" t="s">
        <v>3961</v>
      </c>
      <c r="T21" s="195"/>
      <c r="U21" s="196">
        <v>40764</v>
      </c>
      <c r="V21" s="195" t="s">
        <v>8881</v>
      </c>
      <c r="W21" s="198" t="s">
        <v>8882</v>
      </c>
      <c r="X21" s="106" t="s">
        <v>8883</v>
      </c>
      <c r="Y21" s="106" t="s">
        <v>5904</v>
      </c>
      <c r="Z21" s="106" t="s">
        <v>5442</v>
      </c>
      <c r="AA21" s="195" t="s">
        <v>8884</v>
      </c>
      <c r="AB21" s="198" t="s">
        <v>8885</v>
      </c>
      <c r="AC21" s="106" t="s">
        <v>2352</v>
      </c>
      <c r="AD21" s="106" t="s">
        <v>5904</v>
      </c>
      <c r="AE21" s="106" t="s">
        <v>5412</v>
      </c>
      <c r="AF21" s="195" t="s">
        <v>8886</v>
      </c>
      <c r="AG21" s="195"/>
      <c r="AH21" s="199">
        <v>1</v>
      </c>
      <c r="AI21" s="200" t="s">
        <v>8887</v>
      </c>
    </row>
    <row r="22" spans="1:35" x14ac:dyDescent="0.3">
      <c r="A22" s="106">
        <v>20</v>
      </c>
      <c r="B22" s="188" t="s">
        <v>5666</v>
      </c>
      <c r="C22" s="189" t="s">
        <v>1617</v>
      </c>
      <c r="D22" s="241" t="s">
        <v>8399</v>
      </c>
      <c r="E22" s="201"/>
      <c r="F22" s="101" t="s">
        <v>2377</v>
      </c>
      <c r="G22" s="192">
        <v>41073</v>
      </c>
      <c r="H22" s="193" t="s">
        <v>53</v>
      </c>
      <c r="I22" s="193" t="s">
        <v>5396</v>
      </c>
      <c r="J22" s="194" t="s">
        <v>8888</v>
      </c>
      <c r="K22" s="202" t="s">
        <v>8889</v>
      </c>
      <c r="L22" s="193" t="s">
        <v>8890</v>
      </c>
      <c r="M22" s="193"/>
      <c r="N22" s="193"/>
      <c r="O22" s="195" t="s">
        <v>8880</v>
      </c>
      <c r="P22" s="196" t="s">
        <v>5432</v>
      </c>
      <c r="Q22" s="196" t="s">
        <v>5461</v>
      </c>
      <c r="R22" s="195" t="s">
        <v>2845</v>
      </c>
      <c r="S22" s="195" t="s">
        <v>3961</v>
      </c>
      <c r="T22" s="195"/>
      <c r="U22" s="196">
        <v>40764</v>
      </c>
      <c r="V22" s="195" t="s">
        <v>8891</v>
      </c>
      <c r="W22" s="198" t="s">
        <v>8892</v>
      </c>
      <c r="X22" s="106" t="s">
        <v>8893</v>
      </c>
      <c r="Y22" s="106" t="s">
        <v>5785</v>
      </c>
      <c r="Z22" s="106" t="s">
        <v>5442</v>
      </c>
      <c r="AA22" s="195" t="s">
        <v>8894</v>
      </c>
      <c r="AB22" s="198" t="s">
        <v>8895</v>
      </c>
      <c r="AC22" s="106" t="s">
        <v>8896</v>
      </c>
      <c r="AD22" s="106" t="s">
        <v>5772</v>
      </c>
      <c r="AE22" s="106" t="s">
        <v>5412</v>
      </c>
      <c r="AF22" s="195" t="s">
        <v>8886</v>
      </c>
      <c r="AG22" s="240"/>
      <c r="AH22" s="240">
        <v>1</v>
      </c>
      <c r="AI22" s="200" t="s">
        <v>8897</v>
      </c>
    </row>
    <row r="23" spans="1:35" x14ac:dyDescent="0.3">
      <c r="A23" s="106">
        <v>21</v>
      </c>
      <c r="B23" s="188" t="s">
        <v>5679</v>
      </c>
      <c r="C23" s="189" t="s">
        <v>1617</v>
      </c>
      <c r="D23" s="241" t="s">
        <v>8400</v>
      </c>
      <c r="E23" s="201"/>
      <c r="F23" s="101" t="s">
        <v>2377</v>
      </c>
      <c r="G23" s="192">
        <v>41206</v>
      </c>
      <c r="H23" s="193" t="s">
        <v>52</v>
      </c>
      <c r="I23" s="193" t="s">
        <v>5396</v>
      </c>
      <c r="J23" s="194" t="s">
        <v>8898</v>
      </c>
      <c r="K23" s="202" t="s">
        <v>8899</v>
      </c>
      <c r="L23" s="193" t="s">
        <v>8900</v>
      </c>
      <c r="M23" s="193"/>
      <c r="N23" s="193"/>
      <c r="O23" s="195" t="s">
        <v>8901</v>
      </c>
      <c r="P23" s="196" t="s">
        <v>5448</v>
      </c>
      <c r="Q23" s="196" t="s">
        <v>5401</v>
      </c>
      <c r="R23" s="195" t="s">
        <v>2845</v>
      </c>
      <c r="S23" s="195" t="s">
        <v>3961</v>
      </c>
      <c r="T23" s="195"/>
      <c r="U23" s="196">
        <v>40764</v>
      </c>
      <c r="V23" s="195" t="s">
        <v>8902</v>
      </c>
      <c r="W23" s="198" t="s">
        <v>8903</v>
      </c>
      <c r="X23" s="106" t="s">
        <v>8904</v>
      </c>
      <c r="Y23" s="106" t="s">
        <v>5772</v>
      </c>
      <c r="Z23" s="106" t="s">
        <v>5442</v>
      </c>
      <c r="AA23" s="195" t="s">
        <v>1666</v>
      </c>
      <c r="AB23" s="198" t="s">
        <v>8905</v>
      </c>
      <c r="AC23" s="106" t="s">
        <v>8906</v>
      </c>
      <c r="AD23" s="106" t="s">
        <v>5772</v>
      </c>
      <c r="AE23" s="106" t="s">
        <v>5412</v>
      </c>
      <c r="AF23" s="195" t="s">
        <v>8907</v>
      </c>
      <c r="AG23" s="197"/>
      <c r="AH23" s="199">
        <v>1</v>
      </c>
      <c r="AI23" s="200" t="s">
        <v>8908</v>
      </c>
    </row>
    <row r="24" spans="1:35" x14ac:dyDescent="0.3">
      <c r="A24" s="106">
        <v>22</v>
      </c>
      <c r="B24" s="188" t="s">
        <v>5690</v>
      </c>
      <c r="C24" s="189" t="s">
        <v>1617</v>
      </c>
      <c r="D24" s="241" t="s">
        <v>8401</v>
      </c>
      <c r="E24" s="201"/>
      <c r="F24" s="101" t="s">
        <v>2377</v>
      </c>
      <c r="G24" s="192">
        <v>41404</v>
      </c>
      <c r="H24" s="193" t="s">
        <v>53</v>
      </c>
      <c r="I24" s="193" t="s">
        <v>5396</v>
      </c>
      <c r="J24" s="194" t="s">
        <v>8909</v>
      </c>
      <c r="K24" s="202" t="s">
        <v>8910</v>
      </c>
      <c r="L24" s="193" t="s">
        <v>8911</v>
      </c>
      <c r="M24" s="193"/>
      <c r="N24" s="193"/>
      <c r="O24" s="195" t="s">
        <v>8901</v>
      </c>
      <c r="P24" s="196" t="s">
        <v>5394</v>
      </c>
      <c r="Q24" s="196" t="s">
        <v>5401</v>
      </c>
      <c r="R24" s="195" t="s">
        <v>2845</v>
      </c>
      <c r="S24" s="195" t="s">
        <v>3961</v>
      </c>
      <c r="T24" s="219"/>
      <c r="U24" s="196">
        <v>40764</v>
      </c>
      <c r="V24" s="195" t="s">
        <v>8912</v>
      </c>
      <c r="W24" s="198"/>
      <c r="X24" s="106"/>
      <c r="Y24" s="106"/>
      <c r="Z24" s="106"/>
      <c r="AA24" s="195" t="s">
        <v>8913</v>
      </c>
      <c r="AB24" s="198" t="s">
        <v>8914</v>
      </c>
      <c r="AC24" s="106" t="s">
        <v>8915</v>
      </c>
      <c r="AD24" s="106" t="s">
        <v>5772</v>
      </c>
      <c r="AE24" s="106" t="s">
        <v>5412</v>
      </c>
      <c r="AF24" s="195" t="s">
        <v>8907</v>
      </c>
      <c r="AG24" s="197"/>
      <c r="AH24" s="199">
        <v>2</v>
      </c>
      <c r="AI24" s="200" t="s">
        <v>8916</v>
      </c>
    </row>
    <row r="25" spans="1:35" x14ac:dyDescent="0.3">
      <c r="A25" s="106">
        <v>23</v>
      </c>
      <c r="B25" s="188" t="s">
        <v>5702</v>
      </c>
      <c r="C25" s="189" t="s">
        <v>13</v>
      </c>
      <c r="D25" s="101" t="s">
        <v>8199</v>
      </c>
      <c r="E25" s="201">
        <v>3132376130</v>
      </c>
      <c r="F25" s="101" t="s">
        <v>2377</v>
      </c>
      <c r="G25" s="192">
        <v>41309</v>
      </c>
      <c r="H25" s="193" t="s">
        <v>52</v>
      </c>
      <c r="I25" s="193" t="s">
        <v>5396</v>
      </c>
      <c r="J25" s="194" t="s">
        <v>8917</v>
      </c>
      <c r="K25" s="202" t="s">
        <v>8918</v>
      </c>
      <c r="L25" s="193" t="s">
        <v>8919</v>
      </c>
      <c r="M25" s="193"/>
      <c r="N25" s="193"/>
      <c r="O25" s="195" t="s">
        <v>2845</v>
      </c>
      <c r="P25" s="196" t="s">
        <v>5432</v>
      </c>
      <c r="Q25" s="196" t="s">
        <v>5157</v>
      </c>
      <c r="R25" s="195" t="s">
        <v>3581</v>
      </c>
      <c r="S25" s="195" t="s">
        <v>5422</v>
      </c>
      <c r="T25" s="195"/>
      <c r="U25" s="196">
        <v>40562</v>
      </c>
      <c r="V25" s="195" t="s">
        <v>8920</v>
      </c>
      <c r="W25" s="198" t="s">
        <v>8921</v>
      </c>
      <c r="X25" s="106" t="s">
        <v>8922</v>
      </c>
      <c r="Y25" s="106" t="s">
        <v>5772</v>
      </c>
      <c r="Z25" s="106" t="s">
        <v>5442</v>
      </c>
      <c r="AA25" s="195" t="s">
        <v>8923</v>
      </c>
      <c r="AB25" s="198" t="s">
        <v>8924</v>
      </c>
      <c r="AC25" s="106" t="s">
        <v>8925</v>
      </c>
      <c r="AD25" s="106" t="s">
        <v>5785</v>
      </c>
      <c r="AE25" s="106" t="s">
        <v>5412</v>
      </c>
      <c r="AF25" s="195" t="s">
        <v>5862</v>
      </c>
      <c r="AG25" s="197"/>
      <c r="AH25" s="199">
        <v>1</v>
      </c>
      <c r="AI25" s="200">
        <v>85920585144</v>
      </c>
    </row>
    <row r="26" spans="1:35" x14ac:dyDescent="0.3">
      <c r="A26" s="106">
        <v>24</v>
      </c>
      <c r="B26" s="188" t="s">
        <v>5707</v>
      </c>
      <c r="C26" s="189" t="s">
        <v>13</v>
      </c>
      <c r="D26" s="101" t="s">
        <v>8200</v>
      </c>
      <c r="E26" s="201" t="s">
        <v>8926</v>
      </c>
      <c r="F26" s="101" t="s">
        <v>2377</v>
      </c>
      <c r="G26" s="192">
        <v>41345</v>
      </c>
      <c r="H26" s="193" t="s">
        <v>52</v>
      </c>
      <c r="I26" s="193" t="s">
        <v>5396</v>
      </c>
      <c r="J26" s="194" t="s">
        <v>8927</v>
      </c>
      <c r="K26" s="202" t="s">
        <v>8928</v>
      </c>
      <c r="L26" s="193" t="s">
        <v>8929</v>
      </c>
      <c r="M26" s="193"/>
      <c r="N26" s="193"/>
      <c r="O26" s="195" t="s">
        <v>5869</v>
      </c>
      <c r="P26" s="196" t="s">
        <v>5448</v>
      </c>
      <c r="Q26" s="196" t="s">
        <v>5448</v>
      </c>
      <c r="R26" s="195" t="s">
        <v>3581</v>
      </c>
      <c r="S26" s="195" t="s">
        <v>5422</v>
      </c>
      <c r="T26" s="195"/>
      <c r="U26" s="196">
        <v>40562</v>
      </c>
      <c r="V26" s="195" t="s">
        <v>8930</v>
      </c>
      <c r="W26" s="198"/>
      <c r="X26" s="106"/>
      <c r="Y26" s="106"/>
      <c r="Z26" s="106"/>
      <c r="AA26" s="195" t="s">
        <v>8931</v>
      </c>
      <c r="AB26" s="198" t="s">
        <v>8932</v>
      </c>
      <c r="AC26" s="106" t="s">
        <v>8933</v>
      </c>
      <c r="AD26" s="106" t="s">
        <v>5785</v>
      </c>
      <c r="AE26" s="106" t="s">
        <v>5412</v>
      </c>
      <c r="AF26" s="195" t="s">
        <v>5862</v>
      </c>
      <c r="AG26" s="197"/>
      <c r="AH26" s="199">
        <v>1</v>
      </c>
      <c r="AI26" s="200" t="s">
        <v>8934</v>
      </c>
    </row>
    <row r="27" spans="1:35" x14ac:dyDescent="0.3">
      <c r="A27" s="106">
        <v>25</v>
      </c>
      <c r="B27" s="188" t="s">
        <v>5721</v>
      </c>
      <c r="C27" s="189" t="s">
        <v>13</v>
      </c>
      <c r="D27" s="101" t="s">
        <v>8201</v>
      </c>
      <c r="E27" s="201">
        <v>3133729676</v>
      </c>
      <c r="F27" s="101" t="s">
        <v>2377</v>
      </c>
      <c r="G27" s="192">
        <v>41628</v>
      </c>
      <c r="H27" s="193" t="s">
        <v>53</v>
      </c>
      <c r="I27" s="193" t="s">
        <v>5396</v>
      </c>
      <c r="J27" s="194" t="s">
        <v>8935</v>
      </c>
      <c r="K27" s="202" t="s">
        <v>8936</v>
      </c>
      <c r="L27" s="193" t="s">
        <v>8937</v>
      </c>
      <c r="M27" s="193"/>
      <c r="N27" s="193"/>
      <c r="O27" s="195" t="s">
        <v>2398</v>
      </c>
      <c r="P27" s="196" t="s">
        <v>5394</v>
      </c>
      <c r="Q27" s="196" t="s">
        <v>5401</v>
      </c>
      <c r="R27" s="195" t="s">
        <v>2399</v>
      </c>
      <c r="S27" s="195" t="s">
        <v>3961</v>
      </c>
      <c r="T27" s="195"/>
      <c r="U27" s="196">
        <v>40764</v>
      </c>
      <c r="V27" s="195" t="s">
        <v>8938</v>
      </c>
      <c r="W27" s="198"/>
      <c r="X27" s="106"/>
      <c r="Y27" s="106"/>
      <c r="Z27" s="106"/>
      <c r="AA27" s="195" t="s">
        <v>8939</v>
      </c>
      <c r="AB27" s="198" t="s">
        <v>8940</v>
      </c>
      <c r="AC27" s="106" t="s">
        <v>8941</v>
      </c>
      <c r="AD27" s="106" t="s">
        <v>5785</v>
      </c>
      <c r="AE27" s="106" t="s">
        <v>5412</v>
      </c>
      <c r="AF27" s="195" t="s">
        <v>3552</v>
      </c>
      <c r="AG27" s="195" t="s">
        <v>8942</v>
      </c>
      <c r="AH27" s="199">
        <v>1</v>
      </c>
      <c r="AI27" s="200"/>
    </row>
    <row r="28" spans="1:35" x14ac:dyDescent="0.3">
      <c r="A28" s="106">
        <v>26</v>
      </c>
      <c r="B28" s="235" t="s">
        <v>5734</v>
      </c>
      <c r="C28" s="195" t="s">
        <v>13</v>
      </c>
      <c r="D28" s="101" t="s">
        <v>8202</v>
      </c>
      <c r="E28" s="413">
        <v>3122530858</v>
      </c>
      <c r="F28" s="101" t="s">
        <v>2377</v>
      </c>
      <c r="G28" s="415">
        <v>41162</v>
      </c>
      <c r="H28" s="237" t="s">
        <v>52</v>
      </c>
      <c r="I28" s="237" t="s">
        <v>5396</v>
      </c>
      <c r="J28" s="416" t="s">
        <v>8943</v>
      </c>
      <c r="K28" s="417" t="s">
        <v>8944</v>
      </c>
      <c r="L28" s="237" t="s">
        <v>8945</v>
      </c>
      <c r="M28" s="237"/>
      <c r="N28" s="237"/>
      <c r="O28" s="195" t="s">
        <v>6365</v>
      </c>
      <c r="P28" s="196" t="s">
        <v>5415</v>
      </c>
      <c r="Q28" s="196" t="s">
        <v>5584</v>
      </c>
      <c r="R28" s="195" t="s">
        <v>3581</v>
      </c>
      <c r="S28" s="195" t="s">
        <v>5422</v>
      </c>
      <c r="T28" s="195"/>
      <c r="U28" s="195">
        <v>40562</v>
      </c>
      <c r="V28" s="195" t="s">
        <v>7540</v>
      </c>
      <c r="W28" s="198" t="s">
        <v>8946</v>
      </c>
      <c r="X28" s="106" t="s">
        <v>8947</v>
      </c>
      <c r="Y28" s="106" t="s">
        <v>5904</v>
      </c>
      <c r="Z28" s="106" t="s">
        <v>5442</v>
      </c>
      <c r="AA28" s="195" t="s">
        <v>8948</v>
      </c>
      <c r="AB28" s="198"/>
      <c r="AC28" s="106"/>
      <c r="AD28" s="106"/>
      <c r="AE28" s="106"/>
      <c r="AF28" s="195" t="s">
        <v>7735</v>
      </c>
      <c r="AG28" s="195" t="s">
        <v>8949</v>
      </c>
      <c r="AH28" s="418">
        <v>4</v>
      </c>
      <c r="AI28" s="200"/>
    </row>
    <row r="29" spans="1:35" x14ac:dyDescent="0.3">
      <c r="A29" s="106">
        <v>27</v>
      </c>
      <c r="B29" s="188" t="s">
        <v>5747</v>
      </c>
      <c r="C29" s="189" t="s">
        <v>13</v>
      </c>
      <c r="D29" s="422" t="s">
        <v>8950</v>
      </c>
      <c r="E29" s="201">
        <v>3128641329</v>
      </c>
      <c r="F29" s="101" t="s">
        <v>2352</v>
      </c>
      <c r="G29" s="192">
        <v>41157</v>
      </c>
      <c r="H29" s="193" t="s">
        <v>53</v>
      </c>
      <c r="I29" s="237" t="s">
        <v>5396</v>
      </c>
      <c r="J29" s="194" t="s">
        <v>8951</v>
      </c>
      <c r="K29" s="202" t="s">
        <v>8952</v>
      </c>
      <c r="L29" s="193" t="s">
        <v>8953</v>
      </c>
      <c r="M29" s="193"/>
      <c r="N29" s="193"/>
      <c r="O29" s="195" t="s">
        <v>6365</v>
      </c>
      <c r="P29" s="196" t="s">
        <v>5448</v>
      </c>
      <c r="Q29" s="196" t="s">
        <v>5502</v>
      </c>
      <c r="R29" s="195" t="s">
        <v>3581</v>
      </c>
      <c r="S29" s="195" t="s">
        <v>5422</v>
      </c>
      <c r="T29" s="195"/>
      <c r="U29" s="195">
        <v>40562</v>
      </c>
      <c r="V29" s="195" t="s">
        <v>8954</v>
      </c>
      <c r="W29" s="198" t="s">
        <v>8955</v>
      </c>
      <c r="X29" s="106" t="s">
        <v>8956</v>
      </c>
      <c r="Y29" s="106" t="s">
        <v>5772</v>
      </c>
      <c r="Z29" s="106" t="s">
        <v>5442</v>
      </c>
      <c r="AA29" s="195" t="s">
        <v>3966</v>
      </c>
      <c r="AB29" s="198" t="s">
        <v>8957</v>
      </c>
      <c r="AC29" s="106" t="s">
        <v>8958</v>
      </c>
      <c r="AD29" s="106" t="s">
        <v>5785</v>
      </c>
      <c r="AE29" s="106" t="s">
        <v>5412</v>
      </c>
      <c r="AF29" s="195" t="s">
        <v>7735</v>
      </c>
      <c r="AG29" s="195" t="s">
        <v>8959</v>
      </c>
      <c r="AH29" s="199">
        <v>2</v>
      </c>
      <c r="AI29" s="200"/>
    </row>
    <row r="30" spans="1:35" ht="15" thickBot="1" x14ac:dyDescent="0.35">
      <c r="A30" s="106">
        <v>28</v>
      </c>
      <c r="B30" s="188" t="s">
        <v>5763</v>
      </c>
      <c r="C30" s="189" t="s">
        <v>13</v>
      </c>
      <c r="D30" s="101" t="s">
        <v>8203</v>
      </c>
      <c r="E30" s="201" t="s">
        <v>8960</v>
      </c>
      <c r="F30" s="101" t="s">
        <v>2377</v>
      </c>
      <c r="G30" s="192">
        <v>41072</v>
      </c>
      <c r="H30" s="193" t="s">
        <v>53</v>
      </c>
      <c r="I30" s="237" t="s">
        <v>5396</v>
      </c>
      <c r="J30" s="194" t="s">
        <v>8961</v>
      </c>
      <c r="K30" s="202" t="s">
        <v>8962</v>
      </c>
      <c r="L30" s="193" t="s">
        <v>8963</v>
      </c>
      <c r="M30" s="193"/>
      <c r="N30" s="193"/>
      <c r="O30" s="195" t="s">
        <v>6365</v>
      </c>
      <c r="P30" s="196" t="s">
        <v>5394</v>
      </c>
      <c r="Q30" s="196" t="s">
        <v>5584</v>
      </c>
      <c r="R30" s="195" t="s">
        <v>3581</v>
      </c>
      <c r="S30" s="195" t="s">
        <v>5422</v>
      </c>
      <c r="T30" s="195"/>
      <c r="U30" s="195">
        <v>40562</v>
      </c>
      <c r="V30" s="195" t="s">
        <v>8964</v>
      </c>
      <c r="W30" s="198" t="s">
        <v>8965</v>
      </c>
      <c r="X30" s="106" t="s">
        <v>8966</v>
      </c>
      <c r="Y30" s="106" t="s">
        <v>5904</v>
      </c>
      <c r="Z30" s="106" t="s">
        <v>5442</v>
      </c>
      <c r="AA30" s="195" t="s">
        <v>8967</v>
      </c>
      <c r="AB30" s="198" t="s">
        <v>8968</v>
      </c>
      <c r="AC30" s="106" t="s">
        <v>8969</v>
      </c>
      <c r="AD30" s="106" t="s">
        <v>5904</v>
      </c>
      <c r="AE30" s="106" t="s">
        <v>5412</v>
      </c>
      <c r="AF30" s="195" t="s">
        <v>7735</v>
      </c>
      <c r="AG30" s="197"/>
      <c r="AH30" s="199">
        <v>3</v>
      </c>
      <c r="AI30" s="200"/>
    </row>
    <row r="31" spans="1:35" ht="15" thickBot="1" x14ac:dyDescent="0.35">
      <c r="A31" s="264">
        <v>29</v>
      </c>
      <c r="B31" s="265">
        <v>29</v>
      </c>
      <c r="C31" s="266" t="s">
        <v>13</v>
      </c>
      <c r="D31" s="267" t="s">
        <v>8204</v>
      </c>
      <c r="E31" s="423">
        <v>3125314039</v>
      </c>
      <c r="F31" s="267" t="s">
        <v>2377</v>
      </c>
      <c r="G31" s="269">
        <v>41221</v>
      </c>
      <c r="H31" s="270" t="s">
        <v>52</v>
      </c>
      <c r="I31" s="270" t="s">
        <v>5396</v>
      </c>
      <c r="J31" s="271" t="s">
        <v>8970</v>
      </c>
      <c r="K31" s="272" t="s">
        <v>8971</v>
      </c>
      <c r="L31" s="270" t="s">
        <v>8972</v>
      </c>
      <c r="M31" s="273"/>
      <c r="N31" s="273"/>
      <c r="O31" s="270" t="s">
        <v>6365</v>
      </c>
      <c r="P31" s="271" t="s">
        <v>5448</v>
      </c>
      <c r="Q31" s="271" t="s">
        <v>5502</v>
      </c>
      <c r="R31" s="270" t="s">
        <v>3581</v>
      </c>
      <c r="S31" s="270" t="s">
        <v>5422</v>
      </c>
      <c r="T31" s="273"/>
      <c r="U31" s="270">
        <v>40762</v>
      </c>
      <c r="V31" s="270" t="s">
        <v>3985</v>
      </c>
      <c r="W31" s="270"/>
      <c r="X31" s="270"/>
      <c r="Y31" s="270"/>
      <c r="Z31" s="273"/>
      <c r="AA31" s="270" t="s">
        <v>8973</v>
      </c>
      <c r="AB31" s="271"/>
      <c r="AC31" s="270"/>
      <c r="AD31" s="270"/>
      <c r="AE31" s="270"/>
      <c r="AF31" s="274" t="s">
        <v>7735</v>
      </c>
      <c r="AG31" s="273"/>
      <c r="AH31" s="270">
        <v>1</v>
      </c>
      <c r="AI31" s="267"/>
    </row>
    <row r="32" spans="1:35" x14ac:dyDescent="0.3">
      <c r="A32" s="106">
        <v>30</v>
      </c>
      <c r="B32" s="188" t="s">
        <v>5790</v>
      </c>
      <c r="C32" s="189" t="s">
        <v>1613</v>
      </c>
      <c r="D32" s="422" t="s">
        <v>2088</v>
      </c>
      <c r="E32" s="201" t="s">
        <v>8974</v>
      </c>
      <c r="F32" s="101" t="s">
        <v>2377</v>
      </c>
      <c r="G32" s="192">
        <v>41006</v>
      </c>
      <c r="H32" s="193" t="s">
        <v>53</v>
      </c>
      <c r="I32" s="193" t="s">
        <v>5396</v>
      </c>
      <c r="J32" s="194" t="s">
        <v>8975</v>
      </c>
      <c r="K32" s="202" t="s">
        <v>8976</v>
      </c>
      <c r="L32" s="193" t="s">
        <v>8977</v>
      </c>
      <c r="M32" s="193"/>
      <c r="N32" s="193"/>
      <c r="O32" s="195" t="s">
        <v>6365</v>
      </c>
      <c r="P32" s="196" t="s">
        <v>5415</v>
      </c>
      <c r="Q32" s="196" t="s">
        <v>5584</v>
      </c>
      <c r="R32" s="195" t="s">
        <v>3581</v>
      </c>
      <c r="S32" s="195" t="s">
        <v>5422</v>
      </c>
      <c r="T32" s="195"/>
      <c r="U32" s="196">
        <v>40562</v>
      </c>
      <c r="V32" s="195" t="s">
        <v>8978</v>
      </c>
      <c r="W32" s="198" t="s">
        <v>8979</v>
      </c>
      <c r="X32" s="106" t="s">
        <v>8980</v>
      </c>
      <c r="Y32" s="106" t="s">
        <v>5904</v>
      </c>
      <c r="Z32" s="106" t="s">
        <v>5442</v>
      </c>
      <c r="AA32" s="195" t="s">
        <v>5355</v>
      </c>
      <c r="AB32" s="198" t="s">
        <v>8981</v>
      </c>
      <c r="AC32" s="106" t="s">
        <v>8982</v>
      </c>
      <c r="AD32" s="106" t="s">
        <v>5904</v>
      </c>
      <c r="AE32" s="106" t="s">
        <v>5412</v>
      </c>
      <c r="AF32" s="195" t="s">
        <v>7735</v>
      </c>
      <c r="AG32" s="195" t="s">
        <v>8983</v>
      </c>
      <c r="AH32" s="199">
        <v>2</v>
      </c>
      <c r="AI32" s="200"/>
    </row>
    <row r="33" spans="1:35" x14ac:dyDescent="0.3">
      <c r="A33" s="106">
        <v>31</v>
      </c>
      <c r="B33" s="188" t="s">
        <v>5805</v>
      </c>
      <c r="C33" s="341" t="s">
        <v>1613</v>
      </c>
      <c r="D33" s="424" t="s">
        <v>8435</v>
      </c>
      <c r="E33" s="201">
        <v>3127629237</v>
      </c>
      <c r="F33" s="101" t="s">
        <v>2352</v>
      </c>
      <c r="G33" s="192">
        <v>40960</v>
      </c>
      <c r="H33" s="193" t="s">
        <v>52</v>
      </c>
      <c r="I33" s="193" t="s">
        <v>5396</v>
      </c>
      <c r="J33" s="194" t="s">
        <v>8984</v>
      </c>
      <c r="K33" s="202" t="s">
        <v>8985</v>
      </c>
      <c r="L33" s="193" t="s">
        <v>8986</v>
      </c>
      <c r="M33" s="193"/>
      <c r="N33" s="193"/>
      <c r="O33" s="195" t="s">
        <v>8987</v>
      </c>
      <c r="P33" s="196" t="s">
        <v>5415</v>
      </c>
      <c r="Q33" s="196" t="s">
        <v>5556</v>
      </c>
      <c r="R33" s="195" t="s">
        <v>2399</v>
      </c>
      <c r="S33" s="195" t="s">
        <v>3961</v>
      </c>
      <c r="T33" s="195"/>
      <c r="U33" s="196">
        <v>40764</v>
      </c>
      <c r="V33" s="195" t="s">
        <v>8988</v>
      </c>
      <c r="W33" s="198" t="s">
        <v>8989</v>
      </c>
      <c r="X33" s="106" t="s">
        <v>8990</v>
      </c>
      <c r="Y33" s="106" t="s">
        <v>5904</v>
      </c>
      <c r="Z33" s="106" t="s">
        <v>5442</v>
      </c>
      <c r="AA33" s="195" t="s">
        <v>2960</v>
      </c>
      <c r="AB33" s="198" t="s">
        <v>8991</v>
      </c>
      <c r="AC33" s="106" t="s">
        <v>8992</v>
      </c>
      <c r="AD33" s="106" t="s">
        <v>5904</v>
      </c>
      <c r="AE33" s="106" t="s">
        <v>5412</v>
      </c>
      <c r="AF33" s="195" t="s">
        <v>6302</v>
      </c>
      <c r="AG33" s="195"/>
      <c r="AH33" s="199">
        <v>1</v>
      </c>
      <c r="AI33" s="200"/>
    </row>
    <row r="34" spans="1:35" x14ac:dyDescent="0.3">
      <c r="A34" s="242">
        <v>32</v>
      </c>
      <c r="B34" s="255" t="s">
        <v>5818</v>
      </c>
      <c r="C34" s="242" t="s">
        <v>13</v>
      </c>
      <c r="D34" s="425" t="s">
        <v>8993</v>
      </c>
      <c r="E34" s="257">
        <v>3127554930</v>
      </c>
      <c r="F34" s="246" t="s">
        <v>4119</v>
      </c>
      <c r="G34" s="258">
        <v>41425</v>
      </c>
      <c r="H34" s="259" t="s">
        <v>53</v>
      </c>
      <c r="I34" s="259" t="s">
        <v>5396</v>
      </c>
      <c r="J34" s="260" t="s">
        <v>8994</v>
      </c>
      <c r="K34" s="261" t="s">
        <v>8995</v>
      </c>
      <c r="L34" s="259" t="s">
        <v>8996</v>
      </c>
      <c r="M34" s="259"/>
      <c r="N34" s="259"/>
      <c r="O34" s="244" t="s">
        <v>8997</v>
      </c>
      <c r="P34" s="251" t="s">
        <v>5461</v>
      </c>
      <c r="Q34" s="251" t="s">
        <v>5157</v>
      </c>
      <c r="R34" s="244" t="s">
        <v>8998</v>
      </c>
      <c r="S34" s="244" t="s">
        <v>8999</v>
      </c>
      <c r="T34" s="244"/>
      <c r="U34" s="251">
        <v>40212</v>
      </c>
      <c r="V34" s="244" t="s">
        <v>9000</v>
      </c>
      <c r="W34" s="252" t="s">
        <v>9001</v>
      </c>
      <c r="X34" s="242" t="s">
        <v>9002</v>
      </c>
      <c r="Y34" s="242" t="s">
        <v>5772</v>
      </c>
      <c r="Z34" s="242" t="s">
        <v>5427</v>
      </c>
      <c r="AA34" s="244" t="s">
        <v>9003</v>
      </c>
      <c r="AB34" s="252" t="s">
        <v>9004</v>
      </c>
      <c r="AC34" s="242" t="s">
        <v>9005</v>
      </c>
      <c r="AD34" s="242" t="s">
        <v>5785</v>
      </c>
      <c r="AE34" s="242" t="s">
        <v>5412</v>
      </c>
      <c r="AF34" s="244" t="s">
        <v>9006</v>
      </c>
      <c r="AG34" s="262"/>
      <c r="AH34" s="263">
        <v>1</v>
      </c>
      <c r="AI34" s="254"/>
    </row>
    <row r="35" spans="1:35" x14ac:dyDescent="0.3">
      <c r="A35" s="242">
        <v>33</v>
      </c>
      <c r="B35" s="255" t="s">
        <v>5824</v>
      </c>
      <c r="C35" s="242" t="s">
        <v>1613</v>
      </c>
      <c r="D35" s="425" t="s">
        <v>8234</v>
      </c>
      <c r="E35" s="257">
        <v>3123796178</v>
      </c>
      <c r="F35" s="246" t="s">
        <v>4119</v>
      </c>
      <c r="G35" s="258">
        <v>41060</v>
      </c>
      <c r="H35" s="259" t="s">
        <v>53</v>
      </c>
      <c r="I35" s="259" t="s">
        <v>5396</v>
      </c>
      <c r="J35" s="260" t="s">
        <v>8994</v>
      </c>
      <c r="K35" s="261" t="s">
        <v>9007</v>
      </c>
      <c r="L35" s="259" t="s">
        <v>9008</v>
      </c>
      <c r="M35" s="259"/>
      <c r="N35" s="259"/>
      <c r="O35" s="244" t="s">
        <v>8997</v>
      </c>
      <c r="P35" s="251" t="s">
        <v>5461</v>
      </c>
      <c r="Q35" s="251" t="s">
        <v>5157</v>
      </c>
      <c r="R35" s="244" t="s">
        <v>8998</v>
      </c>
      <c r="S35" s="244" t="s">
        <v>8999</v>
      </c>
      <c r="T35" s="244"/>
      <c r="U35" s="251">
        <v>40212</v>
      </c>
      <c r="V35" s="244" t="s">
        <v>9000</v>
      </c>
      <c r="W35" s="252" t="s">
        <v>9001</v>
      </c>
      <c r="X35" s="242" t="s">
        <v>9002</v>
      </c>
      <c r="Y35" s="242" t="s">
        <v>5772</v>
      </c>
      <c r="Z35" s="242" t="s">
        <v>5427</v>
      </c>
      <c r="AA35" s="244" t="s">
        <v>9003</v>
      </c>
      <c r="AB35" s="252" t="s">
        <v>9004</v>
      </c>
      <c r="AC35" s="242" t="s">
        <v>9005</v>
      </c>
      <c r="AD35" s="242" t="s">
        <v>5785</v>
      </c>
      <c r="AE35" s="242" t="s">
        <v>5412</v>
      </c>
      <c r="AF35" s="244" t="s">
        <v>9006</v>
      </c>
      <c r="AG35" s="262"/>
      <c r="AH35" s="263">
        <v>2</v>
      </c>
      <c r="AI35" s="254"/>
    </row>
    <row r="36" spans="1:35" x14ac:dyDescent="0.3">
      <c r="A36" s="106">
        <v>34</v>
      </c>
      <c r="B36" s="188" t="s">
        <v>5836</v>
      </c>
      <c r="C36" s="106" t="s">
        <v>13</v>
      </c>
      <c r="D36" s="276" t="s">
        <v>8205</v>
      </c>
      <c r="E36" s="426">
        <v>3128462180</v>
      </c>
      <c r="F36" s="276" t="s">
        <v>2352</v>
      </c>
      <c r="G36" s="278">
        <v>41182</v>
      </c>
      <c r="H36" s="279" t="s">
        <v>53</v>
      </c>
      <c r="I36" s="279" t="s">
        <v>5396</v>
      </c>
      <c r="J36" s="280" t="s">
        <v>9009</v>
      </c>
      <c r="K36" s="281" t="s">
        <v>9010</v>
      </c>
      <c r="L36" s="279" t="s">
        <v>9011</v>
      </c>
      <c r="M36" s="279"/>
      <c r="N36" s="279"/>
      <c r="O36" s="282" t="s">
        <v>3196</v>
      </c>
      <c r="P36" s="283" t="s">
        <v>5448</v>
      </c>
      <c r="Q36" s="283" t="s">
        <v>5502</v>
      </c>
      <c r="R36" s="282" t="s">
        <v>2399</v>
      </c>
      <c r="S36" s="282" t="s">
        <v>3961</v>
      </c>
      <c r="T36" s="282"/>
      <c r="U36" s="283">
        <v>40764</v>
      </c>
      <c r="V36" s="282" t="s">
        <v>5970</v>
      </c>
      <c r="W36" s="284" t="s">
        <v>9012</v>
      </c>
      <c r="X36" s="285" t="s">
        <v>9013</v>
      </c>
      <c r="Y36" s="285" t="s">
        <v>5904</v>
      </c>
      <c r="Z36" s="285" t="s">
        <v>5442</v>
      </c>
      <c r="AA36" s="282" t="s">
        <v>9014</v>
      </c>
      <c r="AB36" s="284" t="s">
        <v>9015</v>
      </c>
      <c r="AC36" s="285" t="s">
        <v>9016</v>
      </c>
      <c r="AD36" s="106" t="s">
        <v>5772</v>
      </c>
      <c r="AE36" s="285" t="s">
        <v>5412</v>
      </c>
      <c r="AF36" s="282" t="s">
        <v>9017</v>
      </c>
      <c r="AG36" s="283"/>
      <c r="AH36" s="286">
        <v>1</v>
      </c>
      <c r="AI36" s="287"/>
    </row>
    <row r="37" spans="1:35" x14ac:dyDescent="0.3">
      <c r="A37" s="106">
        <v>35</v>
      </c>
      <c r="B37" s="188" t="s">
        <v>5851</v>
      </c>
      <c r="C37" s="189" t="s">
        <v>13</v>
      </c>
      <c r="D37" s="54" t="s">
        <v>8206</v>
      </c>
      <c r="E37" s="198">
        <v>3136851639</v>
      </c>
      <c r="F37" s="54" t="s">
        <v>2377</v>
      </c>
      <c r="G37" s="108">
        <v>41467</v>
      </c>
      <c r="H37" s="106" t="s">
        <v>53</v>
      </c>
      <c r="I37" s="54" t="s">
        <v>5396</v>
      </c>
      <c r="J37" s="200" t="s">
        <v>9018</v>
      </c>
      <c r="K37" s="200" t="s">
        <v>9019</v>
      </c>
      <c r="L37" s="54" t="s">
        <v>9020</v>
      </c>
      <c r="M37" s="54"/>
      <c r="N37" s="54"/>
      <c r="O37" s="54" t="s">
        <v>2398</v>
      </c>
      <c r="P37" s="200" t="s">
        <v>5394</v>
      </c>
      <c r="Q37" s="200" t="s">
        <v>5502</v>
      </c>
      <c r="R37" s="54" t="s">
        <v>2399</v>
      </c>
      <c r="S37" s="54" t="s">
        <v>3961</v>
      </c>
      <c r="T37" s="54"/>
      <c r="U37" s="200">
        <v>40764</v>
      </c>
      <c r="V37" s="54" t="s">
        <v>9021</v>
      </c>
      <c r="W37" s="200" t="s">
        <v>9022</v>
      </c>
      <c r="X37" s="54" t="s">
        <v>9023</v>
      </c>
      <c r="Y37" s="54"/>
      <c r="Z37" s="54" t="s">
        <v>5442</v>
      </c>
      <c r="AA37" s="54" t="s">
        <v>9024</v>
      </c>
      <c r="AB37" s="200" t="s">
        <v>9025</v>
      </c>
      <c r="AC37" s="54" t="s">
        <v>9026</v>
      </c>
      <c r="AD37" s="54"/>
      <c r="AE37" s="106" t="s">
        <v>5412</v>
      </c>
      <c r="AF37" s="282" t="s">
        <v>9017</v>
      </c>
      <c r="AG37" s="54"/>
      <c r="AH37" s="106">
        <v>4</v>
      </c>
      <c r="AI37" s="200"/>
    </row>
    <row r="38" spans="1:35" x14ac:dyDescent="0.3">
      <c r="A38" s="106">
        <v>36</v>
      </c>
      <c r="B38" s="188" t="s">
        <v>5864</v>
      </c>
      <c r="C38" s="106" t="s">
        <v>13</v>
      </c>
      <c r="D38" s="101" t="s">
        <v>8207</v>
      </c>
      <c r="E38" s="201">
        <v>3122955574</v>
      </c>
      <c r="F38" s="101" t="s">
        <v>2377</v>
      </c>
      <c r="G38" s="192">
        <v>41085</v>
      </c>
      <c r="H38" s="193" t="s">
        <v>52</v>
      </c>
      <c r="I38" s="193" t="s">
        <v>5396</v>
      </c>
      <c r="J38" s="194" t="s">
        <v>9027</v>
      </c>
      <c r="K38" s="202" t="s">
        <v>9028</v>
      </c>
      <c r="L38" s="193" t="s">
        <v>9029</v>
      </c>
      <c r="M38" s="193"/>
      <c r="N38" s="193"/>
      <c r="O38" s="195" t="s">
        <v>5655</v>
      </c>
      <c r="P38" s="196" t="s">
        <v>5394</v>
      </c>
      <c r="Q38" s="196" t="s">
        <v>5514</v>
      </c>
      <c r="R38" s="195" t="s">
        <v>9030</v>
      </c>
      <c r="S38" s="195" t="s">
        <v>5422</v>
      </c>
      <c r="T38" s="195"/>
      <c r="U38" s="195">
        <v>40562</v>
      </c>
      <c r="V38" s="195" t="s">
        <v>9031</v>
      </c>
      <c r="W38" s="198" t="s">
        <v>9032</v>
      </c>
      <c r="X38" s="106" t="s">
        <v>9033</v>
      </c>
      <c r="Y38" s="106" t="s">
        <v>5904</v>
      </c>
      <c r="Z38" s="106" t="s">
        <v>5442</v>
      </c>
      <c r="AA38" s="195" t="s">
        <v>9034</v>
      </c>
      <c r="AB38" s="198" t="s">
        <v>9035</v>
      </c>
      <c r="AC38" s="106" t="s">
        <v>9036</v>
      </c>
      <c r="AD38" s="106" t="s">
        <v>5904</v>
      </c>
      <c r="AE38" s="106" t="s">
        <v>5412</v>
      </c>
      <c r="AF38" s="282" t="s">
        <v>9017</v>
      </c>
      <c r="AG38" s="195"/>
      <c r="AH38" s="199">
        <v>2</v>
      </c>
      <c r="AI38" s="200"/>
    </row>
    <row r="39" spans="1:35" x14ac:dyDescent="0.3">
      <c r="A39" s="106">
        <v>37</v>
      </c>
      <c r="B39" s="188" t="s">
        <v>5878</v>
      </c>
      <c r="C39" s="189" t="s">
        <v>13</v>
      </c>
      <c r="D39" s="101" t="s">
        <v>8208</v>
      </c>
      <c r="E39" s="201">
        <v>3135961346</v>
      </c>
      <c r="F39" s="101" t="s">
        <v>2377</v>
      </c>
      <c r="G39" s="192">
        <v>41308</v>
      </c>
      <c r="H39" s="193" t="s">
        <v>53</v>
      </c>
      <c r="I39" s="193" t="s">
        <v>5396</v>
      </c>
      <c r="J39" s="194" t="s">
        <v>9037</v>
      </c>
      <c r="K39" s="202" t="s">
        <v>9038</v>
      </c>
      <c r="L39" s="193" t="s">
        <v>9039</v>
      </c>
      <c r="M39" s="193"/>
      <c r="N39" s="193"/>
      <c r="O39" s="195" t="s">
        <v>9040</v>
      </c>
      <c r="P39" s="196" t="s">
        <v>5394</v>
      </c>
      <c r="Q39" s="196" t="s">
        <v>5502</v>
      </c>
      <c r="R39" s="195" t="s">
        <v>9030</v>
      </c>
      <c r="S39" s="195" t="s">
        <v>5422</v>
      </c>
      <c r="T39" s="195"/>
      <c r="U39" s="196">
        <v>40562</v>
      </c>
      <c r="V39" s="195" t="s">
        <v>9041</v>
      </c>
      <c r="W39" s="198" t="s">
        <v>9042</v>
      </c>
      <c r="X39" s="106" t="s">
        <v>9043</v>
      </c>
      <c r="Y39" s="106" t="s">
        <v>5904</v>
      </c>
      <c r="Z39" s="106" t="s">
        <v>5442</v>
      </c>
      <c r="AA39" s="195" t="s">
        <v>6776</v>
      </c>
      <c r="AB39" s="198" t="s">
        <v>9044</v>
      </c>
      <c r="AC39" s="106" t="s">
        <v>9045</v>
      </c>
      <c r="AD39" s="106" t="s">
        <v>5904</v>
      </c>
      <c r="AE39" s="106" t="s">
        <v>5412</v>
      </c>
      <c r="AF39" s="195" t="s">
        <v>9046</v>
      </c>
      <c r="AG39" s="197"/>
      <c r="AH39" s="199">
        <v>2</v>
      </c>
      <c r="AI39" s="200"/>
    </row>
    <row r="40" spans="1:35" x14ac:dyDescent="0.3">
      <c r="A40" s="106">
        <v>38</v>
      </c>
      <c r="B40" s="188" t="s">
        <v>5892</v>
      </c>
      <c r="C40" s="189" t="s">
        <v>13</v>
      </c>
      <c r="D40" s="101" t="s">
        <v>8209</v>
      </c>
      <c r="E40" s="201">
        <v>3134843334</v>
      </c>
      <c r="F40" s="101" t="s">
        <v>2352</v>
      </c>
      <c r="G40" s="192">
        <v>41362</v>
      </c>
      <c r="H40" s="193" t="s">
        <v>52</v>
      </c>
      <c r="I40" s="193" t="s">
        <v>5396</v>
      </c>
      <c r="J40" s="194" t="s">
        <v>9047</v>
      </c>
      <c r="K40" s="202" t="s">
        <v>9048</v>
      </c>
      <c r="L40" s="194" t="s">
        <v>9049</v>
      </c>
      <c r="M40" s="193"/>
      <c r="N40" s="193"/>
      <c r="O40" s="195" t="s">
        <v>5950</v>
      </c>
      <c r="P40" s="196" t="s">
        <v>5415</v>
      </c>
      <c r="Q40" s="196" t="s">
        <v>5502</v>
      </c>
      <c r="R40" s="195" t="s">
        <v>2845</v>
      </c>
      <c r="S40" s="195" t="s">
        <v>3961</v>
      </c>
      <c r="T40" s="195"/>
      <c r="U40" s="196">
        <v>40764</v>
      </c>
      <c r="V40" s="195" t="s">
        <v>9050</v>
      </c>
      <c r="W40" s="198" t="s">
        <v>9051</v>
      </c>
      <c r="X40" s="106" t="s">
        <v>9052</v>
      </c>
      <c r="Y40" s="106" t="s">
        <v>5785</v>
      </c>
      <c r="Z40" s="106" t="s">
        <v>5442</v>
      </c>
      <c r="AA40" s="195" t="s">
        <v>9053</v>
      </c>
      <c r="AB40" s="198" t="s">
        <v>9048</v>
      </c>
      <c r="AC40" s="106" t="s">
        <v>9054</v>
      </c>
      <c r="AD40" s="106" t="s">
        <v>5785</v>
      </c>
      <c r="AE40" s="106" t="s">
        <v>5412</v>
      </c>
      <c r="AF40" s="195" t="s">
        <v>3552</v>
      </c>
      <c r="AG40" s="195"/>
      <c r="AH40" s="199">
        <v>1</v>
      </c>
      <c r="AI40" s="200"/>
    </row>
    <row r="41" spans="1:35" x14ac:dyDescent="0.3">
      <c r="A41" s="106">
        <v>39</v>
      </c>
      <c r="B41" s="188" t="s">
        <v>5906</v>
      </c>
      <c r="C41" s="189" t="s">
        <v>13</v>
      </c>
      <c r="D41" s="101" t="s">
        <v>8210</v>
      </c>
      <c r="E41" s="201" t="s">
        <v>9055</v>
      </c>
      <c r="F41" s="101" t="s">
        <v>2377</v>
      </c>
      <c r="G41" s="192">
        <v>41260</v>
      </c>
      <c r="H41" s="193" t="s">
        <v>53</v>
      </c>
      <c r="I41" s="193" t="s">
        <v>5396</v>
      </c>
      <c r="J41" s="194" t="s">
        <v>9056</v>
      </c>
      <c r="K41" s="202" t="s">
        <v>9057</v>
      </c>
      <c r="L41" s="193" t="s">
        <v>9058</v>
      </c>
      <c r="M41" s="193"/>
      <c r="N41" s="193"/>
      <c r="O41" s="195" t="s">
        <v>9059</v>
      </c>
      <c r="P41" s="196" t="s">
        <v>5415</v>
      </c>
      <c r="Q41" s="196" t="s">
        <v>5415</v>
      </c>
      <c r="R41" s="195" t="s">
        <v>9030</v>
      </c>
      <c r="S41" s="195" t="s">
        <v>5422</v>
      </c>
      <c r="T41" s="195"/>
      <c r="U41" s="195">
        <v>40553</v>
      </c>
      <c r="V41" s="195" t="s">
        <v>9060</v>
      </c>
      <c r="W41" s="198" t="s">
        <v>9061</v>
      </c>
      <c r="X41" s="106" t="s">
        <v>9062</v>
      </c>
      <c r="Y41" s="106" t="s">
        <v>5785</v>
      </c>
      <c r="Z41" s="106" t="s">
        <v>5551</v>
      </c>
      <c r="AA41" s="195" t="s">
        <v>9063</v>
      </c>
      <c r="AB41" s="198" t="s">
        <v>9064</v>
      </c>
      <c r="AC41" s="106" t="s">
        <v>9065</v>
      </c>
      <c r="AD41" s="106" t="s">
        <v>5785</v>
      </c>
      <c r="AE41" s="106" t="s">
        <v>5412</v>
      </c>
      <c r="AF41" s="195" t="s">
        <v>5458</v>
      </c>
      <c r="AG41" s="197"/>
      <c r="AH41" s="199">
        <v>1</v>
      </c>
      <c r="AI41" s="200"/>
    </row>
    <row r="42" spans="1:35" x14ac:dyDescent="0.3">
      <c r="A42" s="106">
        <v>40</v>
      </c>
      <c r="B42" s="188" t="s">
        <v>5919</v>
      </c>
      <c r="C42" s="189" t="s">
        <v>13</v>
      </c>
      <c r="D42" s="101" t="s">
        <v>8211</v>
      </c>
      <c r="E42" s="201" t="s">
        <v>9066</v>
      </c>
      <c r="F42" s="101" t="s">
        <v>2377</v>
      </c>
      <c r="G42" s="192">
        <v>41090</v>
      </c>
      <c r="H42" s="193" t="s">
        <v>53</v>
      </c>
      <c r="I42" s="193" t="s">
        <v>5396</v>
      </c>
      <c r="J42" s="194" t="s">
        <v>9067</v>
      </c>
      <c r="K42" s="202" t="s">
        <v>9068</v>
      </c>
      <c r="L42" s="193" t="s">
        <v>9069</v>
      </c>
      <c r="M42" s="193"/>
      <c r="N42" s="193"/>
      <c r="O42" s="195" t="s">
        <v>5655</v>
      </c>
      <c r="P42" s="196" t="s">
        <v>5432</v>
      </c>
      <c r="Q42" s="196" t="s">
        <v>5502</v>
      </c>
      <c r="R42" s="195" t="s">
        <v>9030</v>
      </c>
      <c r="S42" s="195" t="s">
        <v>5422</v>
      </c>
      <c r="T42" s="195"/>
      <c r="U42" s="195">
        <v>40562</v>
      </c>
      <c r="V42" s="195" t="s">
        <v>9070</v>
      </c>
      <c r="W42" s="198"/>
      <c r="X42" s="106"/>
      <c r="Y42" s="106"/>
      <c r="Z42" s="106"/>
      <c r="AA42" s="195" t="s">
        <v>2639</v>
      </c>
      <c r="AB42" s="198" t="s">
        <v>9071</v>
      </c>
      <c r="AC42" s="106" t="s">
        <v>9072</v>
      </c>
      <c r="AD42" s="106" t="s">
        <v>5904</v>
      </c>
      <c r="AE42" s="106" t="s">
        <v>5412</v>
      </c>
      <c r="AF42" s="195" t="s">
        <v>5458</v>
      </c>
      <c r="AG42" s="197"/>
      <c r="AH42" s="199">
        <v>3</v>
      </c>
      <c r="AI42" s="200"/>
    </row>
    <row r="43" spans="1:35" x14ac:dyDescent="0.3">
      <c r="A43" s="106">
        <v>41</v>
      </c>
      <c r="B43" s="188" t="s">
        <v>5931</v>
      </c>
      <c r="C43" s="106" t="s">
        <v>1613</v>
      </c>
      <c r="D43" s="101" t="s">
        <v>8235</v>
      </c>
      <c r="E43" s="201" t="s">
        <v>9073</v>
      </c>
      <c r="F43" s="101" t="s">
        <v>2377</v>
      </c>
      <c r="G43" s="192">
        <v>41521</v>
      </c>
      <c r="H43" s="193" t="s">
        <v>53</v>
      </c>
      <c r="I43" s="193" t="s">
        <v>5396</v>
      </c>
      <c r="J43" s="194" t="s">
        <v>9074</v>
      </c>
      <c r="K43" s="202" t="s">
        <v>9075</v>
      </c>
      <c r="L43" s="193" t="s">
        <v>9076</v>
      </c>
      <c r="M43" s="193"/>
      <c r="N43" s="193"/>
      <c r="O43" s="195" t="s">
        <v>5655</v>
      </c>
      <c r="P43" s="196" t="s">
        <v>5448</v>
      </c>
      <c r="Q43" s="196" t="s">
        <v>5514</v>
      </c>
      <c r="R43" s="195" t="s">
        <v>9030</v>
      </c>
      <c r="S43" s="195" t="s">
        <v>5422</v>
      </c>
      <c r="T43" s="195"/>
      <c r="U43" s="195">
        <v>40562</v>
      </c>
      <c r="V43" s="195" t="s">
        <v>9077</v>
      </c>
      <c r="W43" s="198" t="s">
        <v>9078</v>
      </c>
      <c r="X43" s="106" t="s">
        <v>9079</v>
      </c>
      <c r="Y43" s="106" t="s">
        <v>5904</v>
      </c>
      <c r="Z43" s="106" t="s">
        <v>5442</v>
      </c>
      <c r="AA43" s="195" t="s">
        <v>9080</v>
      </c>
      <c r="AB43" s="198" t="s">
        <v>9081</v>
      </c>
      <c r="AC43" s="106" t="s">
        <v>9082</v>
      </c>
      <c r="AD43" s="106" t="s">
        <v>5785</v>
      </c>
      <c r="AE43" s="106" t="s">
        <v>5412</v>
      </c>
      <c r="AF43" s="195" t="s">
        <v>5458</v>
      </c>
      <c r="AG43" s="197"/>
      <c r="AH43" s="199">
        <v>1</v>
      </c>
      <c r="AI43" s="200"/>
    </row>
    <row r="44" spans="1:35" x14ac:dyDescent="0.3">
      <c r="A44" s="106">
        <v>42</v>
      </c>
      <c r="B44" s="188" t="s">
        <v>5943</v>
      </c>
      <c r="C44" s="189" t="s">
        <v>1613</v>
      </c>
      <c r="D44" s="101" t="s">
        <v>8236</v>
      </c>
      <c r="E44" s="201" t="s">
        <v>9083</v>
      </c>
      <c r="F44" s="101" t="s">
        <v>2377</v>
      </c>
      <c r="G44" s="192">
        <v>41221</v>
      </c>
      <c r="H44" s="193" t="s">
        <v>53</v>
      </c>
      <c r="I44" s="193" t="s">
        <v>5396</v>
      </c>
      <c r="J44" s="194" t="s">
        <v>9084</v>
      </c>
      <c r="K44" s="202" t="s">
        <v>9085</v>
      </c>
      <c r="L44" s="193" t="s">
        <v>9086</v>
      </c>
      <c r="M44" s="193"/>
      <c r="N44" s="193"/>
      <c r="O44" s="195" t="s">
        <v>9087</v>
      </c>
      <c r="P44" s="196" t="s">
        <v>5448</v>
      </c>
      <c r="Q44" s="196" t="s">
        <v>5415</v>
      </c>
      <c r="R44" s="195" t="s">
        <v>9030</v>
      </c>
      <c r="S44" s="195" t="s">
        <v>5422</v>
      </c>
      <c r="T44" s="195"/>
      <c r="U44" s="195">
        <v>40562</v>
      </c>
      <c r="V44" s="195" t="s">
        <v>9088</v>
      </c>
      <c r="W44" s="198" t="s">
        <v>9089</v>
      </c>
      <c r="X44" s="106" t="s">
        <v>9090</v>
      </c>
      <c r="Y44" s="106" t="s">
        <v>5904</v>
      </c>
      <c r="Z44" s="106" t="s">
        <v>5442</v>
      </c>
      <c r="AA44" s="195" t="s">
        <v>9091</v>
      </c>
      <c r="AB44" s="198" t="s">
        <v>9092</v>
      </c>
      <c r="AC44" s="106" t="s">
        <v>9093</v>
      </c>
      <c r="AD44" s="106" t="s">
        <v>5904</v>
      </c>
      <c r="AE44" s="106" t="s">
        <v>5412</v>
      </c>
      <c r="AF44" s="195" t="s">
        <v>5458</v>
      </c>
      <c r="AG44" s="197"/>
      <c r="AH44" s="199">
        <v>1</v>
      </c>
      <c r="AI44" s="200"/>
    </row>
    <row r="45" spans="1:35" x14ac:dyDescent="0.3">
      <c r="A45" s="288">
        <v>43</v>
      </c>
      <c r="B45" s="188" t="s">
        <v>5948</v>
      </c>
      <c r="C45" s="288" t="s">
        <v>13</v>
      </c>
      <c r="D45" s="289" t="s">
        <v>8212</v>
      </c>
      <c r="E45" s="201">
        <v>3129019507</v>
      </c>
      <c r="F45" s="289" t="s">
        <v>2377</v>
      </c>
      <c r="G45" s="192">
        <v>41222</v>
      </c>
      <c r="H45" s="193" t="s">
        <v>52</v>
      </c>
      <c r="I45" s="193" t="s">
        <v>5396</v>
      </c>
      <c r="J45" s="194" t="s">
        <v>9094</v>
      </c>
      <c r="K45" s="202" t="s">
        <v>9095</v>
      </c>
      <c r="L45" s="193"/>
      <c r="M45" s="193"/>
      <c r="N45" s="290"/>
      <c r="O45" s="189" t="s">
        <v>5655</v>
      </c>
      <c r="P45" s="291" t="s">
        <v>5432</v>
      </c>
      <c r="Q45" s="291" t="s">
        <v>5514</v>
      </c>
      <c r="R45" s="189" t="s">
        <v>9030</v>
      </c>
      <c r="S45" s="189" t="s">
        <v>5422</v>
      </c>
      <c r="T45" s="189"/>
      <c r="U45" s="195">
        <v>40562</v>
      </c>
      <c r="V45" s="189" t="s">
        <v>9096</v>
      </c>
      <c r="W45" s="292" t="s">
        <v>9097</v>
      </c>
      <c r="X45" s="288" t="s">
        <v>9098</v>
      </c>
      <c r="Y45" s="288" t="s">
        <v>5904</v>
      </c>
      <c r="Z45" s="288" t="s">
        <v>5442</v>
      </c>
      <c r="AA45" s="189" t="s">
        <v>8368</v>
      </c>
      <c r="AB45" s="292" t="s">
        <v>9099</v>
      </c>
      <c r="AC45" s="292" t="s">
        <v>9100</v>
      </c>
      <c r="AD45" s="288" t="s">
        <v>5904</v>
      </c>
      <c r="AE45" s="288" t="s">
        <v>5412</v>
      </c>
      <c r="AF45" s="195" t="s">
        <v>5458</v>
      </c>
      <c r="AG45" s="189"/>
      <c r="AH45" s="293"/>
      <c r="AI45" s="294"/>
    </row>
    <row r="46" spans="1:35" x14ac:dyDescent="0.3">
      <c r="A46" s="106">
        <v>44</v>
      </c>
      <c r="B46" s="188" t="s">
        <v>5953</v>
      </c>
      <c r="C46" s="106" t="s">
        <v>13</v>
      </c>
      <c r="D46" s="101" t="s">
        <v>8213</v>
      </c>
      <c r="E46" s="201">
        <v>3129053279</v>
      </c>
      <c r="F46" s="101" t="s">
        <v>2377</v>
      </c>
      <c r="G46" s="192">
        <v>41245</v>
      </c>
      <c r="H46" s="193" t="s">
        <v>52</v>
      </c>
      <c r="I46" s="193" t="s">
        <v>5396</v>
      </c>
      <c r="J46" s="194" t="s">
        <v>9101</v>
      </c>
      <c r="K46" s="202" t="s">
        <v>9102</v>
      </c>
      <c r="L46" s="193"/>
      <c r="M46" s="193"/>
      <c r="N46" s="193"/>
      <c r="O46" s="195" t="s">
        <v>5655</v>
      </c>
      <c r="P46" s="196" t="s">
        <v>5432</v>
      </c>
      <c r="Q46" s="196" t="s">
        <v>5514</v>
      </c>
      <c r="R46" s="195" t="s">
        <v>9030</v>
      </c>
      <c r="S46" s="195" t="s">
        <v>5422</v>
      </c>
      <c r="T46" s="195"/>
      <c r="U46" s="195">
        <v>40562</v>
      </c>
      <c r="V46" s="195" t="s">
        <v>9103</v>
      </c>
      <c r="W46" s="198" t="s">
        <v>9104</v>
      </c>
      <c r="X46" s="106" t="s">
        <v>6607</v>
      </c>
      <c r="Y46" s="106" t="s">
        <v>5904</v>
      </c>
      <c r="Z46" s="106" t="s">
        <v>5442</v>
      </c>
      <c r="AA46" s="195" t="s">
        <v>9105</v>
      </c>
      <c r="AB46" s="198" t="s">
        <v>9106</v>
      </c>
      <c r="AC46" s="106" t="s">
        <v>9107</v>
      </c>
      <c r="AD46" s="106" t="s">
        <v>5904</v>
      </c>
      <c r="AE46" s="106" t="s">
        <v>5412</v>
      </c>
      <c r="AF46" s="195" t="s">
        <v>5458</v>
      </c>
      <c r="AG46" s="197"/>
      <c r="AH46" s="199"/>
      <c r="AI46" s="200"/>
    </row>
    <row r="47" spans="1:35" x14ac:dyDescent="0.3">
      <c r="A47" s="106">
        <v>45</v>
      </c>
      <c r="B47" s="188" t="s">
        <v>5964</v>
      </c>
      <c r="C47" s="189" t="s">
        <v>1613</v>
      </c>
      <c r="D47" s="101" t="s">
        <v>8237</v>
      </c>
      <c r="E47" s="201" t="s">
        <v>9108</v>
      </c>
      <c r="F47" s="101" t="s">
        <v>2377</v>
      </c>
      <c r="G47" s="295">
        <v>41361</v>
      </c>
      <c r="H47" s="193" t="s">
        <v>53</v>
      </c>
      <c r="I47" s="193" t="s">
        <v>5396</v>
      </c>
      <c r="J47" s="202" t="s">
        <v>9109</v>
      </c>
      <c r="K47" s="202" t="s">
        <v>9110</v>
      </c>
      <c r="L47" s="191" t="s">
        <v>9111</v>
      </c>
      <c r="M47" s="193"/>
      <c r="N47" s="191"/>
      <c r="O47" s="296" t="s">
        <v>5453</v>
      </c>
      <c r="P47" s="297" t="s">
        <v>5415</v>
      </c>
      <c r="Q47" s="297" t="s">
        <v>5415</v>
      </c>
      <c r="R47" s="296" t="s">
        <v>9030</v>
      </c>
      <c r="S47" s="296" t="s">
        <v>5422</v>
      </c>
      <c r="T47" s="296"/>
      <c r="U47" s="297">
        <v>40553</v>
      </c>
      <c r="V47" s="296" t="s">
        <v>9112</v>
      </c>
      <c r="W47" s="107" t="s">
        <v>9113</v>
      </c>
      <c r="X47" s="101" t="s">
        <v>9114</v>
      </c>
      <c r="Y47" s="101" t="s">
        <v>5772</v>
      </c>
      <c r="Z47" s="101" t="s">
        <v>5442</v>
      </c>
      <c r="AA47" s="296" t="s">
        <v>9115</v>
      </c>
      <c r="AB47" s="107" t="s">
        <v>9116</v>
      </c>
      <c r="AC47" s="101" t="s">
        <v>9117</v>
      </c>
      <c r="AD47" s="101" t="s">
        <v>5904</v>
      </c>
      <c r="AE47" s="101" t="s">
        <v>5412</v>
      </c>
      <c r="AF47" s="195" t="s">
        <v>5458</v>
      </c>
      <c r="AG47" s="298"/>
      <c r="AH47" s="299">
        <v>1</v>
      </c>
      <c r="AI47" s="200"/>
    </row>
    <row r="48" spans="1:35" x14ac:dyDescent="0.3">
      <c r="A48" s="242">
        <v>46</v>
      </c>
      <c r="B48" s="255" t="s">
        <v>5977</v>
      </c>
      <c r="C48" s="256" t="s">
        <v>1617</v>
      </c>
      <c r="D48" s="241" t="s">
        <v>8402</v>
      </c>
      <c r="E48" s="257">
        <v>3134310292</v>
      </c>
      <c r="F48" s="246" t="s">
        <v>2352</v>
      </c>
      <c r="G48" s="310">
        <v>41326</v>
      </c>
      <c r="H48" s="259" t="s">
        <v>53</v>
      </c>
      <c r="I48" s="259" t="s">
        <v>5396</v>
      </c>
      <c r="J48" s="261" t="s">
        <v>9118</v>
      </c>
      <c r="K48" s="261" t="s">
        <v>9119</v>
      </c>
      <c r="L48" s="302" t="s">
        <v>9120</v>
      </c>
      <c r="M48" s="259"/>
      <c r="N48" s="302"/>
      <c r="O48" s="303" t="s">
        <v>9121</v>
      </c>
      <c r="P48" s="305" t="s">
        <v>5394</v>
      </c>
      <c r="Q48" s="305" t="s">
        <v>5401</v>
      </c>
      <c r="R48" s="303" t="s">
        <v>2355</v>
      </c>
      <c r="S48" s="303" t="s">
        <v>3961</v>
      </c>
      <c r="T48" s="303"/>
      <c r="U48" s="303">
        <v>40764</v>
      </c>
      <c r="V48" s="303" t="s">
        <v>9122</v>
      </c>
      <c r="W48" s="307"/>
      <c r="X48" s="246"/>
      <c r="Y48" s="246"/>
      <c r="Z48" s="246"/>
      <c r="AA48" s="303" t="s">
        <v>9123</v>
      </c>
      <c r="AB48" s="307" t="s">
        <v>9124</v>
      </c>
      <c r="AC48" s="246" t="s">
        <v>9125</v>
      </c>
      <c r="AD48" s="246" t="s">
        <v>5904</v>
      </c>
      <c r="AE48" s="246" t="s">
        <v>5412</v>
      </c>
      <c r="AF48" s="303" t="s">
        <v>4497</v>
      </c>
      <c r="AG48" s="306"/>
      <c r="AH48" s="309">
        <v>2</v>
      </c>
      <c r="AI48" s="254"/>
    </row>
    <row r="49" spans="1:35" x14ac:dyDescent="0.3">
      <c r="A49" s="242">
        <v>47</v>
      </c>
      <c r="B49" s="255" t="s">
        <v>5989</v>
      </c>
      <c r="C49" s="256" t="s">
        <v>13</v>
      </c>
      <c r="D49" s="246" t="s">
        <v>8214</v>
      </c>
      <c r="E49" s="257">
        <v>3126120174</v>
      </c>
      <c r="F49" s="246" t="s">
        <v>2377</v>
      </c>
      <c r="G49" s="310">
        <v>41096</v>
      </c>
      <c r="H49" s="259" t="s">
        <v>52</v>
      </c>
      <c r="I49" s="259" t="s">
        <v>5396</v>
      </c>
      <c r="J49" s="261" t="s">
        <v>9126</v>
      </c>
      <c r="K49" s="261" t="s">
        <v>9127</v>
      </c>
      <c r="L49" s="302" t="s">
        <v>9128</v>
      </c>
      <c r="M49" s="259"/>
      <c r="N49" s="302"/>
      <c r="O49" s="303" t="s">
        <v>2469</v>
      </c>
      <c r="P49" s="305" t="s">
        <v>5448</v>
      </c>
      <c r="Q49" s="305" t="s">
        <v>5514</v>
      </c>
      <c r="R49" s="303" t="s">
        <v>2355</v>
      </c>
      <c r="S49" s="303" t="s">
        <v>3961</v>
      </c>
      <c r="T49" s="303"/>
      <c r="U49" s="244">
        <v>40562</v>
      </c>
      <c r="V49" s="303" t="s">
        <v>5755</v>
      </c>
      <c r="W49" s="307" t="s">
        <v>9129</v>
      </c>
      <c r="X49" s="246" t="s">
        <v>9130</v>
      </c>
      <c r="Y49" s="246" t="s">
        <v>5904</v>
      </c>
      <c r="Z49" s="246" t="s">
        <v>5442</v>
      </c>
      <c r="AA49" s="303" t="s">
        <v>5717</v>
      </c>
      <c r="AB49" s="307" t="s">
        <v>9131</v>
      </c>
      <c r="AC49" s="246" t="s">
        <v>9132</v>
      </c>
      <c r="AD49" s="246" t="s">
        <v>5904</v>
      </c>
      <c r="AE49" s="246" t="s">
        <v>5412</v>
      </c>
      <c r="AF49" s="303" t="s">
        <v>4497</v>
      </c>
      <c r="AG49" s="306"/>
      <c r="AH49" s="309">
        <v>2</v>
      </c>
      <c r="AI49" s="254"/>
    </row>
    <row r="50" spans="1:35" x14ac:dyDescent="0.3">
      <c r="A50" s="242">
        <v>48</v>
      </c>
      <c r="B50" s="255" t="s">
        <v>6002</v>
      </c>
      <c r="C50" s="256" t="s">
        <v>13</v>
      </c>
      <c r="D50" s="246" t="s">
        <v>8215</v>
      </c>
      <c r="E50" s="257" t="s">
        <v>9133</v>
      </c>
      <c r="F50" s="246" t="s">
        <v>2377</v>
      </c>
      <c r="G50" s="310">
        <v>41135</v>
      </c>
      <c r="H50" s="259" t="s">
        <v>53</v>
      </c>
      <c r="I50" s="259" t="s">
        <v>5396</v>
      </c>
      <c r="J50" s="261" t="s">
        <v>9134</v>
      </c>
      <c r="K50" s="261" t="s">
        <v>9135</v>
      </c>
      <c r="L50" s="302" t="s">
        <v>9136</v>
      </c>
      <c r="M50" s="259"/>
      <c r="N50" s="302"/>
      <c r="O50" s="303" t="s">
        <v>2845</v>
      </c>
      <c r="P50" s="305" t="s">
        <v>5394</v>
      </c>
      <c r="Q50" s="305" t="s">
        <v>5157</v>
      </c>
      <c r="R50" s="303" t="s">
        <v>3581</v>
      </c>
      <c r="S50" s="303" t="s">
        <v>5422</v>
      </c>
      <c r="T50" s="303"/>
      <c r="U50" s="303">
        <v>40562</v>
      </c>
      <c r="V50" s="303" t="s">
        <v>1921</v>
      </c>
      <c r="W50" s="307" t="s">
        <v>9137</v>
      </c>
      <c r="X50" s="246" t="s">
        <v>9138</v>
      </c>
      <c r="Y50" s="246" t="s">
        <v>5772</v>
      </c>
      <c r="Z50" s="246" t="s">
        <v>5442</v>
      </c>
      <c r="AA50" s="303" t="s">
        <v>9139</v>
      </c>
      <c r="AB50" s="307" t="s">
        <v>9140</v>
      </c>
      <c r="AC50" s="246" t="s">
        <v>9141</v>
      </c>
      <c r="AD50" s="246" t="s">
        <v>5772</v>
      </c>
      <c r="AE50" s="246" t="s">
        <v>5412</v>
      </c>
      <c r="AF50" s="303" t="s">
        <v>4497</v>
      </c>
      <c r="AG50" s="306"/>
      <c r="AH50" s="309">
        <v>1</v>
      </c>
      <c r="AI50" s="254"/>
    </row>
    <row r="51" spans="1:35" x14ac:dyDescent="0.3">
      <c r="A51" s="242">
        <v>49</v>
      </c>
      <c r="B51" s="255" t="s">
        <v>6014</v>
      </c>
      <c r="C51" s="256" t="s">
        <v>13</v>
      </c>
      <c r="D51" s="246" t="s">
        <v>8216</v>
      </c>
      <c r="E51" s="257">
        <v>3136432060</v>
      </c>
      <c r="F51" s="246" t="s">
        <v>2377</v>
      </c>
      <c r="G51" s="310">
        <v>41303</v>
      </c>
      <c r="H51" s="259" t="s">
        <v>52</v>
      </c>
      <c r="I51" s="259" t="s">
        <v>5396</v>
      </c>
      <c r="J51" s="261" t="s">
        <v>9142</v>
      </c>
      <c r="K51" s="261" t="s">
        <v>9143</v>
      </c>
      <c r="L51" s="302" t="s">
        <v>9144</v>
      </c>
      <c r="M51" s="259"/>
      <c r="N51" s="302"/>
      <c r="O51" s="303" t="s">
        <v>9121</v>
      </c>
      <c r="P51" s="305" t="s">
        <v>5394</v>
      </c>
      <c r="Q51" s="305" t="s">
        <v>5401</v>
      </c>
      <c r="R51" s="303" t="s">
        <v>2355</v>
      </c>
      <c r="S51" s="303" t="s">
        <v>3961</v>
      </c>
      <c r="T51" s="303"/>
      <c r="U51" s="305">
        <v>40764</v>
      </c>
      <c r="V51" s="303" t="s">
        <v>9145</v>
      </c>
      <c r="W51" s="307" t="s">
        <v>9146</v>
      </c>
      <c r="X51" s="246" t="s">
        <v>9147</v>
      </c>
      <c r="Y51" s="246" t="s">
        <v>5772</v>
      </c>
      <c r="Z51" s="246" t="s">
        <v>5442</v>
      </c>
      <c r="AA51" s="303" t="s">
        <v>8923</v>
      </c>
      <c r="AB51" s="307" t="s">
        <v>9148</v>
      </c>
      <c r="AC51" s="246" t="s">
        <v>9149</v>
      </c>
      <c r="AD51" s="246" t="s">
        <v>5904</v>
      </c>
      <c r="AE51" s="246" t="s">
        <v>5412</v>
      </c>
      <c r="AF51" s="303" t="s">
        <v>4497</v>
      </c>
      <c r="AG51" s="306"/>
      <c r="AH51" s="309">
        <v>2</v>
      </c>
      <c r="AI51" s="254"/>
    </row>
    <row r="52" spans="1:35" x14ac:dyDescent="0.3">
      <c r="A52" s="242">
        <v>50</v>
      </c>
      <c r="B52" s="255" t="s">
        <v>6023</v>
      </c>
      <c r="C52" s="242" t="s">
        <v>1613</v>
      </c>
      <c r="D52" s="246" t="s">
        <v>8238</v>
      </c>
      <c r="E52" s="257">
        <v>3126019260</v>
      </c>
      <c r="F52" s="246" t="s">
        <v>2377</v>
      </c>
      <c r="G52" s="310">
        <v>41479</v>
      </c>
      <c r="H52" s="259" t="s">
        <v>52</v>
      </c>
      <c r="I52" s="259" t="s">
        <v>5396</v>
      </c>
      <c r="J52" s="261" t="s">
        <v>9150</v>
      </c>
      <c r="K52" s="261" t="s">
        <v>9151</v>
      </c>
      <c r="L52" s="302" t="s">
        <v>9152</v>
      </c>
      <c r="M52" s="246"/>
      <c r="N52" s="302"/>
      <c r="O52" s="303" t="s">
        <v>5575</v>
      </c>
      <c r="P52" s="305" t="s">
        <v>5415</v>
      </c>
      <c r="Q52" s="305" t="s">
        <v>5502</v>
      </c>
      <c r="R52" s="303" t="s">
        <v>2355</v>
      </c>
      <c r="S52" s="303" t="s">
        <v>3961</v>
      </c>
      <c r="T52" s="303"/>
      <c r="U52" s="305">
        <v>40562</v>
      </c>
      <c r="V52" s="303" t="s">
        <v>9153</v>
      </c>
      <c r="W52" s="307"/>
      <c r="X52" s="246"/>
      <c r="Y52" s="246"/>
      <c r="Z52" s="246"/>
      <c r="AA52" s="303" t="s">
        <v>9154</v>
      </c>
      <c r="AB52" s="307" t="s">
        <v>9155</v>
      </c>
      <c r="AC52" s="246" t="s">
        <v>9156</v>
      </c>
      <c r="AD52" s="246" t="s">
        <v>5904</v>
      </c>
      <c r="AE52" s="246" t="s">
        <v>5412</v>
      </c>
      <c r="AF52" s="303" t="s">
        <v>4497</v>
      </c>
      <c r="AG52" s="306"/>
      <c r="AH52" s="309">
        <v>5</v>
      </c>
      <c r="AI52" s="254"/>
    </row>
    <row r="53" spans="1:35" x14ac:dyDescent="0.3">
      <c r="A53" s="242">
        <v>51</v>
      </c>
      <c r="B53" s="255" t="s">
        <v>6037</v>
      </c>
      <c r="C53" s="242" t="s">
        <v>13</v>
      </c>
      <c r="D53" s="246" t="s">
        <v>8217</v>
      </c>
      <c r="E53" s="257">
        <v>3139545449</v>
      </c>
      <c r="F53" s="246" t="s">
        <v>2377</v>
      </c>
      <c r="G53" s="310">
        <v>41495</v>
      </c>
      <c r="H53" s="259" t="s">
        <v>53</v>
      </c>
      <c r="I53" s="259" t="s">
        <v>5396</v>
      </c>
      <c r="J53" s="261" t="s">
        <v>9157</v>
      </c>
      <c r="K53" s="261" t="s">
        <v>9158</v>
      </c>
      <c r="L53" s="302"/>
      <c r="M53" s="246"/>
      <c r="N53" s="302"/>
      <c r="O53" s="303" t="s">
        <v>5575</v>
      </c>
      <c r="P53" s="305" t="s">
        <v>5394</v>
      </c>
      <c r="Q53" s="305" t="s">
        <v>5502</v>
      </c>
      <c r="R53" s="303" t="s">
        <v>2355</v>
      </c>
      <c r="S53" s="303" t="s">
        <v>3961</v>
      </c>
      <c r="T53" s="303"/>
      <c r="U53" s="305">
        <v>40764</v>
      </c>
      <c r="V53" s="303" t="s">
        <v>9159</v>
      </c>
      <c r="W53" s="307" t="s">
        <v>9160</v>
      </c>
      <c r="X53" s="246" t="s">
        <v>9161</v>
      </c>
      <c r="Y53" s="246" t="s">
        <v>5772</v>
      </c>
      <c r="Z53" s="246" t="s">
        <v>5442</v>
      </c>
      <c r="AA53" s="303" t="s">
        <v>9162</v>
      </c>
      <c r="AB53" s="307" t="s">
        <v>9163</v>
      </c>
      <c r="AC53" s="246" t="s">
        <v>9164</v>
      </c>
      <c r="AD53" s="246" t="s">
        <v>5904</v>
      </c>
      <c r="AE53" s="246" t="s">
        <v>5412</v>
      </c>
      <c r="AF53" s="303" t="s">
        <v>4497</v>
      </c>
      <c r="AG53" s="306"/>
      <c r="AH53" s="309"/>
      <c r="AI53" s="254"/>
    </row>
    <row r="54" spans="1:35" x14ac:dyDescent="0.3">
      <c r="A54" s="242">
        <v>52</v>
      </c>
      <c r="B54" s="255" t="s">
        <v>6052</v>
      </c>
      <c r="C54" s="256" t="s">
        <v>1613</v>
      </c>
      <c r="D54" s="246" t="s">
        <v>8239</v>
      </c>
      <c r="E54" s="257" t="s">
        <v>9165</v>
      </c>
      <c r="F54" s="246" t="s">
        <v>9166</v>
      </c>
      <c r="G54" s="310">
        <v>41376</v>
      </c>
      <c r="H54" s="259" t="s">
        <v>52</v>
      </c>
      <c r="I54" s="259" t="s">
        <v>5396</v>
      </c>
      <c r="J54" s="261" t="s">
        <v>9167</v>
      </c>
      <c r="K54" s="261" t="s">
        <v>9168</v>
      </c>
      <c r="L54" s="302" t="s">
        <v>9169</v>
      </c>
      <c r="M54" s="246"/>
      <c r="N54" s="302"/>
      <c r="O54" s="303" t="s">
        <v>9170</v>
      </c>
      <c r="P54" s="305" t="s">
        <v>8779</v>
      </c>
      <c r="Q54" s="305" t="s">
        <v>5576</v>
      </c>
      <c r="R54" s="303" t="s">
        <v>3637</v>
      </c>
      <c r="S54" s="303" t="s">
        <v>3961</v>
      </c>
      <c r="T54" s="303"/>
      <c r="U54" s="305"/>
      <c r="V54" s="303"/>
      <c r="W54" s="307"/>
      <c r="X54" s="246"/>
      <c r="Y54" s="246"/>
      <c r="Z54" s="246"/>
      <c r="AA54" s="303"/>
      <c r="AB54" s="307"/>
      <c r="AC54" s="246"/>
      <c r="AD54" s="246"/>
      <c r="AE54" s="246"/>
      <c r="AF54" s="303" t="s">
        <v>4497</v>
      </c>
      <c r="AG54" s="306"/>
      <c r="AH54" s="309"/>
      <c r="AI54" s="254"/>
    </row>
    <row r="55" spans="1:35" x14ac:dyDescent="0.3">
      <c r="A55" s="427">
        <v>53</v>
      </c>
      <c r="B55" s="428" t="s">
        <v>6065</v>
      </c>
      <c r="C55" s="427" t="s">
        <v>1614</v>
      </c>
      <c r="D55" s="429" t="s">
        <v>8270</v>
      </c>
      <c r="E55" s="257">
        <v>3130845239</v>
      </c>
      <c r="F55" s="429" t="s">
        <v>2377</v>
      </c>
      <c r="G55" s="430">
        <v>41159</v>
      </c>
      <c r="H55" s="431" t="s">
        <v>52</v>
      </c>
      <c r="I55" s="431" t="s">
        <v>5396</v>
      </c>
      <c r="J55" s="432" t="s">
        <v>9171</v>
      </c>
      <c r="K55" s="432" t="s">
        <v>9172</v>
      </c>
      <c r="L55" s="433" t="s">
        <v>9173</v>
      </c>
      <c r="M55" s="429"/>
      <c r="N55" s="433"/>
      <c r="O55" s="434" t="s">
        <v>5575</v>
      </c>
      <c r="P55" s="435" t="s">
        <v>5415</v>
      </c>
      <c r="Q55" s="435" t="s">
        <v>5502</v>
      </c>
      <c r="R55" s="434" t="s">
        <v>2355</v>
      </c>
      <c r="S55" s="434" t="s">
        <v>3961</v>
      </c>
      <c r="T55" s="434"/>
      <c r="U55" s="434">
        <v>40764</v>
      </c>
      <c r="V55" s="434" t="s">
        <v>9174</v>
      </c>
      <c r="W55" s="436" t="s">
        <v>9175</v>
      </c>
      <c r="X55" s="429" t="s">
        <v>9176</v>
      </c>
      <c r="Y55" s="429" t="s">
        <v>5772</v>
      </c>
      <c r="Z55" s="429" t="s">
        <v>5442</v>
      </c>
      <c r="AA55" s="434" t="s">
        <v>9177</v>
      </c>
      <c r="AB55" s="436" t="s">
        <v>9178</v>
      </c>
      <c r="AC55" s="429" t="s">
        <v>9179</v>
      </c>
      <c r="AD55" s="429" t="s">
        <v>5785</v>
      </c>
      <c r="AE55" s="429" t="s">
        <v>5412</v>
      </c>
      <c r="AF55" s="434" t="s">
        <v>4497</v>
      </c>
      <c r="AG55" s="437"/>
      <c r="AH55" s="438">
        <v>1</v>
      </c>
      <c r="AI55" s="439"/>
    </row>
    <row r="56" spans="1:35" x14ac:dyDescent="0.3">
      <c r="A56" s="427">
        <v>54</v>
      </c>
      <c r="B56" s="428" t="s">
        <v>6073</v>
      </c>
      <c r="C56" s="427" t="s">
        <v>1614</v>
      </c>
      <c r="D56" s="440" t="s">
        <v>8271</v>
      </c>
      <c r="E56" s="257">
        <v>3138980229</v>
      </c>
      <c r="F56" s="429" t="s">
        <v>2377</v>
      </c>
      <c r="G56" s="430">
        <v>41411</v>
      </c>
      <c r="H56" s="431" t="s">
        <v>52</v>
      </c>
      <c r="I56" s="431" t="s">
        <v>5396</v>
      </c>
      <c r="J56" s="432" t="s">
        <v>9180</v>
      </c>
      <c r="K56" s="432" t="s">
        <v>9181</v>
      </c>
      <c r="L56" s="432" t="s">
        <v>9182</v>
      </c>
      <c r="M56" s="429"/>
      <c r="N56" s="433"/>
      <c r="O56" s="434" t="s">
        <v>2845</v>
      </c>
      <c r="P56" s="441" t="s">
        <v>5448</v>
      </c>
      <c r="Q56" s="435" t="s">
        <v>5157</v>
      </c>
      <c r="R56" s="435" t="s">
        <v>3581</v>
      </c>
      <c r="S56" s="434" t="s">
        <v>5422</v>
      </c>
      <c r="T56" s="434"/>
      <c r="U56" s="437">
        <v>40562</v>
      </c>
      <c r="V56" s="434" t="s">
        <v>9183</v>
      </c>
      <c r="W56" s="436" t="s">
        <v>9184</v>
      </c>
      <c r="X56" s="429" t="s">
        <v>9185</v>
      </c>
      <c r="Y56" s="429" t="s">
        <v>5904</v>
      </c>
      <c r="Z56" s="429" t="s">
        <v>5442</v>
      </c>
      <c r="AA56" s="434" t="s">
        <v>6751</v>
      </c>
      <c r="AB56" s="436" t="s">
        <v>9186</v>
      </c>
      <c r="AC56" s="436" t="s">
        <v>9187</v>
      </c>
      <c r="AD56" s="436" t="s">
        <v>5772</v>
      </c>
      <c r="AE56" s="429" t="s">
        <v>5412</v>
      </c>
      <c r="AF56" s="434" t="s">
        <v>4497</v>
      </c>
      <c r="AG56" s="437"/>
      <c r="AH56" s="429">
        <v>1</v>
      </c>
      <c r="AI56" s="439"/>
    </row>
    <row r="57" spans="1:35" x14ac:dyDescent="0.3">
      <c r="A57" s="427">
        <v>55</v>
      </c>
      <c r="B57" s="428" t="s">
        <v>6088</v>
      </c>
      <c r="C57" s="442" t="s">
        <v>1614</v>
      </c>
      <c r="D57" s="440" t="s">
        <v>8272</v>
      </c>
      <c r="E57" s="257">
        <v>3120383535</v>
      </c>
      <c r="F57" s="440" t="s">
        <v>2377</v>
      </c>
      <c r="G57" s="430">
        <v>41218</v>
      </c>
      <c r="H57" s="431" t="s">
        <v>53</v>
      </c>
      <c r="I57" s="431" t="s">
        <v>5396</v>
      </c>
      <c r="J57" s="432" t="s">
        <v>9188</v>
      </c>
      <c r="K57" s="432" t="s">
        <v>9189</v>
      </c>
      <c r="L57" s="433" t="s">
        <v>9190</v>
      </c>
      <c r="M57" s="429"/>
      <c r="N57" s="433"/>
      <c r="O57" s="434" t="s">
        <v>9121</v>
      </c>
      <c r="P57" s="435" t="s">
        <v>5415</v>
      </c>
      <c r="Q57" s="435" t="s">
        <v>5401</v>
      </c>
      <c r="R57" s="434" t="s">
        <v>2355</v>
      </c>
      <c r="S57" s="434" t="s">
        <v>3961</v>
      </c>
      <c r="T57" s="434"/>
      <c r="U57" s="437">
        <v>40764</v>
      </c>
      <c r="V57" s="434" t="s">
        <v>9191</v>
      </c>
      <c r="W57" s="436" t="s">
        <v>9192</v>
      </c>
      <c r="X57" s="429" t="s">
        <v>9193</v>
      </c>
      <c r="Y57" s="429" t="s">
        <v>5904</v>
      </c>
      <c r="Z57" s="429" t="s">
        <v>5442</v>
      </c>
      <c r="AA57" s="434" t="s">
        <v>3362</v>
      </c>
      <c r="AB57" s="436" t="s">
        <v>9194</v>
      </c>
      <c r="AC57" s="429" t="s">
        <v>9195</v>
      </c>
      <c r="AD57" s="429" t="s">
        <v>5904</v>
      </c>
      <c r="AE57" s="429" t="s">
        <v>5412</v>
      </c>
      <c r="AF57" s="434" t="s">
        <v>4497</v>
      </c>
      <c r="AG57" s="443"/>
      <c r="AH57" s="438">
        <v>1</v>
      </c>
      <c r="AI57" s="439"/>
    </row>
    <row r="58" spans="1:35" x14ac:dyDescent="0.3">
      <c r="A58" s="427">
        <v>56</v>
      </c>
      <c r="B58" s="428" t="s">
        <v>6099</v>
      </c>
      <c r="C58" s="442" t="s">
        <v>1615</v>
      </c>
      <c r="D58" s="440" t="s">
        <v>8309</v>
      </c>
      <c r="E58" s="257">
        <v>313677626</v>
      </c>
      <c r="F58" s="440" t="s">
        <v>2377</v>
      </c>
      <c r="G58" s="444">
        <v>41472</v>
      </c>
      <c r="H58" s="431" t="s">
        <v>52</v>
      </c>
      <c r="I58" s="431" t="s">
        <v>5396</v>
      </c>
      <c r="J58" s="432" t="s">
        <v>9196</v>
      </c>
      <c r="K58" s="432" t="s">
        <v>9197</v>
      </c>
      <c r="L58" s="433" t="s">
        <v>9198</v>
      </c>
      <c r="M58" s="429"/>
      <c r="N58" s="433"/>
      <c r="O58" s="434" t="s">
        <v>2986</v>
      </c>
      <c r="P58" s="435" t="s">
        <v>5394</v>
      </c>
      <c r="Q58" s="435" t="s">
        <v>5394</v>
      </c>
      <c r="R58" s="434" t="s">
        <v>2355</v>
      </c>
      <c r="S58" s="434" t="s">
        <v>3961</v>
      </c>
      <c r="T58" s="437"/>
      <c r="U58" s="437">
        <v>40764</v>
      </c>
      <c r="V58" s="434" t="s">
        <v>9199</v>
      </c>
      <c r="W58" s="436"/>
      <c r="X58" s="429"/>
      <c r="Y58" s="429"/>
      <c r="Z58" s="429"/>
      <c r="AA58" s="434" t="s">
        <v>9200</v>
      </c>
      <c r="AB58" s="436" t="s">
        <v>9201</v>
      </c>
      <c r="AC58" s="429" t="s">
        <v>9202</v>
      </c>
      <c r="AD58" s="429" t="s">
        <v>5772</v>
      </c>
      <c r="AE58" s="429" t="s">
        <v>5412</v>
      </c>
      <c r="AF58" s="434" t="s">
        <v>4497</v>
      </c>
      <c r="AG58" s="435"/>
      <c r="AH58" s="438">
        <v>1</v>
      </c>
      <c r="AI58" s="439"/>
    </row>
    <row r="59" spans="1:35" x14ac:dyDescent="0.3">
      <c r="A59" s="427">
        <v>57</v>
      </c>
      <c r="B59" s="428" t="s">
        <v>6110</v>
      </c>
      <c r="C59" s="442" t="s">
        <v>1615</v>
      </c>
      <c r="D59" s="440" t="s">
        <v>8310</v>
      </c>
      <c r="E59" s="257">
        <v>3128764915</v>
      </c>
      <c r="F59" s="440" t="s">
        <v>2377</v>
      </c>
      <c r="G59" s="444">
        <v>41248</v>
      </c>
      <c r="H59" s="431" t="s">
        <v>52</v>
      </c>
      <c r="I59" s="431" t="s">
        <v>5396</v>
      </c>
      <c r="J59" s="432" t="s">
        <v>9203</v>
      </c>
      <c r="K59" s="432" t="s">
        <v>9204</v>
      </c>
      <c r="L59" s="433" t="s">
        <v>9205</v>
      </c>
      <c r="M59" s="429"/>
      <c r="N59" s="433"/>
      <c r="O59" s="434" t="s">
        <v>2469</v>
      </c>
      <c r="P59" s="435" t="s">
        <v>5415</v>
      </c>
      <c r="Q59" s="435" t="s">
        <v>5514</v>
      </c>
      <c r="R59" s="434" t="s">
        <v>2355</v>
      </c>
      <c r="S59" s="434" t="s">
        <v>3961</v>
      </c>
      <c r="T59" s="437"/>
      <c r="U59" s="437">
        <v>40764</v>
      </c>
      <c r="V59" s="434" t="s">
        <v>9206</v>
      </c>
      <c r="W59" s="436" t="s">
        <v>9207</v>
      </c>
      <c r="X59" s="429" t="s">
        <v>9208</v>
      </c>
      <c r="Y59" s="429" t="s">
        <v>5904</v>
      </c>
      <c r="Z59" s="429" t="s">
        <v>5442</v>
      </c>
      <c r="AA59" s="434" t="s">
        <v>4067</v>
      </c>
      <c r="AB59" s="436"/>
      <c r="AC59" s="429"/>
      <c r="AD59" s="429"/>
      <c r="AE59" s="429"/>
      <c r="AF59" s="434" t="s">
        <v>4497</v>
      </c>
      <c r="AG59" s="437"/>
      <c r="AH59" s="438">
        <v>4</v>
      </c>
      <c r="AI59" s="439"/>
    </row>
    <row r="60" spans="1:35" x14ac:dyDescent="0.3">
      <c r="A60" s="106">
        <v>58</v>
      </c>
      <c r="B60" s="188" t="s">
        <v>6120</v>
      </c>
      <c r="C60" s="195" t="s">
        <v>1613</v>
      </c>
      <c r="D60" s="169" t="s">
        <v>8240</v>
      </c>
      <c r="E60" s="201">
        <v>3139620021</v>
      </c>
      <c r="F60" s="169" t="s">
        <v>9209</v>
      </c>
      <c r="G60" s="295">
        <v>41418</v>
      </c>
      <c r="H60" s="193" t="s">
        <v>53</v>
      </c>
      <c r="I60" s="193" t="s">
        <v>5396</v>
      </c>
      <c r="J60" s="202" t="s">
        <v>9210</v>
      </c>
      <c r="K60" s="202" t="s">
        <v>9211</v>
      </c>
      <c r="L60" s="191" t="s">
        <v>9212</v>
      </c>
      <c r="M60" s="101"/>
      <c r="N60" s="191"/>
      <c r="O60" s="296" t="s">
        <v>9213</v>
      </c>
      <c r="P60" s="297" t="s">
        <v>5461</v>
      </c>
      <c r="Q60" s="297" t="s">
        <v>5461</v>
      </c>
      <c r="R60" s="296" t="s">
        <v>2399</v>
      </c>
      <c r="S60" s="296" t="s">
        <v>3961</v>
      </c>
      <c r="T60" s="298"/>
      <c r="U60" s="298"/>
      <c r="V60" s="296" t="s">
        <v>1151</v>
      </c>
      <c r="W60" s="107" t="s">
        <v>9214</v>
      </c>
      <c r="X60" s="101" t="s">
        <v>9215</v>
      </c>
      <c r="Y60" s="101" t="s">
        <v>5785</v>
      </c>
      <c r="Z60" s="101" t="s">
        <v>5442</v>
      </c>
      <c r="AA60" s="296" t="s">
        <v>9216</v>
      </c>
      <c r="AB60" s="107" t="s">
        <v>9217</v>
      </c>
      <c r="AC60" s="101" t="s">
        <v>9218</v>
      </c>
      <c r="AD60" s="101" t="s">
        <v>5785</v>
      </c>
      <c r="AE60" s="101" t="s">
        <v>5412</v>
      </c>
      <c r="AF60" s="296" t="s">
        <v>3552</v>
      </c>
      <c r="AG60" s="298"/>
      <c r="AH60" s="299">
        <v>1</v>
      </c>
      <c r="AI60" s="200"/>
    </row>
    <row r="61" spans="1:35" x14ac:dyDescent="0.3">
      <c r="A61" s="106">
        <v>59</v>
      </c>
      <c r="B61" s="188" t="s">
        <v>6132</v>
      </c>
      <c r="C61" s="106" t="s">
        <v>1613</v>
      </c>
      <c r="D61" s="169" t="s">
        <v>8241</v>
      </c>
      <c r="E61" s="201" t="s">
        <v>9219</v>
      </c>
      <c r="F61" s="169" t="s">
        <v>2377</v>
      </c>
      <c r="G61" s="295">
        <v>41469</v>
      </c>
      <c r="H61" s="193" t="s">
        <v>53</v>
      </c>
      <c r="I61" s="193" t="s">
        <v>5396</v>
      </c>
      <c r="J61" s="202" t="s">
        <v>9220</v>
      </c>
      <c r="K61" s="202" t="s">
        <v>9221</v>
      </c>
      <c r="L61" s="191" t="s">
        <v>9222</v>
      </c>
      <c r="M61" s="101"/>
      <c r="N61" s="191"/>
      <c r="O61" s="296" t="s">
        <v>9223</v>
      </c>
      <c r="P61" s="297" t="s">
        <v>5415</v>
      </c>
      <c r="Q61" s="297" t="s">
        <v>5432</v>
      </c>
      <c r="R61" s="296" t="s">
        <v>3105</v>
      </c>
      <c r="S61" s="296" t="s">
        <v>5422</v>
      </c>
      <c r="T61" s="298"/>
      <c r="U61" s="298">
        <v>40562</v>
      </c>
      <c r="V61" s="296" t="s">
        <v>4071</v>
      </c>
      <c r="W61" s="107" t="s">
        <v>9224</v>
      </c>
      <c r="X61" s="101" t="s">
        <v>9225</v>
      </c>
      <c r="Y61" s="101" t="s">
        <v>5772</v>
      </c>
      <c r="Z61" s="101" t="s">
        <v>5442</v>
      </c>
      <c r="AA61" s="296" t="s">
        <v>9226</v>
      </c>
      <c r="AB61" s="107" t="s">
        <v>9227</v>
      </c>
      <c r="AC61" s="101" t="s">
        <v>9228</v>
      </c>
      <c r="AD61" s="101" t="s">
        <v>5772</v>
      </c>
      <c r="AE61" s="101" t="s">
        <v>5412</v>
      </c>
      <c r="AF61" s="296" t="s">
        <v>9229</v>
      </c>
      <c r="AG61" s="298"/>
      <c r="AH61" s="299">
        <v>1</v>
      </c>
      <c r="AI61" s="200"/>
    </row>
    <row r="62" spans="1:35" x14ac:dyDescent="0.3">
      <c r="A62" s="106">
        <v>60</v>
      </c>
      <c r="B62" s="188" t="s">
        <v>6143</v>
      </c>
      <c r="C62" s="189" t="s">
        <v>1614</v>
      </c>
      <c r="D62" s="419" t="s">
        <v>8273</v>
      </c>
      <c r="E62" s="201" t="s">
        <v>9230</v>
      </c>
      <c r="F62" s="169" t="s">
        <v>2377</v>
      </c>
      <c r="G62" s="295">
        <v>41159</v>
      </c>
      <c r="H62" s="193" t="s">
        <v>53</v>
      </c>
      <c r="I62" s="193" t="s">
        <v>5396</v>
      </c>
      <c r="J62" s="202" t="s">
        <v>9231</v>
      </c>
      <c r="K62" s="202" t="s">
        <v>9232</v>
      </c>
      <c r="L62" s="191" t="s">
        <v>9233</v>
      </c>
      <c r="M62" s="101"/>
      <c r="N62" s="101"/>
      <c r="O62" s="296" t="s">
        <v>2712</v>
      </c>
      <c r="P62" s="297" t="s">
        <v>5432</v>
      </c>
      <c r="Q62" s="297" t="s">
        <v>5415</v>
      </c>
      <c r="R62" s="296" t="s">
        <v>2845</v>
      </c>
      <c r="S62" s="296" t="s">
        <v>3961</v>
      </c>
      <c r="T62" s="296"/>
      <c r="U62" s="298">
        <v>40764</v>
      </c>
      <c r="V62" s="296" t="s">
        <v>9234</v>
      </c>
      <c r="W62" s="107" t="s">
        <v>9235</v>
      </c>
      <c r="X62" s="101" t="s">
        <v>9236</v>
      </c>
      <c r="Y62" s="101" t="s">
        <v>5772</v>
      </c>
      <c r="Z62" s="101" t="s">
        <v>5442</v>
      </c>
      <c r="AA62" s="296" t="s">
        <v>9237</v>
      </c>
      <c r="AB62" s="107" t="s">
        <v>9238</v>
      </c>
      <c r="AC62" s="101" t="s">
        <v>9239</v>
      </c>
      <c r="AD62" s="101" t="s">
        <v>5772</v>
      </c>
      <c r="AE62" s="101" t="s">
        <v>5412</v>
      </c>
      <c r="AF62" s="296" t="s">
        <v>3552</v>
      </c>
      <c r="AG62" s="298"/>
      <c r="AH62" s="299">
        <v>1</v>
      </c>
      <c r="AI62" s="200"/>
    </row>
    <row r="63" spans="1:35" x14ac:dyDescent="0.3">
      <c r="A63" s="203">
        <v>61</v>
      </c>
      <c r="B63" s="204" t="s">
        <v>6156</v>
      </c>
      <c r="C63" s="203" t="s">
        <v>1613</v>
      </c>
      <c r="D63" s="221" t="s">
        <v>8242</v>
      </c>
      <c r="E63" s="257">
        <v>3121527450</v>
      </c>
      <c r="F63" s="221" t="s">
        <v>2377</v>
      </c>
      <c r="G63" s="220">
        <v>41274</v>
      </c>
      <c r="H63" s="210" t="s">
        <v>52</v>
      </c>
      <c r="I63" s="210" t="s">
        <v>5396</v>
      </c>
      <c r="J63" s="212" t="s">
        <v>9240</v>
      </c>
      <c r="K63" s="212" t="s">
        <v>9241</v>
      </c>
      <c r="L63" s="208" t="s">
        <v>9242</v>
      </c>
      <c r="M63" s="239"/>
      <c r="N63" s="239"/>
      <c r="O63" s="312" t="s">
        <v>9243</v>
      </c>
      <c r="P63" s="313" t="s">
        <v>5432</v>
      </c>
      <c r="Q63" s="313" t="s">
        <v>5432</v>
      </c>
      <c r="R63" s="312" t="s">
        <v>2845</v>
      </c>
      <c r="S63" s="312" t="s">
        <v>3961</v>
      </c>
      <c r="T63" s="312"/>
      <c r="U63" s="314">
        <v>40564</v>
      </c>
      <c r="V63" s="312" t="s">
        <v>9244</v>
      </c>
      <c r="W63" s="315"/>
      <c r="X63" s="239"/>
      <c r="Y63" s="239"/>
      <c r="Z63" s="239"/>
      <c r="AA63" s="312" t="s">
        <v>9245</v>
      </c>
      <c r="AB63" s="315" t="s">
        <v>9246</v>
      </c>
      <c r="AC63" s="239" t="s">
        <v>9247</v>
      </c>
      <c r="AD63" s="239" t="s">
        <v>5904</v>
      </c>
      <c r="AE63" s="239" t="s">
        <v>5412</v>
      </c>
      <c r="AF63" s="312" t="s">
        <v>9248</v>
      </c>
      <c r="AG63" s="313"/>
      <c r="AH63" s="316">
        <v>2</v>
      </c>
      <c r="AI63" s="218"/>
    </row>
    <row r="64" spans="1:35" x14ac:dyDescent="0.3">
      <c r="A64" s="106">
        <v>62</v>
      </c>
      <c r="B64" s="188" t="s">
        <v>6170</v>
      </c>
      <c r="C64" s="106" t="s">
        <v>13</v>
      </c>
      <c r="D64" s="169" t="s">
        <v>8218</v>
      </c>
      <c r="E64" s="201" t="s">
        <v>9249</v>
      </c>
      <c r="F64" s="169" t="s">
        <v>2377</v>
      </c>
      <c r="G64" s="295">
        <v>41025</v>
      </c>
      <c r="H64" s="193" t="s">
        <v>52</v>
      </c>
      <c r="I64" s="193" t="s">
        <v>5396</v>
      </c>
      <c r="J64" s="202" t="s">
        <v>9250</v>
      </c>
      <c r="K64" s="202" t="s">
        <v>9251</v>
      </c>
      <c r="L64" s="191"/>
      <c r="M64" s="101"/>
      <c r="N64" s="101"/>
      <c r="O64" s="296" t="s">
        <v>2469</v>
      </c>
      <c r="P64" s="297" t="s">
        <v>5432</v>
      </c>
      <c r="Q64" s="297" t="s">
        <v>5415</v>
      </c>
      <c r="R64" s="296" t="s">
        <v>2355</v>
      </c>
      <c r="S64" s="296" t="s">
        <v>3961</v>
      </c>
      <c r="T64" s="296"/>
      <c r="U64" s="298">
        <v>40764</v>
      </c>
      <c r="V64" s="296" t="s">
        <v>9252</v>
      </c>
      <c r="W64" s="107" t="s">
        <v>9253</v>
      </c>
      <c r="X64" s="101" t="s">
        <v>9254</v>
      </c>
      <c r="Y64" s="101" t="s">
        <v>5904</v>
      </c>
      <c r="Z64" s="101" t="s">
        <v>9255</v>
      </c>
      <c r="AA64" s="296" t="s">
        <v>9256</v>
      </c>
      <c r="AB64" s="107" t="s">
        <v>9257</v>
      </c>
      <c r="AC64" s="101" t="s">
        <v>9258</v>
      </c>
      <c r="AD64" s="101" t="s">
        <v>5904</v>
      </c>
      <c r="AE64" s="101" t="s">
        <v>5412</v>
      </c>
      <c r="AF64" s="296" t="s">
        <v>5988</v>
      </c>
      <c r="AG64" s="298"/>
      <c r="AH64" s="299"/>
      <c r="AI64" s="200"/>
    </row>
    <row r="65" spans="1:35" x14ac:dyDescent="0.3">
      <c r="A65" s="106">
        <v>63</v>
      </c>
      <c r="B65" s="188" t="s">
        <v>6180</v>
      </c>
      <c r="C65" s="106" t="s">
        <v>13</v>
      </c>
      <c r="D65" s="169" t="s">
        <v>8219</v>
      </c>
      <c r="E65" s="201" t="s">
        <v>9259</v>
      </c>
      <c r="F65" s="169" t="s">
        <v>2377</v>
      </c>
      <c r="G65" s="295">
        <v>41263</v>
      </c>
      <c r="H65" s="193" t="s">
        <v>52</v>
      </c>
      <c r="I65" s="193" t="s">
        <v>5396</v>
      </c>
      <c r="J65" s="202" t="s">
        <v>9260</v>
      </c>
      <c r="K65" s="202" t="s">
        <v>9261</v>
      </c>
      <c r="L65" s="191" t="s">
        <v>9262</v>
      </c>
      <c r="M65" s="101"/>
      <c r="N65" s="101"/>
      <c r="O65" s="296" t="s">
        <v>2469</v>
      </c>
      <c r="P65" s="297" t="s">
        <v>5415</v>
      </c>
      <c r="Q65" s="297" t="s">
        <v>5415</v>
      </c>
      <c r="R65" s="296" t="s">
        <v>2355</v>
      </c>
      <c r="S65" s="296" t="s">
        <v>3961</v>
      </c>
      <c r="T65" s="296"/>
      <c r="U65" s="298">
        <v>40764</v>
      </c>
      <c r="V65" s="296" t="s">
        <v>9263</v>
      </c>
      <c r="W65" s="107" t="s">
        <v>9264</v>
      </c>
      <c r="X65" s="101" t="s">
        <v>9265</v>
      </c>
      <c r="Y65" s="101" t="s">
        <v>5904</v>
      </c>
      <c r="Z65" s="101" t="s">
        <v>5442</v>
      </c>
      <c r="AA65" s="296" t="s">
        <v>9266</v>
      </c>
      <c r="AB65" s="107" t="s">
        <v>9267</v>
      </c>
      <c r="AC65" s="101" t="s">
        <v>9268</v>
      </c>
      <c r="AD65" s="101" t="s">
        <v>5772</v>
      </c>
      <c r="AE65" s="101" t="s">
        <v>5412</v>
      </c>
      <c r="AF65" s="296" t="s">
        <v>5988</v>
      </c>
      <c r="AG65" s="298"/>
      <c r="AH65" s="299">
        <v>3</v>
      </c>
      <c r="AI65" s="200"/>
    </row>
    <row r="66" spans="1:35" x14ac:dyDescent="0.3">
      <c r="A66" s="106">
        <v>64</v>
      </c>
      <c r="B66" s="188" t="s">
        <v>6192</v>
      </c>
      <c r="C66" s="445" t="s">
        <v>1613</v>
      </c>
      <c r="D66" s="169" t="s">
        <v>8243</v>
      </c>
      <c r="E66" s="201">
        <v>3125154604</v>
      </c>
      <c r="F66" s="101" t="s">
        <v>2377</v>
      </c>
      <c r="G66" s="295">
        <v>41160</v>
      </c>
      <c r="H66" s="193" t="s">
        <v>52</v>
      </c>
      <c r="I66" s="193" t="s">
        <v>5396</v>
      </c>
      <c r="J66" s="202" t="s">
        <v>9269</v>
      </c>
      <c r="K66" s="202" t="s">
        <v>9270</v>
      </c>
      <c r="L66" s="191" t="s">
        <v>9271</v>
      </c>
      <c r="M66" s="101"/>
      <c r="N66" s="101"/>
      <c r="O66" s="296" t="s">
        <v>2469</v>
      </c>
      <c r="P66" s="297" t="s">
        <v>5394</v>
      </c>
      <c r="Q66" s="297" t="s">
        <v>5415</v>
      </c>
      <c r="R66" s="296" t="s">
        <v>2355</v>
      </c>
      <c r="S66" s="296" t="s">
        <v>3961</v>
      </c>
      <c r="T66" s="296"/>
      <c r="U66" s="298">
        <v>40564</v>
      </c>
      <c r="V66" s="296" t="s">
        <v>9272</v>
      </c>
      <c r="W66" s="107" t="s">
        <v>9273</v>
      </c>
      <c r="X66" s="101" t="s">
        <v>9274</v>
      </c>
      <c r="Y66" s="101" t="s">
        <v>5772</v>
      </c>
      <c r="Z66" s="101" t="s">
        <v>5442</v>
      </c>
      <c r="AA66" s="296" t="s">
        <v>6047</v>
      </c>
      <c r="AB66" s="107" t="s">
        <v>9275</v>
      </c>
      <c r="AC66" s="101" t="s">
        <v>9276</v>
      </c>
      <c r="AD66" s="101" t="s">
        <v>5772</v>
      </c>
      <c r="AE66" s="101" t="s">
        <v>5412</v>
      </c>
      <c r="AF66" s="296" t="s">
        <v>5988</v>
      </c>
      <c r="AG66" s="297"/>
      <c r="AH66" s="299">
        <v>1</v>
      </c>
      <c r="AI66" s="200"/>
    </row>
    <row r="67" spans="1:35" x14ac:dyDescent="0.3">
      <c r="A67" s="106">
        <v>65</v>
      </c>
      <c r="B67" s="188" t="s">
        <v>6205</v>
      </c>
      <c r="C67" s="106" t="s">
        <v>1613</v>
      </c>
      <c r="D67" s="101" t="s">
        <v>8244</v>
      </c>
      <c r="E67" s="198">
        <v>3131371748</v>
      </c>
      <c r="F67" s="101" t="s">
        <v>2377</v>
      </c>
      <c r="G67" s="446">
        <v>41513</v>
      </c>
      <c r="H67" s="105" t="s">
        <v>52</v>
      </c>
      <c r="I67" s="193" t="s">
        <v>5396</v>
      </c>
      <c r="J67" s="107" t="s">
        <v>9277</v>
      </c>
      <c r="K67" s="107" t="s">
        <v>9278</v>
      </c>
      <c r="L67" s="101" t="s">
        <v>9279</v>
      </c>
      <c r="M67" s="101"/>
      <c r="N67" s="101"/>
      <c r="O67" s="101" t="s">
        <v>2469</v>
      </c>
      <c r="P67" s="107" t="s">
        <v>5432</v>
      </c>
      <c r="Q67" s="107" t="s">
        <v>5502</v>
      </c>
      <c r="R67" s="296" t="s">
        <v>2355</v>
      </c>
      <c r="S67" s="296" t="s">
        <v>3961</v>
      </c>
      <c r="T67" s="101"/>
      <c r="U67" s="298">
        <v>40764</v>
      </c>
      <c r="V67" s="101" t="s">
        <v>9280</v>
      </c>
      <c r="W67" s="107" t="s">
        <v>9281</v>
      </c>
      <c r="X67" s="101" t="s">
        <v>9282</v>
      </c>
      <c r="Y67" s="101" t="s">
        <v>5785</v>
      </c>
      <c r="Z67" s="101" t="s">
        <v>5442</v>
      </c>
      <c r="AA67" s="101" t="s">
        <v>9283</v>
      </c>
      <c r="AB67" s="107" t="s">
        <v>9284</v>
      </c>
      <c r="AC67" s="101" t="s">
        <v>9285</v>
      </c>
      <c r="AD67" s="101" t="s">
        <v>5772</v>
      </c>
      <c r="AE67" s="101" t="s">
        <v>5412</v>
      </c>
      <c r="AF67" s="296" t="s">
        <v>5988</v>
      </c>
      <c r="AG67" s="101"/>
      <c r="AH67" s="101">
        <v>3</v>
      </c>
      <c r="AI67" s="200"/>
    </row>
    <row r="68" spans="1:35" x14ac:dyDescent="0.3">
      <c r="A68" s="106">
        <v>66</v>
      </c>
      <c r="B68" s="188" t="s">
        <v>6219</v>
      </c>
      <c r="C68" s="106" t="s">
        <v>1614</v>
      </c>
      <c r="D68" s="101" t="s">
        <v>8274</v>
      </c>
      <c r="E68" s="198">
        <v>3135497903</v>
      </c>
      <c r="F68" s="101" t="s">
        <v>2377</v>
      </c>
      <c r="G68" s="323">
        <v>41277</v>
      </c>
      <c r="H68" s="105" t="s">
        <v>52</v>
      </c>
      <c r="I68" s="193" t="s">
        <v>5396</v>
      </c>
      <c r="J68" s="107" t="s">
        <v>9286</v>
      </c>
      <c r="K68" s="107" t="s">
        <v>9287</v>
      </c>
      <c r="L68" s="101" t="s">
        <v>9288</v>
      </c>
      <c r="M68" s="101"/>
      <c r="N68" s="101"/>
      <c r="O68" s="101" t="s">
        <v>2469</v>
      </c>
      <c r="P68" s="107" t="s">
        <v>5394</v>
      </c>
      <c r="Q68" s="107" t="s">
        <v>5415</v>
      </c>
      <c r="R68" s="296" t="s">
        <v>2355</v>
      </c>
      <c r="S68" s="101" t="s">
        <v>3961</v>
      </c>
      <c r="T68" s="101"/>
      <c r="U68" s="298">
        <v>40764</v>
      </c>
      <c r="V68" s="101" t="s">
        <v>9289</v>
      </c>
      <c r="W68" s="107" t="s">
        <v>9290</v>
      </c>
      <c r="X68" s="101" t="s">
        <v>9291</v>
      </c>
      <c r="Y68" s="101" t="s">
        <v>5904</v>
      </c>
      <c r="Z68" s="101" t="s">
        <v>5442</v>
      </c>
      <c r="AA68" s="101" t="s">
        <v>9292</v>
      </c>
      <c r="AB68" s="107" t="s">
        <v>9293</v>
      </c>
      <c r="AC68" s="101" t="s">
        <v>7189</v>
      </c>
      <c r="AD68" s="101" t="s">
        <v>5904</v>
      </c>
      <c r="AE68" s="101" t="s">
        <v>5412</v>
      </c>
      <c r="AF68" s="296" t="s">
        <v>5988</v>
      </c>
      <c r="AG68" s="101"/>
      <c r="AH68" s="101">
        <v>2</v>
      </c>
      <c r="AI68" s="200"/>
    </row>
    <row r="69" spans="1:35" x14ac:dyDescent="0.3">
      <c r="A69" s="106">
        <v>67</v>
      </c>
      <c r="B69" s="188" t="s">
        <v>6231</v>
      </c>
      <c r="C69" s="106" t="s">
        <v>1614</v>
      </c>
      <c r="D69" s="101" t="s">
        <v>8275</v>
      </c>
      <c r="E69" s="198">
        <v>3121877362</v>
      </c>
      <c r="F69" s="101" t="s">
        <v>2377</v>
      </c>
      <c r="G69" s="323">
        <v>41268</v>
      </c>
      <c r="H69" s="105" t="s">
        <v>52</v>
      </c>
      <c r="I69" s="193" t="s">
        <v>5396</v>
      </c>
      <c r="J69" s="107" t="s">
        <v>9294</v>
      </c>
      <c r="K69" s="107" t="s">
        <v>9295</v>
      </c>
      <c r="L69" s="101" t="s">
        <v>9296</v>
      </c>
      <c r="M69" s="101"/>
      <c r="N69" s="101"/>
      <c r="O69" s="101" t="s">
        <v>2469</v>
      </c>
      <c r="P69" s="107" t="s">
        <v>5415</v>
      </c>
      <c r="Q69" s="107" t="s">
        <v>5415</v>
      </c>
      <c r="R69" s="219" t="s">
        <v>2355</v>
      </c>
      <c r="S69" s="296" t="s">
        <v>3961</v>
      </c>
      <c r="T69" s="101"/>
      <c r="U69" s="107">
        <v>40764</v>
      </c>
      <c r="V69" s="101" t="s">
        <v>9297</v>
      </c>
      <c r="W69" s="107" t="s">
        <v>9298</v>
      </c>
      <c r="X69" s="101" t="s">
        <v>9299</v>
      </c>
      <c r="Y69" s="101" t="s">
        <v>5772</v>
      </c>
      <c r="Z69" s="101" t="s">
        <v>5442</v>
      </c>
      <c r="AA69" s="101" t="s">
        <v>9300</v>
      </c>
      <c r="AB69" s="107" t="s">
        <v>9301</v>
      </c>
      <c r="AC69" s="101" t="s">
        <v>9302</v>
      </c>
      <c r="AD69" s="101" t="s">
        <v>5772</v>
      </c>
      <c r="AE69" s="101" t="s">
        <v>5412</v>
      </c>
      <c r="AF69" s="296" t="s">
        <v>5988</v>
      </c>
      <c r="AG69" s="101"/>
      <c r="AH69" s="101">
        <v>1</v>
      </c>
      <c r="AI69" s="200"/>
    </row>
    <row r="70" spans="1:35" x14ac:dyDescent="0.3">
      <c r="A70" s="106">
        <v>68</v>
      </c>
      <c r="B70" s="188" t="s">
        <v>6242</v>
      </c>
      <c r="C70" s="106" t="s">
        <v>13</v>
      </c>
      <c r="D70" s="421" t="s">
        <v>8220</v>
      </c>
      <c r="E70" s="198">
        <v>3128345911</v>
      </c>
      <c r="F70" s="101" t="s">
        <v>2377</v>
      </c>
      <c r="G70" s="323">
        <v>40984</v>
      </c>
      <c r="H70" s="105" t="s">
        <v>52</v>
      </c>
      <c r="I70" s="193" t="s">
        <v>5396</v>
      </c>
      <c r="J70" s="107" t="s">
        <v>9303</v>
      </c>
      <c r="K70" s="107" t="s">
        <v>9304</v>
      </c>
      <c r="L70" s="101" t="s">
        <v>9305</v>
      </c>
      <c r="M70" s="101"/>
      <c r="N70" s="101"/>
      <c r="O70" s="101" t="s">
        <v>9306</v>
      </c>
      <c r="P70" s="107" t="s">
        <v>5394</v>
      </c>
      <c r="Q70" s="107" t="s">
        <v>5394</v>
      </c>
      <c r="R70" s="296" t="s">
        <v>2845</v>
      </c>
      <c r="S70" s="296" t="s">
        <v>3961</v>
      </c>
      <c r="T70" s="219"/>
      <c r="U70" s="107">
        <v>40764</v>
      </c>
      <c r="V70" s="101" t="s">
        <v>9307</v>
      </c>
      <c r="W70" s="107" t="s">
        <v>9308</v>
      </c>
      <c r="X70" s="101" t="s">
        <v>9309</v>
      </c>
      <c r="Y70" s="101" t="s">
        <v>5772</v>
      </c>
      <c r="Z70" s="101" t="s">
        <v>5442</v>
      </c>
      <c r="AA70" s="101" t="s">
        <v>9310</v>
      </c>
      <c r="AB70" s="107" t="s">
        <v>9311</v>
      </c>
      <c r="AC70" s="101" t="s">
        <v>9312</v>
      </c>
      <c r="AD70" s="101" t="s">
        <v>5772</v>
      </c>
      <c r="AE70" s="101" t="s">
        <v>5412</v>
      </c>
      <c r="AF70" s="296" t="s">
        <v>5988</v>
      </c>
      <c r="AG70" s="101"/>
      <c r="AH70" s="101">
        <v>1</v>
      </c>
      <c r="AI70" s="200"/>
    </row>
    <row r="71" spans="1:35" x14ac:dyDescent="0.3">
      <c r="A71" s="106">
        <v>69</v>
      </c>
      <c r="B71" s="188" t="s">
        <v>6254</v>
      </c>
      <c r="C71" s="106" t="s">
        <v>13</v>
      </c>
      <c r="D71" s="101" t="s">
        <v>8221</v>
      </c>
      <c r="E71" s="198">
        <v>3139074353</v>
      </c>
      <c r="F71" s="101" t="s">
        <v>2377</v>
      </c>
      <c r="G71" s="323">
        <v>41378</v>
      </c>
      <c r="H71" s="105" t="s">
        <v>53</v>
      </c>
      <c r="I71" s="193" t="s">
        <v>5396</v>
      </c>
      <c r="J71" s="107" t="s">
        <v>9313</v>
      </c>
      <c r="K71" s="107" t="s">
        <v>9314</v>
      </c>
      <c r="L71" s="101" t="s">
        <v>9315</v>
      </c>
      <c r="M71" s="101"/>
      <c r="N71" s="101"/>
      <c r="O71" s="101" t="s">
        <v>9316</v>
      </c>
      <c r="P71" s="107" t="s">
        <v>5394</v>
      </c>
      <c r="Q71" s="107" t="s">
        <v>5394</v>
      </c>
      <c r="R71" s="101" t="s">
        <v>2845</v>
      </c>
      <c r="S71" s="101" t="s">
        <v>3961</v>
      </c>
      <c r="T71" s="101"/>
      <c r="U71" s="107">
        <v>40564</v>
      </c>
      <c r="V71" s="101" t="s">
        <v>9317</v>
      </c>
      <c r="W71" s="107" t="s">
        <v>9318</v>
      </c>
      <c r="X71" s="101" t="s">
        <v>9319</v>
      </c>
      <c r="Y71" s="101" t="s">
        <v>5904</v>
      </c>
      <c r="Z71" s="101" t="s">
        <v>5442</v>
      </c>
      <c r="AA71" s="101" t="s">
        <v>9320</v>
      </c>
      <c r="AB71" s="107" t="s">
        <v>9321</v>
      </c>
      <c r="AC71" s="107" t="s">
        <v>9322</v>
      </c>
      <c r="AD71" s="101" t="s">
        <v>5904</v>
      </c>
      <c r="AE71" s="101" t="s">
        <v>5412</v>
      </c>
      <c r="AF71" s="296" t="s">
        <v>5988</v>
      </c>
      <c r="AG71" s="101"/>
      <c r="AH71" s="101">
        <v>4</v>
      </c>
      <c r="AI71" s="200"/>
    </row>
    <row r="72" spans="1:35" x14ac:dyDescent="0.3">
      <c r="A72" s="106">
        <v>70</v>
      </c>
      <c r="B72" s="188" t="s">
        <v>6265</v>
      </c>
      <c r="C72" s="106" t="s">
        <v>13</v>
      </c>
      <c r="D72" s="101" t="s">
        <v>8222</v>
      </c>
      <c r="E72" s="198">
        <v>3132998853</v>
      </c>
      <c r="F72" s="101" t="s">
        <v>2352</v>
      </c>
      <c r="G72" s="323">
        <v>41455</v>
      </c>
      <c r="H72" s="105" t="s">
        <v>53</v>
      </c>
      <c r="I72" s="193" t="s">
        <v>5396</v>
      </c>
      <c r="J72" s="107" t="s">
        <v>9323</v>
      </c>
      <c r="K72" s="107" t="s">
        <v>9324</v>
      </c>
      <c r="L72" s="101" t="s">
        <v>9325</v>
      </c>
      <c r="M72" s="101"/>
      <c r="N72" s="101"/>
      <c r="O72" s="101" t="s">
        <v>2469</v>
      </c>
      <c r="P72" s="107" t="s">
        <v>5432</v>
      </c>
      <c r="Q72" s="107" t="s">
        <v>5415</v>
      </c>
      <c r="R72" s="101" t="s">
        <v>2355</v>
      </c>
      <c r="S72" s="101" t="s">
        <v>3961</v>
      </c>
      <c r="T72" s="101"/>
      <c r="U72" s="107">
        <v>40764</v>
      </c>
      <c r="V72" s="101" t="s">
        <v>2976</v>
      </c>
      <c r="W72" s="107" t="s">
        <v>9326</v>
      </c>
      <c r="X72" s="101" t="s">
        <v>9327</v>
      </c>
      <c r="Y72" s="101" t="s">
        <v>5904</v>
      </c>
      <c r="Z72" s="101" t="s">
        <v>5442</v>
      </c>
      <c r="AA72" s="101" t="s">
        <v>3535</v>
      </c>
      <c r="AB72" s="107" t="s">
        <v>9328</v>
      </c>
      <c r="AC72" s="101" t="s">
        <v>6495</v>
      </c>
      <c r="AD72" s="101" t="s">
        <v>5904</v>
      </c>
      <c r="AE72" s="101" t="s">
        <v>5412</v>
      </c>
      <c r="AF72" s="296" t="s">
        <v>5988</v>
      </c>
      <c r="AG72" s="101"/>
      <c r="AH72" s="101">
        <v>2</v>
      </c>
      <c r="AI72" s="200"/>
    </row>
    <row r="73" spans="1:35" x14ac:dyDescent="0.3">
      <c r="A73" s="106">
        <v>71</v>
      </c>
      <c r="B73" s="188" t="s">
        <v>6277</v>
      </c>
      <c r="C73" s="106" t="s">
        <v>1615</v>
      </c>
      <c r="D73" s="101" t="s">
        <v>8311</v>
      </c>
      <c r="E73" s="198">
        <v>3121234814</v>
      </c>
      <c r="F73" s="101" t="s">
        <v>2377</v>
      </c>
      <c r="G73" s="323">
        <v>41059</v>
      </c>
      <c r="H73" s="105" t="s">
        <v>52</v>
      </c>
      <c r="I73" s="193" t="s">
        <v>5396</v>
      </c>
      <c r="J73" s="107" t="s">
        <v>9329</v>
      </c>
      <c r="K73" s="107" t="s">
        <v>9330</v>
      </c>
      <c r="L73" s="101" t="s">
        <v>9331</v>
      </c>
      <c r="M73" s="101"/>
      <c r="N73" s="101"/>
      <c r="O73" s="101" t="s">
        <v>5575</v>
      </c>
      <c r="P73" s="107" t="s">
        <v>5415</v>
      </c>
      <c r="Q73" s="107" t="s">
        <v>5502</v>
      </c>
      <c r="R73" s="101" t="s">
        <v>2355</v>
      </c>
      <c r="S73" s="101" t="s">
        <v>3961</v>
      </c>
      <c r="T73" s="101"/>
      <c r="U73" s="107">
        <v>40764</v>
      </c>
      <c r="V73" s="101" t="s">
        <v>9332</v>
      </c>
      <c r="W73" s="107" t="s">
        <v>9333</v>
      </c>
      <c r="X73" s="101" t="s">
        <v>9334</v>
      </c>
      <c r="Y73" s="101" t="s">
        <v>5904</v>
      </c>
      <c r="Z73" s="101" t="s">
        <v>9335</v>
      </c>
      <c r="AA73" s="101" t="s">
        <v>4172</v>
      </c>
      <c r="AB73" s="107" t="s">
        <v>9336</v>
      </c>
      <c r="AC73" s="339" t="s">
        <v>9337</v>
      </c>
      <c r="AD73" s="101" t="s">
        <v>5904</v>
      </c>
      <c r="AE73" s="101" t="s">
        <v>5412</v>
      </c>
      <c r="AF73" s="296" t="s">
        <v>5988</v>
      </c>
      <c r="AG73" s="101"/>
      <c r="AH73" s="101">
        <v>1</v>
      </c>
      <c r="AI73" s="200"/>
    </row>
    <row r="74" spans="1:35" x14ac:dyDescent="0.3">
      <c r="A74" s="106">
        <v>72</v>
      </c>
      <c r="B74" s="188" t="s">
        <v>6292</v>
      </c>
      <c r="C74" s="106" t="s">
        <v>1615</v>
      </c>
      <c r="D74" s="101" t="s">
        <v>8312</v>
      </c>
      <c r="E74" s="198" t="s">
        <v>9338</v>
      </c>
      <c r="F74" s="101" t="s">
        <v>2377</v>
      </c>
      <c r="G74" s="323">
        <v>41067</v>
      </c>
      <c r="H74" s="105" t="s">
        <v>52</v>
      </c>
      <c r="I74" s="193" t="s">
        <v>5396</v>
      </c>
      <c r="J74" s="107" t="s">
        <v>9339</v>
      </c>
      <c r="K74" s="107" t="s">
        <v>9340</v>
      </c>
      <c r="L74" s="101" t="s">
        <v>9341</v>
      </c>
      <c r="M74" s="101"/>
      <c r="N74" s="101"/>
      <c r="O74" s="101" t="s">
        <v>9316</v>
      </c>
      <c r="P74" s="107" t="s">
        <v>5394</v>
      </c>
      <c r="Q74" s="107" t="s">
        <v>5394</v>
      </c>
      <c r="R74" s="101" t="s">
        <v>2845</v>
      </c>
      <c r="S74" s="101" t="s">
        <v>3961</v>
      </c>
      <c r="T74" s="101"/>
      <c r="U74" s="101">
        <v>40764</v>
      </c>
      <c r="V74" s="101" t="s">
        <v>9342</v>
      </c>
      <c r="W74" s="107" t="s">
        <v>9343</v>
      </c>
      <c r="X74" s="101" t="s">
        <v>9344</v>
      </c>
      <c r="Y74" s="101" t="s">
        <v>5772</v>
      </c>
      <c r="Z74" s="101" t="s">
        <v>9335</v>
      </c>
      <c r="AA74" s="101" t="s">
        <v>9345</v>
      </c>
      <c r="AB74" s="107" t="s">
        <v>9346</v>
      </c>
      <c r="AC74" s="101" t="s">
        <v>9347</v>
      </c>
      <c r="AD74" s="101" t="s">
        <v>5785</v>
      </c>
      <c r="AE74" s="101" t="s">
        <v>5412</v>
      </c>
      <c r="AF74" s="296" t="s">
        <v>5988</v>
      </c>
      <c r="AG74" s="101"/>
      <c r="AH74" s="101">
        <v>1</v>
      </c>
      <c r="AI74" s="200"/>
    </row>
    <row r="75" spans="1:35" x14ac:dyDescent="0.3">
      <c r="A75" s="106">
        <v>73</v>
      </c>
      <c r="B75" s="188" t="s">
        <v>6303</v>
      </c>
      <c r="C75" s="106" t="s">
        <v>1616</v>
      </c>
      <c r="D75" s="101" t="s">
        <v>8350</v>
      </c>
      <c r="E75" s="198">
        <v>3129432987</v>
      </c>
      <c r="F75" s="101" t="s">
        <v>2377</v>
      </c>
      <c r="G75" s="323">
        <v>41003</v>
      </c>
      <c r="H75" s="105" t="s">
        <v>52</v>
      </c>
      <c r="I75" s="193" t="s">
        <v>5396</v>
      </c>
      <c r="J75" s="107" t="s">
        <v>9348</v>
      </c>
      <c r="K75" s="107" t="s">
        <v>9349</v>
      </c>
      <c r="L75" s="101" t="s">
        <v>9350</v>
      </c>
      <c r="M75" s="101"/>
      <c r="N75" s="101"/>
      <c r="O75" s="101" t="s">
        <v>2469</v>
      </c>
      <c r="P75" s="107" t="s">
        <v>5432</v>
      </c>
      <c r="Q75" s="107" t="s">
        <v>5415</v>
      </c>
      <c r="R75" s="101" t="s">
        <v>2355</v>
      </c>
      <c r="S75" s="101" t="s">
        <v>3961</v>
      </c>
      <c r="T75" s="101"/>
      <c r="U75" s="101">
        <v>40764</v>
      </c>
      <c r="V75" s="101" t="s">
        <v>5297</v>
      </c>
      <c r="W75" s="107" t="s">
        <v>9351</v>
      </c>
      <c r="X75" s="101" t="s">
        <v>9352</v>
      </c>
      <c r="Y75" s="101" t="s">
        <v>5904</v>
      </c>
      <c r="Z75" s="101" t="s">
        <v>9335</v>
      </c>
      <c r="AA75" s="101" t="s">
        <v>9353</v>
      </c>
      <c r="AB75" s="107" t="s">
        <v>9354</v>
      </c>
      <c r="AC75" s="101" t="s">
        <v>9355</v>
      </c>
      <c r="AD75" s="101" t="s">
        <v>5772</v>
      </c>
      <c r="AE75" s="101" t="s">
        <v>5412</v>
      </c>
      <c r="AF75" s="296" t="s">
        <v>5988</v>
      </c>
      <c r="AG75" s="101"/>
      <c r="AH75" s="101">
        <v>2</v>
      </c>
      <c r="AI75" s="200"/>
    </row>
    <row r="76" spans="1:35" x14ac:dyDescent="0.3">
      <c r="A76" s="106">
        <v>74</v>
      </c>
      <c r="B76" s="188" t="s">
        <v>6313</v>
      </c>
      <c r="C76" s="106" t="s">
        <v>1616</v>
      </c>
      <c r="D76" s="101" t="s">
        <v>8351</v>
      </c>
      <c r="E76" s="198">
        <v>124343663</v>
      </c>
      <c r="F76" s="101" t="s">
        <v>2382</v>
      </c>
      <c r="G76" s="323">
        <v>41257</v>
      </c>
      <c r="H76" s="105" t="s">
        <v>52</v>
      </c>
      <c r="I76" s="193" t="s">
        <v>5396</v>
      </c>
      <c r="J76" s="107" t="s">
        <v>9356</v>
      </c>
      <c r="K76" s="107" t="s">
        <v>9357</v>
      </c>
      <c r="L76" s="101" t="s">
        <v>9358</v>
      </c>
      <c r="M76" s="101"/>
      <c r="N76" s="107"/>
      <c r="O76" s="101" t="s">
        <v>9359</v>
      </c>
      <c r="P76" s="107" t="s">
        <v>5461</v>
      </c>
      <c r="Q76" s="107" t="s">
        <v>5707</v>
      </c>
      <c r="R76" s="101" t="s">
        <v>9360</v>
      </c>
      <c r="S76" s="101" t="s">
        <v>2382</v>
      </c>
      <c r="T76" s="101"/>
      <c r="U76" s="101"/>
      <c r="V76" s="101" t="s">
        <v>9361</v>
      </c>
      <c r="W76" s="107" t="s">
        <v>9362</v>
      </c>
      <c r="X76" s="101" t="s">
        <v>9363</v>
      </c>
      <c r="Y76" s="101" t="s">
        <v>5785</v>
      </c>
      <c r="Z76" s="101" t="s">
        <v>5427</v>
      </c>
      <c r="AA76" s="101" t="s">
        <v>9364</v>
      </c>
      <c r="AB76" s="107" t="s">
        <v>9365</v>
      </c>
      <c r="AC76" s="101" t="s">
        <v>9366</v>
      </c>
      <c r="AD76" s="101" t="s">
        <v>5785</v>
      </c>
      <c r="AE76" s="101" t="s">
        <v>5412</v>
      </c>
      <c r="AF76" s="296" t="s">
        <v>5988</v>
      </c>
      <c r="AG76" s="101"/>
      <c r="AH76" s="101">
        <v>4</v>
      </c>
      <c r="AI76" s="200"/>
    </row>
    <row r="77" spans="1:35" x14ac:dyDescent="0.3">
      <c r="A77" s="106">
        <v>75</v>
      </c>
      <c r="B77" s="235" t="s">
        <v>6328</v>
      </c>
      <c r="C77" s="106" t="s">
        <v>1614</v>
      </c>
      <c r="D77" s="219" t="s">
        <v>8276</v>
      </c>
      <c r="E77" s="198">
        <v>3133617725</v>
      </c>
      <c r="F77" s="219" t="s">
        <v>4001</v>
      </c>
      <c r="G77" s="340">
        <v>41406</v>
      </c>
      <c r="H77" s="341" t="s">
        <v>53</v>
      </c>
      <c r="I77" s="219" t="s">
        <v>5396</v>
      </c>
      <c r="J77" s="329" t="s">
        <v>9367</v>
      </c>
      <c r="K77" s="329" t="s">
        <v>9368</v>
      </c>
      <c r="L77" s="219" t="s">
        <v>9369</v>
      </c>
      <c r="M77" s="219"/>
      <c r="N77" s="219"/>
      <c r="O77" s="219" t="s">
        <v>2469</v>
      </c>
      <c r="P77" s="329" t="s">
        <v>5432</v>
      </c>
      <c r="Q77" s="329" t="s">
        <v>5502</v>
      </c>
      <c r="R77" s="219" t="s">
        <v>2355</v>
      </c>
      <c r="S77" s="219" t="s">
        <v>3961</v>
      </c>
      <c r="T77" s="219"/>
      <c r="U77" s="219">
        <v>40564</v>
      </c>
      <c r="V77" s="219" t="s">
        <v>9370</v>
      </c>
      <c r="W77" s="329" t="s">
        <v>9371</v>
      </c>
      <c r="X77" s="219" t="s">
        <v>9372</v>
      </c>
      <c r="Y77" s="219" t="s">
        <v>5904</v>
      </c>
      <c r="Z77" s="219" t="s">
        <v>9335</v>
      </c>
      <c r="AA77" s="219" t="s">
        <v>9373</v>
      </c>
      <c r="AB77" s="329" t="s">
        <v>9374</v>
      </c>
      <c r="AC77" s="219" t="s">
        <v>9375</v>
      </c>
      <c r="AD77" s="219" t="s">
        <v>5904</v>
      </c>
      <c r="AE77" s="219" t="s">
        <v>5412</v>
      </c>
      <c r="AF77" s="296" t="s">
        <v>5988</v>
      </c>
      <c r="AG77" s="219"/>
      <c r="AH77" s="219">
        <v>1</v>
      </c>
      <c r="AI77" s="329"/>
    </row>
    <row r="78" spans="1:35" x14ac:dyDescent="0.3">
      <c r="A78" s="106">
        <v>76</v>
      </c>
      <c r="B78" s="188" t="s">
        <v>6345</v>
      </c>
      <c r="C78" s="106" t="s">
        <v>1617</v>
      </c>
      <c r="D78" s="241" t="s">
        <v>8403</v>
      </c>
      <c r="E78" s="198">
        <v>3131026851</v>
      </c>
      <c r="F78" s="101" t="s">
        <v>2377</v>
      </c>
      <c r="G78" s="323">
        <v>41416</v>
      </c>
      <c r="H78" s="105" t="s">
        <v>53</v>
      </c>
      <c r="I78" s="193" t="s">
        <v>5396</v>
      </c>
      <c r="J78" s="107" t="s">
        <v>9376</v>
      </c>
      <c r="K78" s="107" t="s">
        <v>9377</v>
      </c>
      <c r="L78" s="101" t="s">
        <v>9378</v>
      </c>
      <c r="M78" s="101"/>
      <c r="N78" s="107"/>
      <c r="O78" s="101" t="s">
        <v>5969</v>
      </c>
      <c r="P78" s="107" t="s">
        <v>5394</v>
      </c>
      <c r="Q78" s="107" t="s">
        <v>5542</v>
      </c>
      <c r="R78" s="101" t="s">
        <v>2399</v>
      </c>
      <c r="S78" s="101" t="s">
        <v>3961</v>
      </c>
      <c r="T78" s="101"/>
      <c r="U78" s="101">
        <v>40764</v>
      </c>
      <c r="V78" s="101" t="s">
        <v>9379</v>
      </c>
      <c r="W78" s="107"/>
      <c r="X78" s="101"/>
      <c r="Y78" s="101"/>
      <c r="Z78" s="101"/>
      <c r="AA78" s="101" t="s">
        <v>9380</v>
      </c>
      <c r="AB78" s="107"/>
      <c r="AC78" s="101"/>
      <c r="AD78" s="101"/>
      <c r="AE78" s="101"/>
      <c r="AF78" s="296" t="s">
        <v>3552</v>
      </c>
      <c r="AG78" s="101"/>
      <c r="AH78" s="101">
        <v>1</v>
      </c>
      <c r="AI78" s="200"/>
    </row>
    <row r="79" spans="1:35" x14ac:dyDescent="0.3">
      <c r="A79" s="106">
        <v>77</v>
      </c>
      <c r="B79" s="188" t="s">
        <v>6360</v>
      </c>
      <c r="C79" s="106" t="s">
        <v>1614</v>
      </c>
      <c r="D79" s="101" t="s">
        <v>8277</v>
      </c>
      <c r="E79" s="198">
        <v>3136679066</v>
      </c>
      <c r="F79" s="101" t="s">
        <v>2377</v>
      </c>
      <c r="G79" s="323">
        <v>41354</v>
      </c>
      <c r="H79" s="105" t="s">
        <v>53</v>
      </c>
      <c r="I79" s="193" t="s">
        <v>5396</v>
      </c>
      <c r="J79" s="107" t="s">
        <v>9381</v>
      </c>
      <c r="K79" s="107" t="s">
        <v>9382</v>
      </c>
      <c r="L79" s="101" t="s">
        <v>9383</v>
      </c>
      <c r="M79" s="101"/>
      <c r="N79" s="101"/>
      <c r="O79" s="101" t="s">
        <v>9384</v>
      </c>
      <c r="P79" s="107" t="s">
        <v>5394</v>
      </c>
      <c r="Q79" s="107" t="s">
        <v>5401</v>
      </c>
      <c r="R79" s="101" t="s">
        <v>2399</v>
      </c>
      <c r="S79" s="101" t="s">
        <v>3961</v>
      </c>
      <c r="T79" s="101"/>
      <c r="U79" s="101">
        <v>40764</v>
      </c>
      <c r="V79" s="107" t="s">
        <v>2401</v>
      </c>
      <c r="W79" s="329" t="s">
        <v>9385</v>
      </c>
      <c r="X79" s="101" t="s">
        <v>9386</v>
      </c>
      <c r="Y79" s="101" t="s">
        <v>5772</v>
      </c>
      <c r="Z79" s="101" t="s">
        <v>9335</v>
      </c>
      <c r="AA79" s="101" t="s">
        <v>9387</v>
      </c>
      <c r="AB79" s="107" t="s">
        <v>9388</v>
      </c>
      <c r="AC79" s="101" t="s">
        <v>9389</v>
      </c>
      <c r="AD79" s="101" t="s">
        <v>5785</v>
      </c>
      <c r="AE79" s="101" t="s">
        <v>5412</v>
      </c>
      <c r="AF79" s="296" t="s">
        <v>3552</v>
      </c>
      <c r="AG79" s="101"/>
      <c r="AH79" s="101">
        <v>2</v>
      </c>
      <c r="AI79" s="200" t="s">
        <v>9390</v>
      </c>
    </row>
    <row r="80" spans="1:35" x14ac:dyDescent="0.3">
      <c r="A80" s="242">
        <v>78</v>
      </c>
      <c r="B80" s="255" t="s">
        <v>6370</v>
      </c>
      <c r="C80" s="242" t="s">
        <v>13</v>
      </c>
      <c r="D80" s="246" t="s">
        <v>8223</v>
      </c>
      <c r="E80" s="252" t="s">
        <v>9391</v>
      </c>
      <c r="F80" s="246" t="s">
        <v>2377</v>
      </c>
      <c r="G80" s="351">
        <v>41272</v>
      </c>
      <c r="H80" s="350" t="s">
        <v>53</v>
      </c>
      <c r="I80" s="259" t="s">
        <v>5396</v>
      </c>
      <c r="J80" s="307" t="s">
        <v>9392</v>
      </c>
      <c r="K80" s="307" t="s">
        <v>9393</v>
      </c>
      <c r="L80" s="246" t="s">
        <v>9394</v>
      </c>
      <c r="M80" s="246"/>
      <c r="N80" s="246" t="s">
        <v>9395</v>
      </c>
      <c r="O80" s="246" t="s">
        <v>6078</v>
      </c>
      <c r="P80" s="307" t="s">
        <v>8768</v>
      </c>
      <c r="Q80" s="307" t="s">
        <v>8694</v>
      </c>
      <c r="R80" s="246" t="s">
        <v>6079</v>
      </c>
      <c r="S80" s="246" t="s">
        <v>5422</v>
      </c>
      <c r="T80" s="246"/>
      <c r="U80" s="307" t="s">
        <v>5657</v>
      </c>
      <c r="V80" s="246" t="s">
        <v>9396</v>
      </c>
      <c r="W80" s="307" t="s">
        <v>9397</v>
      </c>
      <c r="X80" s="246" t="s">
        <v>9398</v>
      </c>
      <c r="Y80" s="246" t="s">
        <v>5772</v>
      </c>
      <c r="Z80" s="246" t="s">
        <v>5442</v>
      </c>
      <c r="AA80" s="246" t="s">
        <v>9399</v>
      </c>
      <c r="AB80" s="307" t="s">
        <v>9400</v>
      </c>
      <c r="AC80" s="246" t="s">
        <v>9401</v>
      </c>
      <c r="AD80" s="246" t="s">
        <v>5772</v>
      </c>
      <c r="AE80" s="246" t="s">
        <v>9402</v>
      </c>
      <c r="AF80" s="246" t="s">
        <v>6086</v>
      </c>
      <c r="AG80" s="307" t="s">
        <v>9403</v>
      </c>
      <c r="AH80" s="246">
        <v>1</v>
      </c>
      <c r="AI80" s="254" t="s">
        <v>9404</v>
      </c>
    </row>
    <row r="81" spans="1:35" x14ac:dyDescent="0.3">
      <c r="A81" s="242">
        <v>79</v>
      </c>
      <c r="B81" s="255" t="s">
        <v>6385</v>
      </c>
      <c r="C81" s="242" t="s">
        <v>1613</v>
      </c>
      <c r="D81" s="246" t="s">
        <v>1975</v>
      </c>
      <c r="E81" s="252" t="s">
        <v>9405</v>
      </c>
      <c r="F81" s="246" t="s">
        <v>2377</v>
      </c>
      <c r="G81" s="351">
        <v>41005</v>
      </c>
      <c r="H81" s="350" t="s">
        <v>52</v>
      </c>
      <c r="I81" s="259" t="s">
        <v>5396</v>
      </c>
      <c r="J81" s="307" t="s">
        <v>9406</v>
      </c>
      <c r="K81" s="307" t="s">
        <v>9407</v>
      </c>
      <c r="L81" s="246" t="s">
        <v>9408</v>
      </c>
      <c r="M81" s="246"/>
      <c r="N81" s="246" t="s">
        <v>9409</v>
      </c>
      <c r="O81" s="246" t="s">
        <v>6078</v>
      </c>
      <c r="P81" s="307" t="s">
        <v>8768</v>
      </c>
      <c r="Q81" s="307" t="s">
        <v>8694</v>
      </c>
      <c r="R81" s="246" t="s">
        <v>6079</v>
      </c>
      <c r="S81" s="246" t="s">
        <v>5422</v>
      </c>
      <c r="T81" s="246"/>
      <c r="U81" s="307" t="s">
        <v>5657</v>
      </c>
      <c r="V81" s="246" t="s">
        <v>9410</v>
      </c>
      <c r="W81" s="307" t="s">
        <v>9411</v>
      </c>
      <c r="X81" s="246" t="s">
        <v>9412</v>
      </c>
      <c r="Y81" s="246" t="s">
        <v>5904</v>
      </c>
      <c r="Z81" s="246" t="s">
        <v>5551</v>
      </c>
      <c r="AA81" s="246" t="s">
        <v>9413</v>
      </c>
      <c r="AB81" s="307" t="s">
        <v>9414</v>
      </c>
      <c r="AC81" s="246" t="s">
        <v>9415</v>
      </c>
      <c r="AD81" s="246" t="s">
        <v>5904</v>
      </c>
      <c r="AE81" s="246" t="s">
        <v>9402</v>
      </c>
      <c r="AF81" s="246" t="s">
        <v>6086</v>
      </c>
      <c r="AG81" s="246"/>
      <c r="AH81" s="246">
        <v>2</v>
      </c>
      <c r="AI81" s="254" t="s">
        <v>9416</v>
      </c>
    </row>
    <row r="82" spans="1:35" x14ac:dyDescent="0.3">
      <c r="A82" s="242">
        <v>80</v>
      </c>
      <c r="B82" s="255" t="s">
        <v>6397</v>
      </c>
      <c r="C82" s="242" t="s">
        <v>1613</v>
      </c>
      <c r="D82" s="246" t="s">
        <v>8245</v>
      </c>
      <c r="E82" s="252" t="s">
        <v>9417</v>
      </c>
      <c r="F82" s="246" t="s">
        <v>2377</v>
      </c>
      <c r="G82" s="351">
        <v>41035</v>
      </c>
      <c r="H82" s="350" t="s">
        <v>52</v>
      </c>
      <c r="I82" s="259" t="s">
        <v>5396</v>
      </c>
      <c r="J82" s="307" t="s">
        <v>9418</v>
      </c>
      <c r="K82" s="304" t="s">
        <v>9419</v>
      </c>
      <c r="L82" s="246" t="s">
        <v>9420</v>
      </c>
      <c r="M82" s="246"/>
      <c r="N82" s="246" t="s">
        <v>9421</v>
      </c>
      <c r="O82" s="246" t="s">
        <v>6078</v>
      </c>
      <c r="P82" s="307" t="s">
        <v>8768</v>
      </c>
      <c r="Q82" s="307" t="s">
        <v>8694</v>
      </c>
      <c r="R82" s="246" t="s">
        <v>6079</v>
      </c>
      <c r="S82" s="246" t="s">
        <v>5422</v>
      </c>
      <c r="T82" s="246"/>
      <c r="U82" s="307" t="s">
        <v>5657</v>
      </c>
      <c r="V82" s="246" t="s">
        <v>9422</v>
      </c>
      <c r="W82" s="307" t="s">
        <v>9423</v>
      </c>
      <c r="X82" s="246" t="s">
        <v>9424</v>
      </c>
      <c r="Y82" s="246" t="s">
        <v>5772</v>
      </c>
      <c r="Z82" s="246" t="s">
        <v>5442</v>
      </c>
      <c r="AA82" s="246" t="s">
        <v>9425</v>
      </c>
      <c r="AB82" s="307" t="s">
        <v>9426</v>
      </c>
      <c r="AC82" s="246" t="s">
        <v>9427</v>
      </c>
      <c r="AD82" s="246" t="s">
        <v>5772</v>
      </c>
      <c r="AE82" s="246" t="s">
        <v>9402</v>
      </c>
      <c r="AF82" s="246" t="s">
        <v>6086</v>
      </c>
      <c r="AG82" s="246"/>
      <c r="AH82" s="246">
        <v>1</v>
      </c>
      <c r="AI82" s="254" t="s">
        <v>9428</v>
      </c>
    </row>
    <row r="83" spans="1:35" x14ac:dyDescent="0.3">
      <c r="A83" s="242">
        <v>81</v>
      </c>
      <c r="B83" s="255" t="s">
        <v>6411</v>
      </c>
      <c r="C83" s="256" t="s">
        <v>1614</v>
      </c>
      <c r="D83" s="246" t="s">
        <v>8278</v>
      </c>
      <c r="E83" s="252" t="s">
        <v>9429</v>
      </c>
      <c r="F83" s="246" t="s">
        <v>2377</v>
      </c>
      <c r="G83" s="351" t="s">
        <v>9430</v>
      </c>
      <c r="H83" s="350" t="s">
        <v>52</v>
      </c>
      <c r="I83" s="259" t="s">
        <v>5396</v>
      </c>
      <c r="J83" s="307" t="s">
        <v>9431</v>
      </c>
      <c r="K83" s="307" t="s">
        <v>9432</v>
      </c>
      <c r="L83" s="246" t="s">
        <v>9433</v>
      </c>
      <c r="M83" s="246"/>
      <c r="N83" s="246" t="s">
        <v>9434</v>
      </c>
      <c r="O83" s="246" t="s">
        <v>6078</v>
      </c>
      <c r="P83" s="307" t="s">
        <v>8768</v>
      </c>
      <c r="Q83" s="307" t="s">
        <v>8694</v>
      </c>
      <c r="R83" s="246" t="s">
        <v>6079</v>
      </c>
      <c r="S83" s="246" t="s">
        <v>5422</v>
      </c>
      <c r="T83" s="246"/>
      <c r="U83" s="307" t="s">
        <v>5657</v>
      </c>
      <c r="V83" s="246" t="s">
        <v>3161</v>
      </c>
      <c r="W83" s="307" t="s">
        <v>9435</v>
      </c>
      <c r="X83" s="246" t="s">
        <v>9436</v>
      </c>
      <c r="Y83" s="246" t="s">
        <v>5904</v>
      </c>
      <c r="Z83" s="246" t="s">
        <v>5442</v>
      </c>
      <c r="AA83" s="246" t="s">
        <v>9437</v>
      </c>
      <c r="AB83" s="307" t="s">
        <v>9438</v>
      </c>
      <c r="AC83" s="246" t="s">
        <v>9439</v>
      </c>
      <c r="AD83" s="246" t="s">
        <v>5904</v>
      </c>
      <c r="AE83" s="246" t="s">
        <v>9402</v>
      </c>
      <c r="AF83" s="246" t="s">
        <v>6086</v>
      </c>
      <c r="AG83" s="307" t="s">
        <v>9440</v>
      </c>
      <c r="AH83" s="246">
        <v>1</v>
      </c>
      <c r="AI83" s="254" t="s">
        <v>9441</v>
      </c>
    </row>
    <row r="84" spans="1:35" x14ac:dyDescent="0.3">
      <c r="A84" s="242">
        <v>82</v>
      </c>
      <c r="B84" s="255" t="s">
        <v>6424</v>
      </c>
      <c r="C84" s="242" t="s">
        <v>1614</v>
      </c>
      <c r="D84" s="246" t="s">
        <v>8279</v>
      </c>
      <c r="E84" s="252" t="s">
        <v>9442</v>
      </c>
      <c r="F84" s="246" t="s">
        <v>2377</v>
      </c>
      <c r="G84" s="351">
        <v>41047</v>
      </c>
      <c r="H84" s="350" t="s">
        <v>52</v>
      </c>
      <c r="I84" s="259" t="s">
        <v>5396</v>
      </c>
      <c r="J84" s="307" t="s">
        <v>9443</v>
      </c>
      <c r="K84" s="307" t="s">
        <v>9444</v>
      </c>
      <c r="L84" s="246" t="s">
        <v>9445</v>
      </c>
      <c r="M84" s="246"/>
      <c r="N84" s="246" t="s">
        <v>9446</v>
      </c>
      <c r="O84" s="246" t="s">
        <v>6078</v>
      </c>
      <c r="P84" s="307" t="s">
        <v>8704</v>
      </c>
      <c r="Q84" s="307" t="s">
        <v>8779</v>
      </c>
      <c r="R84" s="246" t="s">
        <v>6079</v>
      </c>
      <c r="S84" s="246" t="s">
        <v>5422</v>
      </c>
      <c r="T84" s="246"/>
      <c r="U84" s="307" t="s">
        <v>5657</v>
      </c>
      <c r="V84" s="246" t="s">
        <v>9447</v>
      </c>
      <c r="W84" s="307" t="s">
        <v>9448</v>
      </c>
      <c r="X84" s="246" t="s">
        <v>9449</v>
      </c>
      <c r="Y84" s="246"/>
      <c r="Z84" s="246" t="s">
        <v>5442</v>
      </c>
      <c r="AA84" s="246" t="s">
        <v>9450</v>
      </c>
      <c r="AB84" s="307" t="s">
        <v>9451</v>
      </c>
      <c r="AC84" s="246" t="s">
        <v>9452</v>
      </c>
      <c r="AD84" s="246" t="s">
        <v>5772</v>
      </c>
      <c r="AE84" s="246" t="s">
        <v>9402</v>
      </c>
      <c r="AF84" s="246" t="s">
        <v>6086</v>
      </c>
      <c r="AG84" s="307" t="s">
        <v>9453</v>
      </c>
      <c r="AH84" s="246">
        <v>1</v>
      </c>
      <c r="AI84" s="254" t="s">
        <v>9454</v>
      </c>
    </row>
    <row r="85" spans="1:35" x14ac:dyDescent="0.3">
      <c r="A85" s="242">
        <v>83</v>
      </c>
      <c r="B85" s="255" t="s">
        <v>6431</v>
      </c>
      <c r="C85" s="242" t="s">
        <v>1615</v>
      </c>
      <c r="D85" s="246" t="s">
        <v>8313</v>
      </c>
      <c r="E85" s="252" t="s">
        <v>9455</v>
      </c>
      <c r="F85" s="246" t="s">
        <v>2377</v>
      </c>
      <c r="G85" s="351">
        <v>41008</v>
      </c>
      <c r="H85" s="350" t="s">
        <v>52</v>
      </c>
      <c r="I85" s="259" t="s">
        <v>5396</v>
      </c>
      <c r="J85" s="307" t="s">
        <v>9456</v>
      </c>
      <c r="K85" s="307" t="s">
        <v>9457</v>
      </c>
      <c r="L85" s="246" t="s">
        <v>9458</v>
      </c>
      <c r="M85" s="246"/>
      <c r="N85" s="246" t="s">
        <v>9459</v>
      </c>
      <c r="O85" s="246" t="s">
        <v>6078</v>
      </c>
      <c r="P85" s="307" t="s">
        <v>8704</v>
      </c>
      <c r="Q85" s="307" t="s">
        <v>8694</v>
      </c>
      <c r="R85" s="246" t="s">
        <v>6079</v>
      </c>
      <c r="S85" s="246" t="s">
        <v>5422</v>
      </c>
      <c r="T85" s="246"/>
      <c r="U85" s="307" t="s">
        <v>5657</v>
      </c>
      <c r="V85" s="246" t="s">
        <v>9460</v>
      </c>
      <c r="W85" s="307" t="s">
        <v>9461</v>
      </c>
      <c r="X85" s="307" t="s">
        <v>9462</v>
      </c>
      <c r="Y85" s="246" t="s">
        <v>5772</v>
      </c>
      <c r="Z85" s="246" t="s">
        <v>5442</v>
      </c>
      <c r="AA85" s="246" t="s">
        <v>5927</v>
      </c>
      <c r="AB85" s="307" t="s">
        <v>9463</v>
      </c>
      <c r="AC85" s="246" t="s">
        <v>9464</v>
      </c>
      <c r="AD85" s="246" t="s">
        <v>5772</v>
      </c>
      <c r="AE85" s="246" t="s">
        <v>9402</v>
      </c>
      <c r="AF85" s="246" t="s">
        <v>6086</v>
      </c>
      <c r="AG85" s="307" t="s">
        <v>9465</v>
      </c>
      <c r="AH85" s="246">
        <v>1</v>
      </c>
      <c r="AI85" s="254" t="s">
        <v>9466</v>
      </c>
    </row>
    <row r="86" spans="1:35" x14ac:dyDescent="0.3">
      <c r="A86" s="242">
        <v>84</v>
      </c>
      <c r="B86" s="255" t="s">
        <v>6444</v>
      </c>
      <c r="C86" s="242" t="s">
        <v>1615</v>
      </c>
      <c r="D86" s="246" t="s">
        <v>8314</v>
      </c>
      <c r="E86" s="252" t="s">
        <v>9467</v>
      </c>
      <c r="F86" s="246" t="s">
        <v>2377</v>
      </c>
      <c r="G86" s="351">
        <v>40973</v>
      </c>
      <c r="H86" s="350" t="s">
        <v>52</v>
      </c>
      <c r="I86" s="259" t="s">
        <v>5396</v>
      </c>
      <c r="J86" s="307" t="s">
        <v>9468</v>
      </c>
      <c r="K86" s="307" t="s">
        <v>9469</v>
      </c>
      <c r="L86" s="246" t="s">
        <v>9470</v>
      </c>
      <c r="M86" s="246"/>
      <c r="N86" s="246" t="s">
        <v>9471</v>
      </c>
      <c r="O86" s="246" t="s">
        <v>6078</v>
      </c>
      <c r="P86" s="307" t="s">
        <v>8779</v>
      </c>
      <c r="Q86" s="307" t="s">
        <v>8694</v>
      </c>
      <c r="R86" s="246" t="s">
        <v>6079</v>
      </c>
      <c r="S86" s="246" t="s">
        <v>5422</v>
      </c>
      <c r="T86" s="246"/>
      <c r="U86" s="307" t="s">
        <v>5657</v>
      </c>
      <c r="V86" s="246" t="s">
        <v>9472</v>
      </c>
      <c r="W86" s="307" t="s">
        <v>9473</v>
      </c>
      <c r="X86" s="246" t="s">
        <v>9474</v>
      </c>
      <c r="Y86" s="246" t="s">
        <v>5785</v>
      </c>
      <c r="Z86" s="246" t="s">
        <v>5442</v>
      </c>
      <c r="AA86" s="246" t="s">
        <v>9475</v>
      </c>
      <c r="AB86" s="307" t="s">
        <v>9476</v>
      </c>
      <c r="AC86" s="246" t="s">
        <v>9477</v>
      </c>
      <c r="AD86" s="246" t="s">
        <v>5772</v>
      </c>
      <c r="AE86" s="246" t="s">
        <v>9402</v>
      </c>
      <c r="AF86" s="246" t="s">
        <v>6086</v>
      </c>
      <c r="AG86" s="246"/>
      <c r="AH86" s="246">
        <v>1</v>
      </c>
      <c r="AI86" s="254" t="s">
        <v>9478</v>
      </c>
    </row>
    <row r="87" spans="1:35" x14ac:dyDescent="0.3">
      <c r="A87" s="242">
        <v>85</v>
      </c>
      <c r="B87" s="255" t="s">
        <v>6458</v>
      </c>
      <c r="C87" s="256" t="s">
        <v>1616</v>
      </c>
      <c r="D87" s="246" t="s">
        <v>8352</v>
      </c>
      <c r="E87" s="252" t="s">
        <v>9479</v>
      </c>
      <c r="F87" s="246" t="s">
        <v>2377</v>
      </c>
      <c r="G87" s="351">
        <v>40991</v>
      </c>
      <c r="H87" s="350" t="s">
        <v>52</v>
      </c>
      <c r="I87" s="259" t="s">
        <v>5396</v>
      </c>
      <c r="J87" s="307" t="s">
        <v>9480</v>
      </c>
      <c r="K87" s="307" t="s">
        <v>9481</v>
      </c>
      <c r="L87" s="307" t="s">
        <v>9482</v>
      </c>
      <c r="M87" s="246"/>
      <c r="N87" s="246" t="s">
        <v>9483</v>
      </c>
      <c r="O87" s="246" t="s">
        <v>6078</v>
      </c>
      <c r="P87" s="307" t="s">
        <v>8704</v>
      </c>
      <c r="Q87" s="307" t="s">
        <v>8694</v>
      </c>
      <c r="R87" s="246" t="s">
        <v>6079</v>
      </c>
      <c r="S87" s="246" t="s">
        <v>5422</v>
      </c>
      <c r="T87" s="246"/>
      <c r="U87" s="307" t="s">
        <v>5657</v>
      </c>
      <c r="V87" s="246" t="s">
        <v>9484</v>
      </c>
      <c r="W87" s="307" t="s">
        <v>9485</v>
      </c>
      <c r="X87" s="246" t="s">
        <v>9486</v>
      </c>
      <c r="Y87" s="246" t="s">
        <v>5772</v>
      </c>
      <c r="Z87" s="246" t="s">
        <v>5442</v>
      </c>
      <c r="AA87" s="246" t="s">
        <v>9487</v>
      </c>
      <c r="AB87" s="307" t="s">
        <v>9488</v>
      </c>
      <c r="AC87" s="246" t="s">
        <v>9489</v>
      </c>
      <c r="AD87" s="246" t="s">
        <v>5904</v>
      </c>
      <c r="AE87" s="246" t="s">
        <v>9402</v>
      </c>
      <c r="AF87" s="246" t="s">
        <v>6086</v>
      </c>
      <c r="AG87" s="246"/>
      <c r="AH87" s="246">
        <v>2</v>
      </c>
      <c r="AI87" s="254" t="s">
        <v>9490</v>
      </c>
    </row>
    <row r="88" spans="1:35" x14ac:dyDescent="0.3">
      <c r="A88" s="242">
        <v>86</v>
      </c>
      <c r="B88" s="255" t="s">
        <v>6470</v>
      </c>
      <c r="C88" s="242" t="s">
        <v>1616</v>
      </c>
      <c r="D88" s="246" t="s">
        <v>8353</v>
      </c>
      <c r="E88" s="252" t="s">
        <v>9491</v>
      </c>
      <c r="F88" s="246" t="s">
        <v>2377</v>
      </c>
      <c r="G88" s="351">
        <v>41226</v>
      </c>
      <c r="H88" s="350" t="s">
        <v>52</v>
      </c>
      <c r="I88" s="259" t="s">
        <v>5396</v>
      </c>
      <c r="J88" s="307" t="s">
        <v>9492</v>
      </c>
      <c r="K88" s="307" t="s">
        <v>9493</v>
      </c>
      <c r="L88" s="246" t="s">
        <v>9494</v>
      </c>
      <c r="M88" s="246"/>
      <c r="N88" s="246" t="s">
        <v>9495</v>
      </c>
      <c r="O88" s="246" t="s">
        <v>6078</v>
      </c>
      <c r="P88" s="307" t="s">
        <v>8704</v>
      </c>
      <c r="Q88" s="307" t="s">
        <v>9496</v>
      </c>
      <c r="R88" s="246" t="s">
        <v>6079</v>
      </c>
      <c r="S88" s="246" t="s">
        <v>5422</v>
      </c>
      <c r="T88" s="246"/>
      <c r="U88" s="307" t="s">
        <v>5657</v>
      </c>
      <c r="V88" s="246" t="s">
        <v>9497</v>
      </c>
      <c r="W88" s="307" t="s">
        <v>9498</v>
      </c>
      <c r="X88" s="246" t="s">
        <v>9499</v>
      </c>
      <c r="Y88" s="246" t="s">
        <v>5785</v>
      </c>
      <c r="Z88" s="246" t="s">
        <v>5442</v>
      </c>
      <c r="AA88" s="246" t="s">
        <v>9500</v>
      </c>
      <c r="AB88" s="307" t="s">
        <v>9501</v>
      </c>
      <c r="AC88" s="246" t="s">
        <v>9502</v>
      </c>
      <c r="AD88" s="246" t="s">
        <v>5785</v>
      </c>
      <c r="AE88" s="246" t="s">
        <v>9402</v>
      </c>
      <c r="AF88" s="246" t="s">
        <v>6086</v>
      </c>
      <c r="AG88" s="246"/>
      <c r="AH88" s="246">
        <v>2</v>
      </c>
      <c r="AI88" s="254" t="s">
        <v>9503</v>
      </c>
    </row>
    <row r="89" spans="1:35" x14ac:dyDescent="0.3">
      <c r="A89" s="242">
        <v>87</v>
      </c>
      <c r="B89" s="255" t="s">
        <v>6484</v>
      </c>
      <c r="C89" s="242" t="s">
        <v>13</v>
      </c>
      <c r="D89" s="246" t="s">
        <v>8224</v>
      </c>
      <c r="E89" s="252" t="s">
        <v>9504</v>
      </c>
      <c r="F89" s="246" t="s">
        <v>2377</v>
      </c>
      <c r="G89" s="351">
        <v>40991</v>
      </c>
      <c r="H89" s="350" t="s">
        <v>53</v>
      </c>
      <c r="I89" s="259" t="s">
        <v>5396</v>
      </c>
      <c r="J89" s="307" t="s">
        <v>9505</v>
      </c>
      <c r="K89" s="307" t="s">
        <v>9506</v>
      </c>
      <c r="L89" s="246" t="s">
        <v>9507</v>
      </c>
      <c r="M89" s="246"/>
      <c r="N89" s="246" t="s">
        <v>9508</v>
      </c>
      <c r="O89" s="246" t="s">
        <v>6078</v>
      </c>
      <c r="P89" s="307" t="s">
        <v>8768</v>
      </c>
      <c r="Q89" s="307" t="s">
        <v>8694</v>
      </c>
      <c r="R89" s="246" t="s">
        <v>6079</v>
      </c>
      <c r="S89" s="246" t="s">
        <v>5422</v>
      </c>
      <c r="T89" s="246"/>
      <c r="U89" s="307" t="s">
        <v>5657</v>
      </c>
      <c r="V89" s="246" t="s">
        <v>9509</v>
      </c>
      <c r="W89" s="307" t="s">
        <v>9510</v>
      </c>
      <c r="X89" s="246" t="s">
        <v>9511</v>
      </c>
      <c r="Y89" s="246" t="s">
        <v>5772</v>
      </c>
      <c r="Z89" s="246" t="s">
        <v>5442</v>
      </c>
      <c r="AA89" s="246" t="s">
        <v>9512</v>
      </c>
      <c r="AB89" s="307" t="s">
        <v>9513</v>
      </c>
      <c r="AC89" s="246" t="s">
        <v>9514</v>
      </c>
      <c r="AD89" s="246" t="s">
        <v>5904</v>
      </c>
      <c r="AE89" s="246" t="s">
        <v>9402</v>
      </c>
      <c r="AF89" s="246" t="s">
        <v>6086</v>
      </c>
      <c r="AG89" s="246"/>
      <c r="AH89" s="246">
        <v>2</v>
      </c>
      <c r="AI89" s="254" t="s">
        <v>9515</v>
      </c>
    </row>
    <row r="90" spans="1:35" x14ac:dyDescent="0.3">
      <c r="A90" s="242">
        <v>88</v>
      </c>
      <c r="B90" s="255" t="s">
        <v>6497</v>
      </c>
      <c r="C90" s="256" t="s">
        <v>1613</v>
      </c>
      <c r="D90" s="246" t="s">
        <v>8246</v>
      </c>
      <c r="E90" s="252" t="s">
        <v>9516</v>
      </c>
      <c r="F90" s="246" t="s">
        <v>2377</v>
      </c>
      <c r="G90" s="351">
        <v>41214</v>
      </c>
      <c r="H90" s="350" t="s">
        <v>53</v>
      </c>
      <c r="I90" s="259" t="s">
        <v>5396</v>
      </c>
      <c r="J90" s="307" t="s">
        <v>9517</v>
      </c>
      <c r="K90" s="307" t="s">
        <v>9518</v>
      </c>
      <c r="L90" s="246" t="s">
        <v>9519</v>
      </c>
      <c r="M90" s="308"/>
      <c r="N90" s="246" t="s">
        <v>9520</v>
      </c>
      <c r="O90" s="246" t="s">
        <v>6078</v>
      </c>
      <c r="P90" s="307" t="s">
        <v>8704</v>
      </c>
      <c r="Q90" s="307" t="s">
        <v>8694</v>
      </c>
      <c r="R90" s="246" t="s">
        <v>6079</v>
      </c>
      <c r="S90" s="246" t="s">
        <v>5422</v>
      </c>
      <c r="T90" s="246"/>
      <c r="U90" s="307" t="s">
        <v>5657</v>
      </c>
      <c r="V90" s="307" t="s">
        <v>9521</v>
      </c>
      <c r="W90" s="307" t="s">
        <v>9522</v>
      </c>
      <c r="X90" s="246" t="s">
        <v>9523</v>
      </c>
      <c r="Y90" s="246" t="s">
        <v>5772</v>
      </c>
      <c r="Z90" s="246" t="s">
        <v>5442</v>
      </c>
      <c r="AA90" s="246" t="s">
        <v>6010</v>
      </c>
      <c r="AB90" s="307" t="s">
        <v>9524</v>
      </c>
      <c r="AC90" s="246" t="s">
        <v>9525</v>
      </c>
      <c r="AD90" s="246" t="s">
        <v>5772</v>
      </c>
      <c r="AE90" s="246" t="s">
        <v>9402</v>
      </c>
      <c r="AF90" s="246" t="s">
        <v>6086</v>
      </c>
      <c r="AG90" s="246"/>
      <c r="AH90" s="246">
        <v>2</v>
      </c>
      <c r="AI90" s="254" t="s">
        <v>9526</v>
      </c>
    </row>
    <row r="91" spans="1:35" x14ac:dyDescent="0.3">
      <c r="A91" s="242">
        <v>89</v>
      </c>
      <c r="B91" s="255" t="s">
        <v>6511</v>
      </c>
      <c r="C91" s="256" t="s">
        <v>1617</v>
      </c>
      <c r="D91" s="447" t="s">
        <v>8404</v>
      </c>
      <c r="E91" s="448">
        <v>3123054547</v>
      </c>
      <c r="F91" s="246" t="s">
        <v>2377</v>
      </c>
      <c r="G91" s="449">
        <v>41253</v>
      </c>
      <c r="H91" s="450" t="s">
        <v>52</v>
      </c>
      <c r="I91" s="259" t="s">
        <v>5396</v>
      </c>
      <c r="J91" s="451" t="s">
        <v>9527</v>
      </c>
      <c r="K91" s="452" t="s">
        <v>9528</v>
      </c>
      <c r="L91" s="447" t="s">
        <v>9529</v>
      </c>
      <c r="M91" s="246"/>
      <c r="N91" s="246"/>
      <c r="O91" s="447" t="s">
        <v>6078</v>
      </c>
      <c r="P91" s="451" t="s">
        <v>5432</v>
      </c>
      <c r="Q91" s="451" t="s">
        <v>5520</v>
      </c>
      <c r="R91" s="447" t="s">
        <v>6079</v>
      </c>
      <c r="S91" s="447" t="s">
        <v>5422</v>
      </c>
      <c r="T91" s="447"/>
      <c r="U91" s="447">
        <v>40562</v>
      </c>
      <c r="V91" s="447" t="s">
        <v>9530</v>
      </c>
      <c r="W91" s="451" t="s">
        <v>9531</v>
      </c>
      <c r="X91" s="447" t="s">
        <v>9532</v>
      </c>
      <c r="Y91" s="246" t="s">
        <v>5772</v>
      </c>
      <c r="Z91" s="246" t="s">
        <v>5442</v>
      </c>
      <c r="AA91" s="447" t="s">
        <v>9533</v>
      </c>
      <c r="AB91" s="451" t="s">
        <v>9534</v>
      </c>
      <c r="AC91" s="451" t="s">
        <v>9535</v>
      </c>
      <c r="AD91" s="246" t="s">
        <v>5772</v>
      </c>
      <c r="AE91" s="246" t="s">
        <v>5412</v>
      </c>
      <c r="AF91" s="447" t="s">
        <v>6086</v>
      </c>
      <c r="AG91" s="447"/>
      <c r="AH91" s="447">
        <v>2</v>
      </c>
      <c r="AI91" s="453"/>
    </row>
    <row r="92" spans="1:35" x14ac:dyDescent="0.3">
      <c r="A92" s="242">
        <v>90</v>
      </c>
      <c r="B92" s="255" t="s">
        <v>6518</v>
      </c>
      <c r="C92" s="256" t="s">
        <v>1613</v>
      </c>
      <c r="D92" s="246" t="s">
        <v>8247</v>
      </c>
      <c r="E92" s="252">
        <v>3129575134</v>
      </c>
      <c r="F92" s="246" t="s">
        <v>2377</v>
      </c>
      <c r="G92" s="349">
        <v>41187</v>
      </c>
      <c r="H92" s="350" t="s">
        <v>53</v>
      </c>
      <c r="I92" s="259" t="s">
        <v>5396</v>
      </c>
      <c r="J92" s="307" t="s">
        <v>9536</v>
      </c>
      <c r="K92" s="307" t="s">
        <v>9537</v>
      </c>
      <c r="L92" s="246" t="s">
        <v>9538</v>
      </c>
      <c r="M92" s="246"/>
      <c r="N92" s="246"/>
      <c r="O92" s="246" t="s">
        <v>6078</v>
      </c>
      <c r="P92" s="307" t="s">
        <v>5448</v>
      </c>
      <c r="Q92" s="307" t="s">
        <v>5401</v>
      </c>
      <c r="R92" s="447" t="s">
        <v>6079</v>
      </c>
      <c r="S92" s="447" t="s">
        <v>5422</v>
      </c>
      <c r="T92" s="246"/>
      <c r="U92" s="447">
        <v>40562</v>
      </c>
      <c r="V92" s="246" t="s">
        <v>9539</v>
      </c>
      <c r="W92" s="307" t="s">
        <v>9540</v>
      </c>
      <c r="X92" s="246" t="s">
        <v>9541</v>
      </c>
      <c r="Y92" s="246" t="s">
        <v>5904</v>
      </c>
      <c r="Z92" s="246" t="s">
        <v>5442</v>
      </c>
      <c r="AA92" s="246" t="s">
        <v>9542</v>
      </c>
      <c r="AB92" s="307" t="s">
        <v>9543</v>
      </c>
      <c r="AC92" s="246" t="s">
        <v>9544</v>
      </c>
      <c r="AD92" s="246" t="s">
        <v>5904</v>
      </c>
      <c r="AE92" s="246" t="s">
        <v>5412</v>
      </c>
      <c r="AF92" s="447" t="s">
        <v>6086</v>
      </c>
      <c r="AG92" s="246"/>
      <c r="AH92" s="246">
        <v>2</v>
      </c>
      <c r="AI92" s="254"/>
    </row>
    <row r="93" spans="1:35" x14ac:dyDescent="0.3">
      <c r="A93" s="242">
        <v>91</v>
      </c>
      <c r="B93" s="255" t="s">
        <v>6530</v>
      </c>
      <c r="C93" s="256" t="s">
        <v>1617</v>
      </c>
      <c r="D93" s="246" t="s">
        <v>8405</v>
      </c>
      <c r="E93" s="252">
        <v>3124405002</v>
      </c>
      <c r="F93" s="246" t="s">
        <v>2377</v>
      </c>
      <c r="G93" s="351">
        <v>41031</v>
      </c>
      <c r="H93" s="350" t="s">
        <v>52</v>
      </c>
      <c r="I93" s="259" t="s">
        <v>5396</v>
      </c>
      <c r="J93" s="307" t="s">
        <v>9545</v>
      </c>
      <c r="K93" s="307" t="s">
        <v>9546</v>
      </c>
      <c r="L93" s="246" t="s">
        <v>9547</v>
      </c>
      <c r="M93" s="246"/>
      <c r="N93" s="246"/>
      <c r="O93" s="246" t="s">
        <v>6078</v>
      </c>
      <c r="P93" s="307" t="s">
        <v>5461</v>
      </c>
      <c r="Q93" s="307" t="s">
        <v>5401</v>
      </c>
      <c r="R93" s="447" t="s">
        <v>6079</v>
      </c>
      <c r="S93" s="246" t="s">
        <v>5422</v>
      </c>
      <c r="T93" s="246"/>
      <c r="U93" s="447">
        <v>40562</v>
      </c>
      <c r="V93" s="246" t="s">
        <v>6007</v>
      </c>
      <c r="W93" s="307" t="s">
        <v>9548</v>
      </c>
      <c r="X93" s="246" t="s">
        <v>9549</v>
      </c>
      <c r="Y93" s="246" t="s">
        <v>5904</v>
      </c>
      <c r="Z93" s="246" t="s">
        <v>5442</v>
      </c>
      <c r="AA93" s="246" t="s">
        <v>9550</v>
      </c>
      <c r="AB93" s="307" t="s">
        <v>9551</v>
      </c>
      <c r="AC93" s="246" t="s">
        <v>9552</v>
      </c>
      <c r="AD93" s="246" t="s">
        <v>5904</v>
      </c>
      <c r="AE93" s="246" t="s">
        <v>5412</v>
      </c>
      <c r="AF93" s="246" t="s">
        <v>6086</v>
      </c>
      <c r="AG93" s="307" t="s">
        <v>9553</v>
      </c>
      <c r="AH93" s="246">
        <v>1</v>
      </c>
      <c r="AI93" s="254"/>
    </row>
    <row r="94" spans="1:35" x14ac:dyDescent="0.3">
      <c r="A94" s="242">
        <v>92</v>
      </c>
      <c r="B94" s="255" t="s">
        <v>6543</v>
      </c>
      <c r="C94" s="256" t="s">
        <v>1614</v>
      </c>
      <c r="D94" s="246" t="s">
        <v>8280</v>
      </c>
      <c r="E94" s="454">
        <v>3124200335</v>
      </c>
      <c r="F94" s="246" t="s">
        <v>2377</v>
      </c>
      <c r="G94" s="349">
        <v>41049</v>
      </c>
      <c r="H94" s="350" t="s">
        <v>53</v>
      </c>
      <c r="I94" s="259" t="s">
        <v>5396</v>
      </c>
      <c r="J94" s="307" t="s">
        <v>9554</v>
      </c>
      <c r="K94" s="307" t="s">
        <v>9555</v>
      </c>
      <c r="L94" s="246" t="s">
        <v>9556</v>
      </c>
      <c r="M94" s="246"/>
      <c r="N94" s="246"/>
      <c r="O94" s="246" t="s">
        <v>6078</v>
      </c>
      <c r="P94" s="307" t="s">
        <v>5432</v>
      </c>
      <c r="Q94" s="307" t="s">
        <v>5542</v>
      </c>
      <c r="R94" s="447" t="s">
        <v>6079</v>
      </c>
      <c r="S94" s="246" t="s">
        <v>5422</v>
      </c>
      <c r="T94" s="246"/>
      <c r="U94" s="447">
        <v>40562</v>
      </c>
      <c r="V94" s="246" t="s">
        <v>9557</v>
      </c>
      <c r="W94" s="307" t="s">
        <v>9558</v>
      </c>
      <c r="X94" s="246" t="s">
        <v>9559</v>
      </c>
      <c r="Y94" s="246" t="s">
        <v>5772</v>
      </c>
      <c r="Z94" s="246" t="s">
        <v>5442</v>
      </c>
      <c r="AA94" s="307" t="s">
        <v>9560</v>
      </c>
      <c r="AB94" s="304" t="s">
        <v>9561</v>
      </c>
      <c r="AC94" s="246" t="s">
        <v>9562</v>
      </c>
      <c r="AD94" s="246" t="s">
        <v>5772</v>
      </c>
      <c r="AE94" s="246" t="s">
        <v>5412</v>
      </c>
      <c r="AF94" s="246" t="s">
        <v>6086</v>
      </c>
      <c r="AG94" s="246"/>
      <c r="AH94" s="246">
        <v>2</v>
      </c>
      <c r="AI94" s="254"/>
    </row>
    <row r="95" spans="1:35" x14ac:dyDescent="0.3">
      <c r="A95" s="242">
        <v>93</v>
      </c>
      <c r="B95" s="255" t="s">
        <v>6557</v>
      </c>
      <c r="C95" s="242" t="s">
        <v>1614</v>
      </c>
      <c r="D95" s="246" t="s">
        <v>8281</v>
      </c>
      <c r="E95" s="252">
        <v>3128181790</v>
      </c>
      <c r="F95" s="246" t="s">
        <v>2377</v>
      </c>
      <c r="G95" s="349">
        <v>41074</v>
      </c>
      <c r="H95" s="350" t="s">
        <v>53</v>
      </c>
      <c r="I95" s="259" t="s">
        <v>5396</v>
      </c>
      <c r="J95" s="307" t="s">
        <v>9563</v>
      </c>
      <c r="K95" s="307" t="s">
        <v>9564</v>
      </c>
      <c r="L95" s="246" t="s">
        <v>9565</v>
      </c>
      <c r="M95" s="246"/>
      <c r="N95" s="246"/>
      <c r="O95" s="246" t="s">
        <v>6078</v>
      </c>
      <c r="P95" s="307" t="s">
        <v>9566</v>
      </c>
      <c r="Q95" s="307" t="s">
        <v>5542</v>
      </c>
      <c r="R95" s="246" t="s">
        <v>6079</v>
      </c>
      <c r="S95" s="246" t="s">
        <v>5422</v>
      </c>
      <c r="T95" s="246"/>
      <c r="U95" s="447">
        <v>40562</v>
      </c>
      <c r="V95" s="246" t="s">
        <v>9567</v>
      </c>
      <c r="W95" s="307" t="s">
        <v>9568</v>
      </c>
      <c r="X95" s="246" t="s">
        <v>7578</v>
      </c>
      <c r="Y95" s="246" t="s">
        <v>5772</v>
      </c>
      <c r="Z95" s="246" t="s">
        <v>5442</v>
      </c>
      <c r="AA95" s="246" t="s">
        <v>9569</v>
      </c>
      <c r="AB95" s="307" t="s">
        <v>9570</v>
      </c>
      <c r="AC95" s="246" t="s">
        <v>9571</v>
      </c>
      <c r="AD95" s="246" t="s">
        <v>5772</v>
      </c>
      <c r="AE95" s="246" t="s">
        <v>5412</v>
      </c>
      <c r="AF95" s="246" t="s">
        <v>6086</v>
      </c>
      <c r="AG95" s="307" t="s">
        <v>9572</v>
      </c>
      <c r="AH95" s="246">
        <v>2</v>
      </c>
      <c r="AI95" s="254"/>
    </row>
    <row r="96" spans="1:35" x14ac:dyDescent="0.3">
      <c r="A96" s="455">
        <v>94</v>
      </c>
      <c r="B96" s="255" t="s">
        <v>6561</v>
      </c>
      <c r="C96" s="256" t="s">
        <v>1615</v>
      </c>
      <c r="D96" s="447" t="s">
        <v>8315</v>
      </c>
      <c r="E96" s="448">
        <v>3124341953</v>
      </c>
      <c r="F96" s="246" t="s">
        <v>2377</v>
      </c>
      <c r="G96" s="449">
        <v>41090</v>
      </c>
      <c r="H96" s="450" t="s">
        <v>53</v>
      </c>
      <c r="I96" s="259" t="s">
        <v>5396</v>
      </c>
      <c r="J96" s="451" t="s">
        <v>9573</v>
      </c>
      <c r="K96" s="451" t="s">
        <v>9574</v>
      </c>
      <c r="L96" s="447" t="s">
        <v>9575</v>
      </c>
      <c r="M96" s="447"/>
      <c r="N96" s="447"/>
      <c r="O96" s="447" t="s">
        <v>6078</v>
      </c>
      <c r="P96" s="451" t="s">
        <v>5415</v>
      </c>
      <c r="Q96" s="451" t="s">
        <v>5401</v>
      </c>
      <c r="R96" s="246" t="s">
        <v>6079</v>
      </c>
      <c r="S96" s="246" t="s">
        <v>5422</v>
      </c>
      <c r="T96" s="447"/>
      <c r="U96" s="447">
        <v>40562</v>
      </c>
      <c r="V96" s="447" t="s">
        <v>9576</v>
      </c>
      <c r="W96" s="451" t="s">
        <v>9577</v>
      </c>
      <c r="X96" s="447" t="s">
        <v>9578</v>
      </c>
      <c r="Y96" s="246" t="s">
        <v>5904</v>
      </c>
      <c r="Z96" s="246" t="s">
        <v>5442</v>
      </c>
      <c r="AA96" s="447" t="s">
        <v>9579</v>
      </c>
      <c r="AB96" s="451" t="s">
        <v>9580</v>
      </c>
      <c r="AC96" s="447" t="s">
        <v>9581</v>
      </c>
      <c r="AD96" s="246" t="s">
        <v>5904</v>
      </c>
      <c r="AE96" s="246" t="s">
        <v>5412</v>
      </c>
      <c r="AF96" s="246" t="s">
        <v>6086</v>
      </c>
      <c r="AG96" s="451" t="s">
        <v>9582</v>
      </c>
      <c r="AH96" s="447">
        <v>3</v>
      </c>
      <c r="AI96" s="453"/>
    </row>
    <row r="97" spans="1:35" x14ac:dyDescent="0.3">
      <c r="A97" s="455">
        <v>95</v>
      </c>
      <c r="B97" s="255" t="s">
        <v>6574</v>
      </c>
      <c r="C97" s="455" t="s">
        <v>1615</v>
      </c>
      <c r="D97" s="447" t="s">
        <v>8316</v>
      </c>
      <c r="E97" s="448">
        <v>3125898723</v>
      </c>
      <c r="F97" s="246" t="s">
        <v>2377</v>
      </c>
      <c r="G97" s="449">
        <v>40964</v>
      </c>
      <c r="H97" s="450" t="s">
        <v>53</v>
      </c>
      <c r="I97" s="259" t="s">
        <v>5396</v>
      </c>
      <c r="J97" s="451" t="s">
        <v>9583</v>
      </c>
      <c r="K97" s="451" t="s">
        <v>9584</v>
      </c>
      <c r="L97" s="447" t="s">
        <v>9585</v>
      </c>
      <c r="M97" s="456"/>
      <c r="N97" s="246"/>
      <c r="O97" s="447" t="s">
        <v>6078</v>
      </c>
      <c r="P97" s="451" t="s">
        <v>5448</v>
      </c>
      <c r="Q97" s="451" t="s">
        <v>5401</v>
      </c>
      <c r="R97" s="246" t="s">
        <v>6079</v>
      </c>
      <c r="S97" s="246" t="s">
        <v>5422</v>
      </c>
      <c r="T97" s="447"/>
      <c r="U97" s="447">
        <v>40562</v>
      </c>
      <c r="V97" s="447" t="s">
        <v>9586</v>
      </c>
      <c r="W97" s="451" t="s">
        <v>9587</v>
      </c>
      <c r="X97" s="447" t="s">
        <v>9588</v>
      </c>
      <c r="Y97" s="246" t="s">
        <v>5904</v>
      </c>
      <c r="Z97" s="246" t="s">
        <v>5442</v>
      </c>
      <c r="AA97" s="447" t="s">
        <v>9589</v>
      </c>
      <c r="AB97" s="451" t="s">
        <v>9590</v>
      </c>
      <c r="AC97" s="447" t="s">
        <v>9591</v>
      </c>
      <c r="AD97" s="447" t="s">
        <v>5772</v>
      </c>
      <c r="AE97" s="447" t="s">
        <v>5412</v>
      </c>
      <c r="AF97" s="246" t="s">
        <v>6086</v>
      </c>
      <c r="AG97" s="447"/>
      <c r="AH97" s="447">
        <v>1</v>
      </c>
      <c r="AI97" s="453"/>
    </row>
    <row r="98" spans="1:35" x14ac:dyDescent="0.3">
      <c r="A98" s="455">
        <v>96</v>
      </c>
      <c r="B98" s="255" t="s">
        <v>6586</v>
      </c>
      <c r="C98" s="455" t="s">
        <v>1615</v>
      </c>
      <c r="D98" s="447" t="s">
        <v>8317</v>
      </c>
      <c r="E98" s="448" t="s">
        <v>9592</v>
      </c>
      <c r="F98" s="447" t="s">
        <v>9593</v>
      </c>
      <c r="G98" s="449">
        <v>41246</v>
      </c>
      <c r="H98" s="450" t="s">
        <v>53</v>
      </c>
      <c r="I98" s="259" t="s">
        <v>5396</v>
      </c>
      <c r="J98" s="451" t="s">
        <v>9594</v>
      </c>
      <c r="K98" s="451" t="s">
        <v>9595</v>
      </c>
      <c r="L98" s="447" t="s">
        <v>9596</v>
      </c>
      <c r="M98" s="447"/>
      <c r="N98" s="246"/>
      <c r="O98" s="447" t="s">
        <v>6078</v>
      </c>
      <c r="P98" s="451" t="s">
        <v>5432</v>
      </c>
      <c r="Q98" s="451" t="s">
        <v>5157</v>
      </c>
      <c r="R98" s="447" t="s">
        <v>6079</v>
      </c>
      <c r="S98" s="447" t="s">
        <v>5422</v>
      </c>
      <c r="T98" s="447"/>
      <c r="U98" s="246">
        <v>40562</v>
      </c>
      <c r="V98" s="447" t="s">
        <v>9597</v>
      </c>
      <c r="W98" s="451" t="s">
        <v>9598</v>
      </c>
      <c r="X98" s="447" t="s">
        <v>9599</v>
      </c>
      <c r="Y98" s="447" t="s">
        <v>5785</v>
      </c>
      <c r="Z98" s="447" t="s">
        <v>5442</v>
      </c>
      <c r="AA98" s="447" t="s">
        <v>9600</v>
      </c>
      <c r="AB98" s="451"/>
      <c r="AC98" s="447"/>
      <c r="AD98" s="447"/>
      <c r="AE98" s="447" t="s">
        <v>5412</v>
      </c>
      <c r="AF98" s="447" t="s">
        <v>9601</v>
      </c>
      <c r="AG98" s="451"/>
      <c r="AH98" s="447">
        <v>1</v>
      </c>
      <c r="AI98" s="453"/>
    </row>
    <row r="99" spans="1:35" x14ac:dyDescent="0.3">
      <c r="A99" s="288">
        <v>97</v>
      </c>
      <c r="B99" s="188" t="s">
        <v>6600</v>
      </c>
      <c r="C99" s="189" t="s">
        <v>1613</v>
      </c>
      <c r="D99" s="289" t="s">
        <v>8248</v>
      </c>
      <c r="E99" s="292" t="s">
        <v>9602</v>
      </c>
      <c r="F99" s="289" t="s">
        <v>2377</v>
      </c>
      <c r="G99" s="331">
        <v>41132</v>
      </c>
      <c r="H99" s="332" t="s">
        <v>53</v>
      </c>
      <c r="I99" s="193" t="s">
        <v>5396</v>
      </c>
      <c r="J99" s="330" t="s">
        <v>9603</v>
      </c>
      <c r="K99" s="330" t="s">
        <v>9604</v>
      </c>
      <c r="L99" s="289" t="s">
        <v>9605</v>
      </c>
      <c r="M99" s="289"/>
      <c r="N99" s="101"/>
      <c r="O99" s="289" t="s">
        <v>9606</v>
      </c>
      <c r="P99" s="330" t="s">
        <v>5157</v>
      </c>
      <c r="Q99" s="330" t="s">
        <v>5461</v>
      </c>
      <c r="R99" s="289" t="s">
        <v>9606</v>
      </c>
      <c r="S99" s="289" t="s">
        <v>9607</v>
      </c>
      <c r="T99" s="289"/>
      <c r="U99" s="101">
        <v>40767</v>
      </c>
      <c r="V99" s="289" t="s">
        <v>9608</v>
      </c>
      <c r="W99" s="330" t="s">
        <v>9609</v>
      </c>
      <c r="X99" s="289" t="s">
        <v>9610</v>
      </c>
      <c r="Y99" s="289" t="s">
        <v>5772</v>
      </c>
      <c r="Z99" s="289" t="s">
        <v>5442</v>
      </c>
      <c r="AA99" s="289" t="s">
        <v>1913</v>
      </c>
      <c r="AB99" s="330" t="s">
        <v>9611</v>
      </c>
      <c r="AC99" s="289" t="s">
        <v>9612</v>
      </c>
      <c r="AD99" s="289" t="s">
        <v>5772</v>
      </c>
      <c r="AE99" s="289" t="s">
        <v>5412</v>
      </c>
      <c r="AF99" s="289" t="s">
        <v>9613</v>
      </c>
      <c r="AG99" s="330"/>
      <c r="AH99" s="330">
        <v>1</v>
      </c>
      <c r="AI99" s="294"/>
    </row>
    <row r="100" spans="1:35" x14ac:dyDescent="0.3">
      <c r="A100" s="455">
        <v>98</v>
      </c>
      <c r="B100" s="255" t="s">
        <v>6612</v>
      </c>
      <c r="C100" s="256" t="s">
        <v>1613</v>
      </c>
      <c r="D100" s="447" t="s">
        <v>8249</v>
      </c>
      <c r="E100" s="448">
        <v>3137810451</v>
      </c>
      <c r="F100" s="447" t="s">
        <v>2377</v>
      </c>
      <c r="G100" s="457">
        <v>41301</v>
      </c>
      <c r="H100" s="450" t="s">
        <v>53</v>
      </c>
      <c r="I100" s="259" t="s">
        <v>5396</v>
      </c>
      <c r="J100" s="451" t="s">
        <v>9614</v>
      </c>
      <c r="K100" s="458" t="s">
        <v>9615</v>
      </c>
      <c r="L100" s="447" t="s">
        <v>9616</v>
      </c>
      <c r="M100" s="459"/>
      <c r="N100" s="246"/>
      <c r="O100" s="447" t="s">
        <v>9059</v>
      </c>
      <c r="P100" s="451" t="s">
        <v>5432</v>
      </c>
      <c r="Q100" s="451" t="s">
        <v>5415</v>
      </c>
      <c r="R100" s="447" t="s">
        <v>2485</v>
      </c>
      <c r="S100" s="447" t="s">
        <v>5422</v>
      </c>
      <c r="T100" s="447"/>
      <c r="U100" s="246">
        <v>40562</v>
      </c>
      <c r="V100" s="447" t="s">
        <v>9617</v>
      </c>
      <c r="W100" s="451" t="s">
        <v>9618</v>
      </c>
      <c r="X100" s="447" t="s">
        <v>5941</v>
      </c>
      <c r="Y100" s="447" t="s">
        <v>5772</v>
      </c>
      <c r="Z100" s="447" t="s">
        <v>5442</v>
      </c>
      <c r="AA100" s="447" t="s">
        <v>9619</v>
      </c>
      <c r="AB100" s="451" t="s">
        <v>9620</v>
      </c>
      <c r="AC100" s="447" t="s">
        <v>9621</v>
      </c>
      <c r="AD100" s="447" t="s">
        <v>5772</v>
      </c>
      <c r="AE100" s="447" t="s">
        <v>5412</v>
      </c>
      <c r="AF100" s="447" t="s">
        <v>9622</v>
      </c>
      <c r="AG100" s="447"/>
      <c r="AH100" s="447">
        <v>1</v>
      </c>
      <c r="AI100" s="453"/>
    </row>
    <row r="101" spans="1:35" x14ac:dyDescent="0.3">
      <c r="A101" s="288">
        <v>99</v>
      </c>
      <c r="B101" s="188" t="s">
        <v>6621</v>
      </c>
      <c r="C101" s="189" t="s">
        <v>1613</v>
      </c>
      <c r="D101" s="289" t="s">
        <v>8250</v>
      </c>
      <c r="E101" s="292" t="s">
        <v>9623</v>
      </c>
      <c r="F101" s="289" t="s">
        <v>2352</v>
      </c>
      <c r="G101" s="331">
        <v>41292</v>
      </c>
      <c r="H101" s="332" t="s">
        <v>53</v>
      </c>
      <c r="I101" s="193" t="s">
        <v>5396</v>
      </c>
      <c r="J101" s="330" t="s">
        <v>9624</v>
      </c>
      <c r="K101" s="330" t="s">
        <v>9625</v>
      </c>
      <c r="L101" s="289" t="s">
        <v>9626</v>
      </c>
      <c r="M101" s="289"/>
      <c r="N101" s="101"/>
      <c r="O101" s="289" t="s">
        <v>3147</v>
      </c>
      <c r="P101" s="330" t="s">
        <v>5394</v>
      </c>
      <c r="Q101" s="330" t="s">
        <v>5461</v>
      </c>
      <c r="R101" s="289" t="s">
        <v>3581</v>
      </c>
      <c r="S101" s="289" t="s">
        <v>5422</v>
      </c>
      <c r="T101" s="289"/>
      <c r="U101" s="101">
        <v>40562</v>
      </c>
      <c r="V101" s="289" t="s">
        <v>9627</v>
      </c>
      <c r="W101" s="330"/>
      <c r="X101" s="289"/>
      <c r="Y101" s="289"/>
      <c r="Z101" s="289"/>
      <c r="AA101" s="289" t="s">
        <v>9628</v>
      </c>
      <c r="AB101" s="330" t="s">
        <v>9629</v>
      </c>
      <c r="AC101" s="289" t="s">
        <v>9630</v>
      </c>
      <c r="AD101" s="289" t="s">
        <v>5785</v>
      </c>
      <c r="AE101" s="289" t="s">
        <v>5412</v>
      </c>
      <c r="AF101" s="101" t="s">
        <v>6754</v>
      </c>
      <c r="AG101" s="289"/>
      <c r="AH101" s="289">
        <v>2</v>
      </c>
      <c r="AI101" s="294"/>
    </row>
    <row r="102" spans="1:35" x14ac:dyDescent="0.3">
      <c r="A102" s="106">
        <v>100</v>
      </c>
      <c r="B102" s="188" t="s">
        <v>6632</v>
      </c>
      <c r="C102" s="106" t="s">
        <v>1613</v>
      </c>
      <c r="D102" s="101" t="s">
        <v>8251</v>
      </c>
      <c r="E102" s="198">
        <v>3129396045</v>
      </c>
      <c r="F102" s="101" t="s">
        <v>2377</v>
      </c>
      <c r="G102" s="333">
        <v>41084</v>
      </c>
      <c r="H102" s="105" t="s">
        <v>52</v>
      </c>
      <c r="I102" s="193" t="s">
        <v>5396</v>
      </c>
      <c r="J102" s="107" t="s">
        <v>9631</v>
      </c>
      <c r="K102" s="107" t="s">
        <v>9632</v>
      </c>
      <c r="L102" s="101" t="s">
        <v>9633</v>
      </c>
      <c r="M102" s="101"/>
      <c r="N102" s="101"/>
      <c r="O102" s="101" t="s">
        <v>6020</v>
      </c>
      <c r="P102" s="107" t="s">
        <v>5415</v>
      </c>
      <c r="Q102" s="107" t="s">
        <v>5514</v>
      </c>
      <c r="R102" s="101" t="s">
        <v>3581</v>
      </c>
      <c r="S102" s="101" t="s">
        <v>5422</v>
      </c>
      <c r="T102" s="101"/>
      <c r="U102" s="101">
        <v>40562</v>
      </c>
      <c r="V102" s="101" t="s">
        <v>2501</v>
      </c>
      <c r="W102" s="107" t="s">
        <v>9634</v>
      </c>
      <c r="X102" s="101" t="s">
        <v>9635</v>
      </c>
      <c r="Y102" s="101" t="s">
        <v>5785</v>
      </c>
      <c r="Z102" s="101" t="s">
        <v>5442</v>
      </c>
      <c r="AA102" s="107" t="s">
        <v>9636</v>
      </c>
      <c r="AB102" s="329" t="s">
        <v>9637</v>
      </c>
      <c r="AC102" s="101" t="s">
        <v>9638</v>
      </c>
      <c r="AD102" s="101" t="s">
        <v>5772</v>
      </c>
      <c r="AE102" s="101" t="s">
        <v>5412</v>
      </c>
      <c r="AF102" s="101" t="s">
        <v>6754</v>
      </c>
      <c r="AG102" s="101"/>
      <c r="AH102" s="101">
        <v>1</v>
      </c>
      <c r="AI102" s="200"/>
    </row>
    <row r="103" spans="1:35" x14ac:dyDescent="0.3">
      <c r="A103" s="106">
        <v>101</v>
      </c>
      <c r="B103" s="188" t="s">
        <v>6645</v>
      </c>
      <c r="C103" s="106" t="s">
        <v>1613</v>
      </c>
      <c r="D103" s="101" t="s">
        <v>8252</v>
      </c>
      <c r="E103" s="198" t="s">
        <v>9639</v>
      </c>
      <c r="F103" s="101" t="s">
        <v>2377</v>
      </c>
      <c r="G103" s="333">
        <v>41342</v>
      </c>
      <c r="H103" s="105" t="s">
        <v>52</v>
      </c>
      <c r="I103" s="193" t="s">
        <v>5396</v>
      </c>
      <c r="J103" s="107" t="s">
        <v>9640</v>
      </c>
      <c r="K103" s="107" t="s">
        <v>9641</v>
      </c>
      <c r="L103" s="101" t="s">
        <v>9642</v>
      </c>
      <c r="M103" s="289"/>
      <c r="N103" s="101"/>
      <c r="O103" s="101" t="s">
        <v>5626</v>
      </c>
      <c r="P103" s="107" t="s">
        <v>5461</v>
      </c>
      <c r="Q103" s="107" t="s">
        <v>5394</v>
      </c>
      <c r="R103" s="101" t="s">
        <v>3105</v>
      </c>
      <c r="S103" s="101" t="s">
        <v>5422</v>
      </c>
      <c r="T103" s="101"/>
      <c r="U103" s="101">
        <v>40553</v>
      </c>
      <c r="V103" s="101" t="s">
        <v>9643</v>
      </c>
      <c r="W103" s="107" t="s">
        <v>9644</v>
      </c>
      <c r="X103" s="101" t="s">
        <v>9645</v>
      </c>
      <c r="Y103" s="101" t="s">
        <v>5785</v>
      </c>
      <c r="Z103" s="101" t="s">
        <v>5427</v>
      </c>
      <c r="AA103" s="101" t="s">
        <v>9646</v>
      </c>
      <c r="AB103" s="338" t="s">
        <v>9647</v>
      </c>
      <c r="AC103" s="107" t="s">
        <v>9648</v>
      </c>
      <c r="AD103" s="101" t="s">
        <v>5772</v>
      </c>
      <c r="AE103" s="101" t="s">
        <v>5412</v>
      </c>
      <c r="AF103" s="101" t="s">
        <v>6754</v>
      </c>
      <c r="AG103" s="101"/>
      <c r="AH103" s="101">
        <v>2</v>
      </c>
      <c r="AI103" s="200"/>
    </row>
    <row r="104" spans="1:35" x14ac:dyDescent="0.3">
      <c r="A104" s="106">
        <v>102</v>
      </c>
      <c r="B104" s="188" t="s">
        <v>6658</v>
      </c>
      <c r="C104" s="106" t="s">
        <v>1613</v>
      </c>
      <c r="D104" s="101" t="s">
        <v>8253</v>
      </c>
      <c r="E104" s="198">
        <v>3133547910</v>
      </c>
      <c r="F104" s="101" t="s">
        <v>2377</v>
      </c>
      <c r="G104" s="333">
        <v>41405</v>
      </c>
      <c r="H104" s="105" t="s">
        <v>53</v>
      </c>
      <c r="I104" s="193" t="s">
        <v>5396</v>
      </c>
      <c r="J104" s="107" t="s">
        <v>9649</v>
      </c>
      <c r="K104" s="107" t="s">
        <v>9650</v>
      </c>
      <c r="L104" s="101" t="s">
        <v>9651</v>
      </c>
      <c r="M104" s="289"/>
      <c r="N104" s="101"/>
      <c r="O104" s="101" t="s">
        <v>6020</v>
      </c>
      <c r="P104" s="107" t="s">
        <v>5415</v>
      </c>
      <c r="Q104" s="107" t="s">
        <v>5514</v>
      </c>
      <c r="R104" s="101" t="s">
        <v>3581</v>
      </c>
      <c r="S104" s="101" t="s">
        <v>5422</v>
      </c>
      <c r="T104" s="101"/>
      <c r="U104" s="101">
        <v>40562</v>
      </c>
      <c r="V104" s="101" t="s">
        <v>9652</v>
      </c>
      <c r="W104" s="107" t="s">
        <v>9653</v>
      </c>
      <c r="X104" s="101" t="s">
        <v>9654</v>
      </c>
      <c r="Y104" s="101" t="s">
        <v>5772</v>
      </c>
      <c r="Z104" s="101" t="s">
        <v>5442</v>
      </c>
      <c r="AA104" s="101" t="s">
        <v>9655</v>
      </c>
      <c r="AB104" s="107" t="s">
        <v>9656</v>
      </c>
      <c r="AC104" s="101" t="s">
        <v>9657</v>
      </c>
      <c r="AD104" s="101" t="s">
        <v>5904</v>
      </c>
      <c r="AE104" s="101" t="s">
        <v>5412</v>
      </c>
      <c r="AF104" s="101" t="s">
        <v>6754</v>
      </c>
      <c r="AG104" s="101"/>
      <c r="AH104" s="101">
        <v>4</v>
      </c>
      <c r="AI104" s="200"/>
    </row>
    <row r="105" spans="1:35" x14ac:dyDescent="0.3">
      <c r="A105" s="106">
        <v>103</v>
      </c>
      <c r="B105" s="188" t="s">
        <v>6669</v>
      </c>
      <c r="C105" s="189" t="s">
        <v>1614</v>
      </c>
      <c r="D105" s="101" t="s">
        <v>8282</v>
      </c>
      <c r="E105" s="198">
        <v>3124654111</v>
      </c>
      <c r="F105" s="101" t="s">
        <v>2377</v>
      </c>
      <c r="G105" s="333">
        <v>41225</v>
      </c>
      <c r="H105" s="105" t="s">
        <v>53</v>
      </c>
      <c r="I105" s="193" t="s">
        <v>5396</v>
      </c>
      <c r="J105" s="107" t="s">
        <v>9658</v>
      </c>
      <c r="K105" s="107" t="s">
        <v>9659</v>
      </c>
      <c r="L105" s="101" t="s">
        <v>9660</v>
      </c>
      <c r="M105" s="289"/>
      <c r="N105" s="101"/>
      <c r="O105" s="101" t="s">
        <v>5626</v>
      </c>
      <c r="P105" s="107" t="s">
        <v>5157</v>
      </c>
      <c r="Q105" s="107" t="s">
        <v>5394</v>
      </c>
      <c r="R105" s="101" t="s">
        <v>3105</v>
      </c>
      <c r="S105" s="101" t="s">
        <v>5422</v>
      </c>
      <c r="T105" s="101"/>
      <c r="U105" s="101">
        <v>40562</v>
      </c>
      <c r="V105" s="101" t="s">
        <v>9661</v>
      </c>
      <c r="W105" s="107" t="s">
        <v>9662</v>
      </c>
      <c r="X105" s="101" t="s">
        <v>9663</v>
      </c>
      <c r="Y105" s="101" t="s">
        <v>5785</v>
      </c>
      <c r="Z105" s="101" t="s">
        <v>5442</v>
      </c>
      <c r="AA105" s="101" t="s">
        <v>9664</v>
      </c>
      <c r="AB105" s="107" t="s">
        <v>9665</v>
      </c>
      <c r="AC105" s="101" t="s">
        <v>9666</v>
      </c>
      <c r="AD105" s="101" t="s">
        <v>5785</v>
      </c>
      <c r="AE105" s="101" t="s">
        <v>5412</v>
      </c>
      <c r="AF105" s="101" t="s">
        <v>6754</v>
      </c>
      <c r="AG105" s="101"/>
      <c r="AH105" s="101">
        <v>1</v>
      </c>
      <c r="AI105" s="200"/>
    </row>
    <row r="106" spans="1:35" x14ac:dyDescent="0.3">
      <c r="A106" s="106">
        <v>104</v>
      </c>
      <c r="B106" s="188" t="s">
        <v>6682</v>
      </c>
      <c r="C106" s="106" t="s">
        <v>1614</v>
      </c>
      <c r="D106" s="101" t="s">
        <v>8283</v>
      </c>
      <c r="E106" s="198">
        <v>3135844796</v>
      </c>
      <c r="F106" s="101" t="s">
        <v>2377</v>
      </c>
      <c r="G106" s="333">
        <v>41416</v>
      </c>
      <c r="H106" s="105" t="s">
        <v>52</v>
      </c>
      <c r="I106" s="193" t="s">
        <v>5396</v>
      </c>
      <c r="J106" s="107" t="s">
        <v>9667</v>
      </c>
      <c r="K106" s="107" t="s">
        <v>9668</v>
      </c>
      <c r="L106" s="101" t="s">
        <v>9669</v>
      </c>
      <c r="M106" s="101"/>
      <c r="N106" s="101"/>
      <c r="O106" s="101" t="s">
        <v>6057</v>
      </c>
      <c r="P106" s="107" t="s">
        <v>5448</v>
      </c>
      <c r="Q106" s="107" t="s">
        <v>5448</v>
      </c>
      <c r="R106" s="101" t="s">
        <v>2845</v>
      </c>
      <c r="S106" s="101" t="s">
        <v>3961</v>
      </c>
      <c r="T106" s="101"/>
      <c r="U106" s="101">
        <v>40764</v>
      </c>
      <c r="V106" s="101" t="s">
        <v>9670</v>
      </c>
      <c r="W106" s="107" t="s">
        <v>9671</v>
      </c>
      <c r="X106" s="101" t="s">
        <v>9672</v>
      </c>
      <c r="Y106" s="101" t="s">
        <v>5785</v>
      </c>
      <c r="Z106" s="101" t="s">
        <v>5551</v>
      </c>
      <c r="AA106" s="101" t="s">
        <v>9673</v>
      </c>
      <c r="AB106" s="107" t="s">
        <v>9674</v>
      </c>
      <c r="AC106" s="101" t="s">
        <v>9675</v>
      </c>
      <c r="AD106" s="101" t="s">
        <v>5785</v>
      </c>
      <c r="AE106" s="101" t="s">
        <v>5412</v>
      </c>
      <c r="AF106" s="101" t="s">
        <v>6754</v>
      </c>
      <c r="AG106" s="101"/>
      <c r="AH106" s="101">
        <v>1</v>
      </c>
      <c r="AI106" s="200"/>
    </row>
    <row r="107" spans="1:35" x14ac:dyDescent="0.3">
      <c r="A107" s="106">
        <v>105</v>
      </c>
      <c r="B107" s="188" t="s">
        <v>6691</v>
      </c>
      <c r="C107" s="106" t="s">
        <v>1614</v>
      </c>
      <c r="D107" s="101" t="s">
        <v>8284</v>
      </c>
      <c r="E107" s="198">
        <v>3127024168</v>
      </c>
      <c r="F107" s="101" t="s">
        <v>2377</v>
      </c>
      <c r="G107" s="333">
        <v>41122</v>
      </c>
      <c r="H107" s="105" t="s">
        <v>52</v>
      </c>
      <c r="I107" s="193" t="s">
        <v>5396</v>
      </c>
      <c r="J107" s="107" t="s">
        <v>9676</v>
      </c>
      <c r="K107" s="107" t="s">
        <v>9677</v>
      </c>
      <c r="L107" s="107" t="s">
        <v>9678</v>
      </c>
      <c r="M107" s="289"/>
      <c r="N107" s="101"/>
      <c r="O107" s="219" t="s">
        <v>5626</v>
      </c>
      <c r="P107" s="107" t="s">
        <v>5415</v>
      </c>
      <c r="Q107" s="107" t="s">
        <v>5394</v>
      </c>
      <c r="R107" s="101" t="s">
        <v>3105</v>
      </c>
      <c r="S107" s="101" t="s">
        <v>5422</v>
      </c>
      <c r="T107" s="101"/>
      <c r="U107" s="101">
        <v>40562</v>
      </c>
      <c r="V107" s="101" t="s">
        <v>9679</v>
      </c>
      <c r="W107" s="107" t="s">
        <v>9680</v>
      </c>
      <c r="X107" s="101" t="s">
        <v>9681</v>
      </c>
      <c r="Y107" s="101" t="s">
        <v>5785</v>
      </c>
      <c r="Z107" s="101" t="s">
        <v>5442</v>
      </c>
      <c r="AA107" s="101" t="s">
        <v>9682</v>
      </c>
      <c r="AB107" s="107" t="s">
        <v>9683</v>
      </c>
      <c r="AC107" s="101" t="s">
        <v>9684</v>
      </c>
      <c r="AD107" s="101" t="s">
        <v>5785</v>
      </c>
      <c r="AE107" s="101" t="s">
        <v>5412</v>
      </c>
      <c r="AF107" s="101" t="s">
        <v>6754</v>
      </c>
      <c r="AG107" s="101"/>
      <c r="AH107" s="101">
        <v>2</v>
      </c>
      <c r="AI107" s="200"/>
    </row>
    <row r="108" spans="1:35" x14ac:dyDescent="0.3">
      <c r="A108" s="106">
        <v>106</v>
      </c>
      <c r="B108" s="188" t="s">
        <v>6701</v>
      </c>
      <c r="C108" s="106" t="s">
        <v>1615</v>
      </c>
      <c r="D108" s="101" t="s">
        <v>8318</v>
      </c>
      <c r="E108" s="198" t="s">
        <v>9685</v>
      </c>
      <c r="F108" s="101" t="s">
        <v>2377</v>
      </c>
      <c r="G108" s="323">
        <v>41179</v>
      </c>
      <c r="H108" s="105" t="s">
        <v>52</v>
      </c>
      <c r="I108" s="193" t="s">
        <v>5396</v>
      </c>
      <c r="J108" s="107" t="s">
        <v>9686</v>
      </c>
      <c r="K108" s="107" t="s">
        <v>9687</v>
      </c>
      <c r="L108" s="101" t="s">
        <v>9688</v>
      </c>
      <c r="M108" s="289"/>
      <c r="N108" s="101"/>
      <c r="O108" s="101" t="s">
        <v>5626</v>
      </c>
      <c r="P108" s="107" t="s">
        <v>5415</v>
      </c>
      <c r="Q108" s="107" t="s">
        <v>5415</v>
      </c>
      <c r="R108" s="101" t="s">
        <v>3105</v>
      </c>
      <c r="S108" s="101" t="s">
        <v>5422</v>
      </c>
      <c r="T108" s="101"/>
      <c r="U108" s="101">
        <v>40562</v>
      </c>
      <c r="V108" s="101" t="s">
        <v>9689</v>
      </c>
      <c r="W108" s="107" t="s">
        <v>9690</v>
      </c>
      <c r="X108" s="101" t="s">
        <v>9691</v>
      </c>
      <c r="Y108" s="101" t="s">
        <v>5785</v>
      </c>
      <c r="Z108" s="101" t="s">
        <v>5551</v>
      </c>
      <c r="AA108" s="101" t="s">
        <v>4712</v>
      </c>
      <c r="AB108" s="107" t="s">
        <v>9692</v>
      </c>
      <c r="AC108" s="101" t="s">
        <v>9693</v>
      </c>
      <c r="AD108" s="101" t="s">
        <v>5772</v>
      </c>
      <c r="AE108" s="101" t="s">
        <v>5412</v>
      </c>
      <c r="AF108" s="101" t="s">
        <v>6754</v>
      </c>
      <c r="AG108" s="107"/>
      <c r="AH108" s="101">
        <v>3</v>
      </c>
      <c r="AI108" s="200"/>
    </row>
    <row r="109" spans="1:35" x14ac:dyDescent="0.3">
      <c r="A109" s="106">
        <v>107</v>
      </c>
      <c r="B109" s="188" t="s">
        <v>6712</v>
      </c>
      <c r="C109" s="106" t="s">
        <v>1615</v>
      </c>
      <c r="D109" s="101" t="s">
        <v>8319</v>
      </c>
      <c r="E109" s="198">
        <v>3125571864</v>
      </c>
      <c r="F109" s="101" t="s">
        <v>2377</v>
      </c>
      <c r="G109" s="323">
        <v>41200</v>
      </c>
      <c r="H109" s="105" t="s">
        <v>52</v>
      </c>
      <c r="I109" s="193" t="s">
        <v>5396</v>
      </c>
      <c r="J109" s="107" t="s">
        <v>9694</v>
      </c>
      <c r="K109" s="107" t="s">
        <v>9695</v>
      </c>
      <c r="L109" s="101" t="s">
        <v>9696</v>
      </c>
      <c r="M109" s="289"/>
      <c r="N109" s="101"/>
      <c r="O109" s="101" t="s">
        <v>5626</v>
      </c>
      <c r="P109" s="107" t="s">
        <v>5394</v>
      </c>
      <c r="Q109" s="107" t="s">
        <v>5394</v>
      </c>
      <c r="R109" s="101" t="s">
        <v>3105</v>
      </c>
      <c r="S109" s="101" t="s">
        <v>5422</v>
      </c>
      <c r="T109" s="101"/>
      <c r="U109" s="101">
        <v>40562</v>
      </c>
      <c r="V109" s="101" t="s">
        <v>9697</v>
      </c>
      <c r="W109" s="107" t="s">
        <v>9698</v>
      </c>
      <c r="X109" s="101" t="s">
        <v>9699</v>
      </c>
      <c r="Y109" s="101" t="s">
        <v>5772</v>
      </c>
      <c r="Z109" s="101" t="s">
        <v>5442</v>
      </c>
      <c r="AA109" s="101" t="s">
        <v>9700</v>
      </c>
      <c r="AB109" s="107" t="s">
        <v>9701</v>
      </c>
      <c r="AC109" s="101" t="s">
        <v>9702</v>
      </c>
      <c r="AD109" s="101" t="s">
        <v>5904</v>
      </c>
      <c r="AE109" s="101" t="s">
        <v>5412</v>
      </c>
      <c r="AF109" s="101" t="s">
        <v>6754</v>
      </c>
      <c r="AG109" s="101"/>
      <c r="AH109" s="101">
        <v>1</v>
      </c>
      <c r="AI109" s="200"/>
    </row>
    <row r="110" spans="1:35" x14ac:dyDescent="0.3">
      <c r="A110" s="106">
        <v>108</v>
      </c>
      <c r="B110" s="188" t="s">
        <v>6722</v>
      </c>
      <c r="C110" s="106" t="s">
        <v>1616</v>
      </c>
      <c r="D110" s="101" t="s">
        <v>8354</v>
      </c>
      <c r="E110" s="198">
        <v>3127541065</v>
      </c>
      <c r="F110" s="101" t="s">
        <v>2377</v>
      </c>
      <c r="G110" s="333">
        <v>41263</v>
      </c>
      <c r="H110" s="105" t="s">
        <v>52</v>
      </c>
      <c r="I110" s="193" t="s">
        <v>5396</v>
      </c>
      <c r="J110" s="107" t="s">
        <v>9703</v>
      </c>
      <c r="K110" s="107" t="s">
        <v>9704</v>
      </c>
      <c r="L110" s="101" t="s">
        <v>9705</v>
      </c>
      <c r="M110" s="101"/>
      <c r="N110" s="101"/>
      <c r="O110" s="101" t="s">
        <v>5626</v>
      </c>
      <c r="P110" s="107" t="s">
        <v>5415</v>
      </c>
      <c r="Q110" s="107" t="s">
        <v>5394</v>
      </c>
      <c r="R110" s="101" t="s">
        <v>3105</v>
      </c>
      <c r="S110" s="101" t="s">
        <v>5422</v>
      </c>
      <c r="T110" s="101"/>
      <c r="U110" s="101">
        <v>40562</v>
      </c>
      <c r="V110" s="101" t="s">
        <v>9706</v>
      </c>
      <c r="W110" s="107" t="s">
        <v>9707</v>
      </c>
      <c r="X110" s="101" t="s">
        <v>9708</v>
      </c>
      <c r="Y110" s="101" t="s">
        <v>5904</v>
      </c>
      <c r="Z110" s="101" t="s">
        <v>5442</v>
      </c>
      <c r="AA110" s="101" t="s">
        <v>7167</v>
      </c>
      <c r="AB110" s="107" t="s">
        <v>9709</v>
      </c>
      <c r="AC110" s="101" t="s">
        <v>9710</v>
      </c>
      <c r="AD110" s="101" t="s">
        <v>5904</v>
      </c>
      <c r="AE110" s="101" t="s">
        <v>5412</v>
      </c>
      <c r="AF110" s="101" t="s">
        <v>6754</v>
      </c>
      <c r="AG110" s="101"/>
      <c r="AH110" s="101">
        <v>2</v>
      </c>
      <c r="AI110" s="200"/>
    </row>
    <row r="111" spans="1:35" x14ac:dyDescent="0.3">
      <c r="A111" s="106">
        <v>109</v>
      </c>
      <c r="B111" s="188" t="s">
        <v>6734</v>
      </c>
      <c r="C111" s="106" t="s">
        <v>1616</v>
      </c>
      <c r="D111" s="101" t="s">
        <v>8355</v>
      </c>
      <c r="E111" s="198" t="s">
        <v>9711</v>
      </c>
      <c r="F111" s="101" t="s">
        <v>2377</v>
      </c>
      <c r="G111" s="333">
        <v>41060</v>
      </c>
      <c r="H111" s="105" t="s">
        <v>52</v>
      </c>
      <c r="I111" s="193" t="s">
        <v>5396</v>
      </c>
      <c r="J111" s="107" t="s">
        <v>9712</v>
      </c>
      <c r="K111" s="107" t="s">
        <v>9713</v>
      </c>
      <c r="L111" s="101" t="s">
        <v>9714</v>
      </c>
      <c r="M111" s="101"/>
      <c r="N111" s="101"/>
      <c r="O111" s="101" t="s">
        <v>9715</v>
      </c>
      <c r="P111" s="107" t="s">
        <v>5401</v>
      </c>
      <c r="Q111" s="107" t="s">
        <v>5421</v>
      </c>
      <c r="R111" s="101" t="s">
        <v>9716</v>
      </c>
      <c r="S111" s="101" t="s">
        <v>9717</v>
      </c>
      <c r="T111" s="101"/>
      <c r="U111" s="101">
        <v>40921</v>
      </c>
      <c r="V111" s="101" t="s">
        <v>9718</v>
      </c>
      <c r="W111" s="107" t="s">
        <v>9719</v>
      </c>
      <c r="X111" s="101" t="s">
        <v>9720</v>
      </c>
      <c r="Y111" s="101" t="s">
        <v>9721</v>
      </c>
      <c r="Z111" s="101" t="s">
        <v>5551</v>
      </c>
      <c r="AA111" s="101" t="s">
        <v>6997</v>
      </c>
      <c r="AB111" s="107" t="s">
        <v>9722</v>
      </c>
      <c r="AC111" s="101" t="s">
        <v>9723</v>
      </c>
      <c r="AD111" s="101" t="s">
        <v>5772</v>
      </c>
      <c r="AE111" s="101" t="s">
        <v>5412</v>
      </c>
      <c r="AF111" s="101" t="s">
        <v>6754</v>
      </c>
      <c r="AG111" s="101"/>
      <c r="AH111" s="101">
        <v>1</v>
      </c>
      <c r="AI111" s="200"/>
    </row>
    <row r="112" spans="1:35" x14ac:dyDescent="0.3">
      <c r="A112" s="106">
        <v>110</v>
      </c>
      <c r="B112" s="235" t="s">
        <v>6743</v>
      </c>
      <c r="C112" s="106" t="s">
        <v>1616</v>
      </c>
      <c r="D112" s="101" t="s">
        <v>8356</v>
      </c>
      <c r="E112" s="198">
        <v>3134091079</v>
      </c>
      <c r="F112" s="101" t="s">
        <v>2377</v>
      </c>
      <c r="G112" s="333">
        <v>41408</v>
      </c>
      <c r="H112" s="105" t="s">
        <v>52</v>
      </c>
      <c r="I112" s="237" t="s">
        <v>5396</v>
      </c>
      <c r="J112" s="107" t="s">
        <v>9724</v>
      </c>
      <c r="K112" s="107" t="s">
        <v>9725</v>
      </c>
      <c r="L112" s="101" t="s">
        <v>9726</v>
      </c>
      <c r="M112" s="101"/>
      <c r="N112" s="101"/>
      <c r="O112" s="101" t="s">
        <v>5626</v>
      </c>
      <c r="P112" s="107" t="s">
        <v>5432</v>
      </c>
      <c r="Q112" s="107" t="s">
        <v>5394</v>
      </c>
      <c r="R112" s="101" t="s">
        <v>3105</v>
      </c>
      <c r="S112" s="101" t="s">
        <v>5422</v>
      </c>
      <c r="T112" s="101"/>
      <c r="U112" s="107">
        <v>40562</v>
      </c>
      <c r="V112" s="101" t="s">
        <v>9727</v>
      </c>
      <c r="W112" s="107" t="s">
        <v>9728</v>
      </c>
      <c r="X112" s="101" t="s">
        <v>9729</v>
      </c>
      <c r="Y112" s="101" t="s">
        <v>5772</v>
      </c>
      <c r="Z112" s="101" t="s">
        <v>5442</v>
      </c>
      <c r="AA112" s="101" t="s">
        <v>9730</v>
      </c>
      <c r="AB112" s="107" t="s">
        <v>9731</v>
      </c>
      <c r="AC112" s="101" t="s">
        <v>9732</v>
      </c>
      <c r="AD112" s="101" t="s">
        <v>5904</v>
      </c>
      <c r="AE112" s="101" t="s">
        <v>5412</v>
      </c>
      <c r="AF112" s="101" t="s">
        <v>6754</v>
      </c>
      <c r="AG112" s="101"/>
      <c r="AH112" s="101">
        <v>3</v>
      </c>
      <c r="AI112" s="200"/>
    </row>
    <row r="113" spans="1:35" x14ac:dyDescent="0.3">
      <c r="A113" s="106">
        <v>111</v>
      </c>
      <c r="B113" s="188" t="s">
        <v>6756</v>
      </c>
      <c r="C113" s="106" t="s">
        <v>1616</v>
      </c>
      <c r="D113" s="101" t="s">
        <v>8357</v>
      </c>
      <c r="E113" s="198">
        <v>3134576287</v>
      </c>
      <c r="F113" s="101" t="s">
        <v>2377</v>
      </c>
      <c r="G113" s="323">
        <v>41341</v>
      </c>
      <c r="H113" s="105" t="s">
        <v>52</v>
      </c>
      <c r="I113" s="193" t="s">
        <v>5396</v>
      </c>
      <c r="J113" s="107" t="s">
        <v>9733</v>
      </c>
      <c r="K113" s="107" t="s">
        <v>9734</v>
      </c>
      <c r="L113" s="101" t="s">
        <v>9735</v>
      </c>
      <c r="M113" s="101"/>
      <c r="N113" s="54"/>
      <c r="O113" s="101" t="s">
        <v>5626</v>
      </c>
      <c r="P113" s="107" t="s">
        <v>5157</v>
      </c>
      <c r="Q113" s="107" t="s">
        <v>5394</v>
      </c>
      <c r="R113" s="101" t="s">
        <v>3105</v>
      </c>
      <c r="S113" s="101" t="s">
        <v>5422</v>
      </c>
      <c r="T113" s="101"/>
      <c r="U113" s="101">
        <v>40562</v>
      </c>
      <c r="V113" s="101" t="s">
        <v>2638</v>
      </c>
      <c r="W113" s="107" t="s">
        <v>9736</v>
      </c>
      <c r="X113" s="101" t="s">
        <v>9737</v>
      </c>
      <c r="Y113" s="101" t="s">
        <v>5785</v>
      </c>
      <c r="Z113" s="101" t="s">
        <v>5442</v>
      </c>
      <c r="AA113" s="101" t="s">
        <v>9738</v>
      </c>
      <c r="AB113" s="107" t="s">
        <v>9739</v>
      </c>
      <c r="AC113" s="101" t="s">
        <v>9740</v>
      </c>
      <c r="AD113" s="101" t="s">
        <v>5904</v>
      </c>
      <c r="AE113" s="101" t="s">
        <v>5412</v>
      </c>
      <c r="AF113" s="101" t="s">
        <v>6754</v>
      </c>
      <c r="AG113" s="101"/>
      <c r="AH113" s="101">
        <v>1</v>
      </c>
      <c r="AI113" s="200"/>
    </row>
    <row r="114" spans="1:35" x14ac:dyDescent="0.3">
      <c r="A114" s="106">
        <v>112</v>
      </c>
      <c r="B114" s="188" t="s">
        <v>6769</v>
      </c>
      <c r="C114" s="189" t="s">
        <v>1614</v>
      </c>
      <c r="D114" s="101" t="s">
        <v>8285</v>
      </c>
      <c r="E114" s="198" t="s">
        <v>9741</v>
      </c>
      <c r="F114" s="101" t="s">
        <v>2377</v>
      </c>
      <c r="G114" s="333">
        <v>41582</v>
      </c>
      <c r="H114" s="105" t="s">
        <v>53</v>
      </c>
      <c r="I114" s="193" t="s">
        <v>5396</v>
      </c>
      <c r="J114" s="107" t="s">
        <v>9742</v>
      </c>
      <c r="K114" s="107" t="s">
        <v>9743</v>
      </c>
      <c r="L114" s="101" t="s">
        <v>9744</v>
      </c>
      <c r="M114" s="289"/>
      <c r="N114" s="54"/>
      <c r="O114" s="101" t="s">
        <v>5626</v>
      </c>
      <c r="P114" s="107" t="s">
        <v>5157</v>
      </c>
      <c r="Q114" s="107" t="s">
        <v>5415</v>
      </c>
      <c r="R114" s="101" t="s">
        <v>3105</v>
      </c>
      <c r="S114" s="101" t="s">
        <v>5422</v>
      </c>
      <c r="T114" s="101"/>
      <c r="U114" s="101">
        <v>40562</v>
      </c>
      <c r="V114" s="101" t="s">
        <v>9745</v>
      </c>
      <c r="W114" s="107" t="s">
        <v>9746</v>
      </c>
      <c r="X114" s="101" t="s">
        <v>9747</v>
      </c>
      <c r="Y114" s="101" t="s">
        <v>5772</v>
      </c>
      <c r="Z114" s="101" t="s">
        <v>5442</v>
      </c>
      <c r="AA114" s="101" t="s">
        <v>9748</v>
      </c>
      <c r="AB114" s="107" t="s">
        <v>9749</v>
      </c>
      <c r="AC114" s="101" t="s">
        <v>9750</v>
      </c>
      <c r="AD114" s="101" t="s">
        <v>5772</v>
      </c>
      <c r="AE114" s="101" t="s">
        <v>5412</v>
      </c>
      <c r="AF114" s="101" t="s">
        <v>6754</v>
      </c>
      <c r="AG114" s="101"/>
      <c r="AH114" s="101">
        <v>1</v>
      </c>
      <c r="AI114" s="200"/>
    </row>
    <row r="115" spans="1:35" x14ac:dyDescent="0.3">
      <c r="A115" s="106">
        <v>113</v>
      </c>
      <c r="B115" s="188" t="s">
        <v>6780</v>
      </c>
      <c r="C115" s="106" t="s">
        <v>1615</v>
      </c>
      <c r="D115" s="101" t="s">
        <v>8320</v>
      </c>
      <c r="E115" s="198">
        <v>3125814903</v>
      </c>
      <c r="F115" s="101" t="s">
        <v>2377</v>
      </c>
      <c r="G115" s="333">
        <v>41255</v>
      </c>
      <c r="H115" s="105" t="s">
        <v>53</v>
      </c>
      <c r="I115" s="193" t="s">
        <v>5396</v>
      </c>
      <c r="J115" s="107" t="s">
        <v>9751</v>
      </c>
      <c r="K115" s="107" t="s">
        <v>9752</v>
      </c>
      <c r="L115" s="101" t="s">
        <v>9753</v>
      </c>
      <c r="M115" s="101"/>
      <c r="N115" s="54"/>
      <c r="O115" s="101" t="s">
        <v>5626</v>
      </c>
      <c r="P115" s="107" t="s">
        <v>5394</v>
      </c>
      <c r="Q115" s="107" t="s">
        <v>5394</v>
      </c>
      <c r="R115" s="101" t="s">
        <v>3105</v>
      </c>
      <c r="S115" s="101" t="s">
        <v>5422</v>
      </c>
      <c r="T115" s="101"/>
      <c r="U115" s="101">
        <v>40562</v>
      </c>
      <c r="V115" s="101" t="s">
        <v>2638</v>
      </c>
      <c r="W115" s="107" t="s">
        <v>9754</v>
      </c>
      <c r="X115" s="101" t="s">
        <v>9755</v>
      </c>
      <c r="Y115" s="101" t="s">
        <v>5772</v>
      </c>
      <c r="Z115" s="101" t="s">
        <v>5442</v>
      </c>
      <c r="AA115" s="101" t="s">
        <v>6729</v>
      </c>
      <c r="AB115" s="107" t="s">
        <v>9756</v>
      </c>
      <c r="AC115" s="101" t="s">
        <v>9757</v>
      </c>
      <c r="AD115" s="101" t="s">
        <v>5772</v>
      </c>
      <c r="AE115" s="101" t="s">
        <v>5412</v>
      </c>
      <c r="AF115" s="101" t="s">
        <v>6754</v>
      </c>
      <c r="AG115" s="101"/>
      <c r="AH115" s="107">
        <v>1</v>
      </c>
      <c r="AI115" s="200"/>
    </row>
    <row r="116" spans="1:35" x14ac:dyDescent="0.3">
      <c r="A116" s="106">
        <v>114</v>
      </c>
      <c r="B116" s="188" t="s">
        <v>6794</v>
      </c>
      <c r="C116" s="189" t="s">
        <v>1614</v>
      </c>
      <c r="D116" s="101" t="s">
        <v>8286</v>
      </c>
      <c r="E116" s="198">
        <v>3114779569</v>
      </c>
      <c r="F116" s="101" t="s">
        <v>2377</v>
      </c>
      <c r="G116" s="333">
        <v>40783</v>
      </c>
      <c r="H116" s="105" t="s">
        <v>53</v>
      </c>
      <c r="I116" s="193" t="s">
        <v>5396</v>
      </c>
      <c r="J116" s="107"/>
      <c r="K116" s="107"/>
      <c r="L116" s="101" t="s">
        <v>9758</v>
      </c>
      <c r="M116" s="101"/>
      <c r="N116" s="54"/>
      <c r="O116" s="101" t="s">
        <v>9759</v>
      </c>
      <c r="P116" s="107" t="s">
        <v>5394</v>
      </c>
      <c r="Q116" s="107" t="s">
        <v>5415</v>
      </c>
      <c r="R116" s="101" t="s">
        <v>3189</v>
      </c>
      <c r="S116" s="101" t="s">
        <v>3961</v>
      </c>
      <c r="T116" s="101"/>
      <c r="U116" s="101"/>
      <c r="V116" s="101" t="s">
        <v>9760</v>
      </c>
      <c r="W116" s="107" t="s">
        <v>9761</v>
      </c>
      <c r="X116" s="101" t="s">
        <v>9762</v>
      </c>
      <c r="Y116" s="101"/>
      <c r="Z116" s="101"/>
      <c r="AA116" s="101" t="s">
        <v>9763</v>
      </c>
      <c r="AB116" s="107" t="s">
        <v>9764</v>
      </c>
      <c r="AC116" s="101" t="s">
        <v>9005</v>
      </c>
      <c r="AD116" s="101"/>
      <c r="AE116" s="101"/>
      <c r="AF116" s="101" t="s">
        <v>6528</v>
      </c>
      <c r="AG116" s="101"/>
      <c r="AH116" s="101">
        <v>1</v>
      </c>
      <c r="AI116" s="200"/>
    </row>
    <row r="117" spans="1:35" x14ac:dyDescent="0.3">
      <c r="A117" s="106">
        <v>115</v>
      </c>
      <c r="B117" s="188" t="s">
        <v>6805</v>
      </c>
      <c r="C117" s="106" t="s">
        <v>1615</v>
      </c>
      <c r="D117" s="101" t="s">
        <v>8321</v>
      </c>
      <c r="E117" s="198">
        <v>3131884817</v>
      </c>
      <c r="F117" s="101" t="s">
        <v>2377</v>
      </c>
      <c r="G117" s="333">
        <v>41037</v>
      </c>
      <c r="H117" s="105" t="s">
        <v>53</v>
      </c>
      <c r="I117" s="193" t="s">
        <v>5396</v>
      </c>
      <c r="J117" s="107" t="s">
        <v>9765</v>
      </c>
      <c r="K117" s="107" t="s">
        <v>9766</v>
      </c>
      <c r="L117" s="101" t="s">
        <v>9767</v>
      </c>
      <c r="M117" s="101"/>
      <c r="N117" s="54"/>
      <c r="O117" s="101" t="s">
        <v>6020</v>
      </c>
      <c r="P117" s="107" t="s">
        <v>5394</v>
      </c>
      <c r="Q117" s="107" t="s">
        <v>5514</v>
      </c>
      <c r="R117" s="101" t="s">
        <v>3581</v>
      </c>
      <c r="S117" s="101" t="s">
        <v>5422</v>
      </c>
      <c r="T117" s="101"/>
      <c r="U117" s="101">
        <v>40562</v>
      </c>
      <c r="V117" s="101" t="s">
        <v>9768</v>
      </c>
      <c r="W117" s="107" t="s">
        <v>9769</v>
      </c>
      <c r="X117" s="101" t="s">
        <v>9770</v>
      </c>
      <c r="Y117" s="101" t="s">
        <v>5785</v>
      </c>
      <c r="Z117" s="101" t="s">
        <v>5442</v>
      </c>
      <c r="AA117" s="101" t="s">
        <v>9771</v>
      </c>
      <c r="AB117" s="107" t="s">
        <v>9772</v>
      </c>
      <c r="AC117" s="101" t="s">
        <v>9773</v>
      </c>
      <c r="AD117" s="101" t="s">
        <v>5785</v>
      </c>
      <c r="AE117" s="101" t="s">
        <v>5412</v>
      </c>
      <c r="AF117" s="101" t="s">
        <v>6754</v>
      </c>
      <c r="AG117" s="101"/>
      <c r="AH117" s="101">
        <v>1</v>
      </c>
      <c r="AI117" s="200"/>
    </row>
    <row r="118" spans="1:35" x14ac:dyDescent="0.3">
      <c r="A118" s="106">
        <v>116</v>
      </c>
      <c r="B118" s="188" t="s">
        <v>6818</v>
      </c>
      <c r="C118" s="106" t="s">
        <v>1616</v>
      </c>
      <c r="D118" s="101" t="s">
        <v>8358</v>
      </c>
      <c r="E118" s="198">
        <v>3126697259</v>
      </c>
      <c r="F118" s="101" t="s">
        <v>2377</v>
      </c>
      <c r="G118" s="333">
        <v>41147</v>
      </c>
      <c r="H118" s="105" t="s">
        <v>53</v>
      </c>
      <c r="I118" s="193" t="s">
        <v>5396</v>
      </c>
      <c r="J118" s="107" t="s">
        <v>9774</v>
      </c>
      <c r="K118" s="107" t="s">
        <v>9775</v>
      </c>
      <c r="L118" s="101" t="s">
        <v>9776</v>
      </c>
      <c r="M118" s="101"/>
      <c r="N118" s="54"/>
      <c r="O118" s="101" t="s">
        <v>5626</v>
      </c>
      <c r="P118" s="107" t="s">
        <v>5415</v>
      </c>
      <c r="Q118" s="107" t="s">
        <v>5394</v>
      </c>
      <c r="R118" s="101" t="s">
        <v>3105</v>
      </c>
      <c r="S118" s="101" t="s">
        <v>5422</v>
      </c>
      <c r="T118" s="101"/>
      <c r="U118" s="101">
        <v>40562</v>
      </c>
      <c r="V118" s="101" t="s">
        <v>9777</v>
      </c>
      <c r="W118" s="107" t="s">
        <v>9778</v>
      </c>
      <c r="X118" s="101" t="s">
        <v>9779</v>
      </c>
      <c r="Y118" s="101" t="s">
        <v>5904</v>
      </c>
      <c r="Z118" s="101" t="s">
        <v>5442</v>
      </c>
      <c r="AA118" s="101" t="s">
        <v>3966</v>
      </c>
      <c r="AB118" s="107" t="s">
        <v>9780</v>
      </c>
      <c r="AC118" s="101" t="s">
        <v>9781</v>
      </c>
      <c r="AD118" s="101" t="s">
        <v>5904</v>
      </c>
      <c r="AE118" s="101" t="s">
        <v>5412</v>
      </c>
      <c r="AF118" s="101" t="s">
        <v>6754</v>
      </c>
      <c r="AG118" s="101"/>
      <c r="AH118" s="101">
        <v>2</v>
      </c>
      <c r="AI118" s="200"/>
    </row>
    <row r="119" spans="1:35" x14ac:dyDescent="0.3">
      <c r="A119" s="106">
        <v>117</v>
      </c>
      <c r="B119" s="188" t="s">
        <v>6831</v>
      </c>
      <c r="C119" s="106" t="s">
        <v>1616</v>
      </c>
      <c r="D119" s="101" t="s">
        <v>8359</v>
      </c>
      <c r="E119" s="198" t="s">
        <v>9782</v>
      </c>
      <c r="F119" s="101" t="s">
        <v>2377</v>
      </c>
      <c r="G119" s="323">
        <v>41409</v>
      </c>
      <c r="H119" s="105" t="s">
        <v>53</v>
      </c>
      <c r="I119" s="193" t="s">
        <v>5396</v>
      </c>
      <c r="J119" s="107" t="s">
        <v>9783</v>
      </c>
      <c r="K119" s="107" t="s">
        <v>9784</v>
      </c>
      <c r="L119" s="101" t="s">
        <v>9785</v>
      </c>
      <c r="M119" s="101"/>
      <c r="N119" s="54"/>
      <c r="O119" s="101" t="s">
        <v>5626</v>
      </c>
      <c r="P119" s="107" t="s">
        <v>5448</v>
      </c>
      <c r="Q119" s="107" t="s">
        <v>5415</v>
      </c>
      <c r="R119" s="101" t="s">
        <v>3105</v>
      </c>
      <c r="S119" s="101" t="s">
        <v>5422</v>
      </c>
      <c r="T119" s="101"/>
      <c r="U119" s="101">
        <v>40562</v>
      </c>
      <c r="V119" s="101" t="s">
        <v>9786</v>
      </c>
      <c r="W119" s="329" t="s">
        <v>9787</v>
      </c>
      <c r="X119" s="101" t="s">
        <v>9788</v>
      </c>
      <c r="Y119" s="101" t="s">
        <v>5772</v>
      </c>
      <c r="Z119" s="101" t="s">
        <v>5442</v>
      </c>
      <c r="AA119" s="107" t="s">
        <v>9789</v>
      </c>
      <c r="AB119" s="107" t="s">
        <v>9790</v>
      </c>
      <c r="AC119" s="101" t="s">
        <v>9791</v>
      </c>
      <c r="AD119" s="101" t="s">
        <v>5785</v>
      </c>
      <c r="AE119" s="101" t="s">
        <v>5412</v>
      </c>
      <c r="AF119" s="101" t="s">
        <v>6754</v>
      </c>
      <c r="AG119" s="101"/>
      <c r="AH119" s="101">
        <v>1</v>
      </c>
      <c r="AI119" s="200"/>
    </row>
    <row r="120" spans="1:35" x14ac:dyDescent="0.3">
      <c r="A120" s="242">
        <v>118</v>
      </c>
      <c r="B120" s="255" t="s">
        <v>6844</v>
      </c>
      <c r="C120" s="256" t="s">
        <v>1613</v>
      </c>
      <c r="D120" s="246" t="s">
        <v>8254</v>
      </c>
      <c r="E120" s="252">
        <v>3123943140</v>
      </c>
      <c r="F120" s="246" t="s">
        <v>2377</v>
      </c>
      <c r="G120" s="349">
        <v>41209</v>
      </c>
      <c r="H120" s="350" t="s">
        <v>52</v>
      </c>
      <c r="I120" s="259" t="s">
        <v>5396</v>
      </c>
      <c r="J120" s="307" t="s">
        <v>9792</v>
      </c>
      <c r="K120" s="307" t="s">
        <v>9793</v>
      </c>
      <c r="L120" s="246" t="s">
        <v>9794</v>
      </c>
      <c r="M120" s="246"/>
      <c r="N120" s="460"/>
      <c r="O120" s="246" t="s">
        <v>9384</v>
      </c>
      <c r="P120" s="307" t="s">
        <v>5394</v>
      </c>
      <c r="Q120" s="307" t="s">
        <v>5401</v>
      </c>
      <c r="R120" s="246" t="s">
        <v>2399</v>
      </c>
      <c r="S120" s="246" t="s">
        <v>3961</v>
      </c>
      <c r="T120" s="246"/>
      <c r="U120" s="246">
        <v>40764</v>
      </c>
      <c r="V120" s="246" t="s">
        <v>9795</v>
      </c>
      <c r="W120" s="307"/>
      <c r="X120" s="246"/>
      <c r="Y120" s="246"/>
      <c r="Z120" s="246"/>
      <c r="AA120" s="246" t="s">
        <v>9796</v>
      </c>
      <c r="AB120" s="307"/>
      <c r="AC120" s="246"/>
      <c r="AD120" s="246"/>
      <c r="AE120" s="246"/>
      <c r="AF120" s="246" t="s">
        <v>9797</v>
      </c>
      <c r="AG120" s="246"/>
      <c r="AH120" s="246">
        <v>1</v>
      </c>
      <c r="AI120" s="254"/>
    </row>
    <row r="121" spans="1:35" x14ac:dyDescent="0.3">
      <c r="A121" s="106">
        <v>119</v>
      </c>
      <c r="B121" s="188" t="s">
        <v>6857</v>
      </c>
      <c r="C121" s="106" t="s">
        <v>1613</v>
      </c>
      <c r="D121" s="101" t="s">
        <v>8255</v>
      </c>
      <c r="E121" s="198" t="s">
        <v>9798</v>
      </c>
      <c r="F121" s="101" t="s">
        <v>2377</v>
      </c>
      <c r="G121" s="323">
        <v>41045</v>
      </c>
      <c r="H121" s="105" t="s">
        <v>52</v>
      </c>
      <c r="I121" s="193" t="s">
        <v>5396</v>
      </c>
      <c r="J121" s="107" t="s">
        <v>9799</v>
      </c>
      <c r="K121" s="107" t="s">
        <v>9800</v>
      </c>
      <c r="L121" s="101" t="s">
        <v>9801</v>
      </c>
      <c r="M121" s="101"/>
      <c r="N121" s="54"/>
      <c r="O121" s="101" t="s">
        <v>6057</v>
      </c>
      <c r="P121" s="107" t="s">
        <v>5432</v>
      </c>
      <c r="Q121" s="107" t="s">
        <v>5448</v>
      </c>
      <c r="R121" s="101" t="s">
        <v>2845</v>
      </c>
      <c r="S121" s="101" t="s">
        <v>3961</v>
      </c>
      <c r="T121" s="101"/>
      <c r="U121" s="101">
        <v>40764</v>
      </c>
      <c r="V121" s="101" t="s">
        <v>9802</v>
      </c>
      <c r="W121" s="107" t="s">
        <v>9803</v>
      </c>
      <c r="X121" s="101" t="s">
        <v>9804</v>
      </c>
      <c r="Y121" s="101" t="s">
        <v>5785</v>
      </c>
      <c r="Z121" s="101" t="s">
        <v>5442</v>
      </c>
      <c r="AA121" s="101" t="s">
        <v>9805</v>
      </c>
      <c r="AB121" s="107" t="s">
        <v>9806</v>
      </c>
      <c r="AC121" s="101" t="s">
        <v>9807</v>
      </c>
      <c r="AD121" s="101" t="s">
        <v>5785</v>
      </c>
      <c r="AE121" s="101" t="s">
        <v>5412</v>
      </c>
      <c r="AF121" s="101" t="s">
        <v>8907</v>
      </c>
      <c r="AG121" s="101" t="s">
        <v>9808</v>
      </c>
      <c r="AH121" s="101">
        <v>1</v>
      </c>
      <c r="AI121" s="200"/>
    </row>
    <row r="122" spans="1:35" x14ac:dyDescent="0.3">
      <c r="A122" s="106">
        <v>120</v>
      </c>
      <c r="B122" s="188" t="s">
        <v>6869</v>
      </c>
      <c r="C122" s="106" t="s">
        <v>1613</v>
      </c>
      <c r="D122" s="101" t="s">
        <v>8256</v>
      </c>
      <c r="E122" s="198">
        <v>3128229701</v>
      </c>
      <c r="F122" s="101" t="s">
        <v>2352</v>
      </c>
      <c r="G122" s="323">
        <v>41176</v>
      </c>
      <c r="H122" s="105" t="s">
        <v>52</v>
      </c>
      <c r="I122" s="193" t="s">
        <v>5396</v>
      </c>
      <c r="J122" s="107" t="s">
        <v>9809</v>
      </c>
      <c r="K122" s="107" t="s">
        <v>9810</v>
      </c>
      <c r="L122" s="101" t="s">
        <v>9811</v>
      </c>
      <c r="M122" s="101"/>
      <c r="N122" s="54"/>
      <c r="O122" s="101" t="s">
        <v>6028</v>
      </c>
      <c r="P122" s="107" t="s">
        <v>5432</v>
      </c>
      <c r="Q122" s="107" t="s">
        <v>5448</v>
      </c>
      <c r="R122" s="101" t="s">
        <v>2355</v>
      </c>
      <c r="S122" s="101" t="s">
        <v>3961</v>
      </c>
      <c r="T122" s="101"/>
      <c r="U122" s="101">
        <v>40564</v>
      </c>
      <c r="V122" s="107" t="s">
        <v>9812</v>
      </c>
      <c r="W122" s="107" t="s">
        <v>9813</v>
      </c>
      <c r="X122" s="101" t="s">
        <v>9814</v>
      </c>
      <c r="Y122" s="101" t="s">
        <v>5772</v>
      </c>
      <c r="Z122" s="101" t="s">
        <v>5442</v>
      </c>
      <c r="AA122" s="101" t="s">
        <v>9815</v>
      </c>
      <c r="AB122" s="107"/>
      <c r="AC122" s="101"/>
      <c r="AD122" s="101"/>
      <c r="AE122" s="101"/>
      <c r="AF122" s="101" t="s">
        <v>9816</v>
      </c>
      <c r="AG122" s="101"/>
      <c r="AH122" s="101">
        <v>2</v>
      </c>
      <c r="AI122" s="200"/>
    </row>
    <row r="123" spans="1:35" x14ac:dyDescent="0.3">
      <c r="A123" s="106">
        <v>121</v>
      </c>
      <c r="B123" s="188" t="s">
        <v>6882</v>
      </c>
      <c r="C123" s="106" t="s">
        <v>1613</v>
      </c>
      <c r="D123" s="101" t="s">
        <v>8257</v>
      </c>
      <c r="E123" s="198">
        <v>3123079940</v>
      </c>
      <c r="F123" s="101" t="s">
        <v>2377</v>
      </c>
      <c r="G123" s="323">
        <v>40966</v>
      </c>
      <c r="H123" s="105" t="s">
        <v>52</v>
      </c>
      <c r="I123" s="193" t="s">
        <v>5396</v>
      </c>
      <c r="J123" s="107" t="s">
        <v>9817</v>
      </c>
      <c r="K123" s="107" t="s">
        <v>9818</v>
      </c>
      <c r="L123" s="101" t="s">
        <v>9819</v>
      </c>
      <c r="M123" s="101"/>
      <c r="N123" s="54"/>
      <c r="O123" s="107" t="s">
        <v>6592</v>
      </c>
      <c r="P123" s="107" t="s">
        <v>5415</v>
      </c>
      <c r="Q123" s="107" t="s">
        <v>5556</v>
      </c>
      <c r="R123" s="101" t="s">
        <v>2355</v>
      </c>
      <c r="S123" s="101" t="s">
        <v>3961</v>
      </c>
      <c r="T123" s="101"/>
      <c r="U123" s="101">
        <v>40764</v>
      </c>
      <c r="V123" s="101" t="s">
        <v>9820</v>
      </c>
      <c r="W123" s="107" t="s">
        <v>9821</v>
      </c>
      <c r="X123" s="101" t="s">
        <v>9822</v>
      </c>
      <c r="Y123" s="101" t="s">
        <v>5772</v>
      </c>
      <c r="Z123" s="101" t="s">
        <v>5442</v>
      </c>
      <c r="AA123" s="101" t="s">
        <v>9823</v>
      </c>
      <c r="AB123" s="107" t="s">
        <v>9824</v>
      </c>
      <c r="AC123" s="101" t="s">
        <v>9825</v>
      </c>
      <c r="AD123" s="101" t="s">
        <v>5772</v>
      </c>
      <c r="AE123" s="101" t="s">
        <v>5412</v>
      </c>
      <c r="AF123" s="101" t="s">
        <v>9816</v>
      </c>
      <c r="AG123" s="101"/>
      <c r="AH123" s="101">
        <v>2</v>
      </c>
      <c r="AI123" s="200"/>
    </row>
    <row r="124" spans="1:35" x14ac:dyDescent="0.3">
      <c r="A124" s="398">
        <v>122</v>
      </c>
      <c r="B124" s="399" t="s">
        <v>6895</v>
      </c>
      <c r="C124" s="398" t="s">
        <v>1617</v>
      </c>
      <c r="D124" s="461" t="s">
        <v>8406</v>
      </c>
      <c r="E124" s="462">
        <v>3138233427</v>
      </c>
      <c r="F124" s="463" t="s">
        <v>2377</v>
      </c>
      <c r="G124" s="464">
        <v>41387</v>
      </c>
      <c r="H124" s="465" t="s">
        <v>52</v>
      </c>
      <c r="I124" s="466" t="s">
        <v>5396</v>
      </c>
      <c r="J124" s="467" t="s">
        <v>9826</v>
      </c>
      <c r="K124" s="467" t="s">
        <v>9827</v>
      </c>
      <c r="L124" s="468" t="s">
        <v>9828</v>
      </c>
      <c r="M124" s="469"/>
      <c r="N124" s="470"/>
      <c r="O124" s="468" t="s">
        <v>6549</v>
      </c>
      <c r="P124" s="467" t="s">
        <v>5394</v>
      </c>
      <c r="Q124" s="467" t="s">
        <v>5520</v>
      </c>
      <c r="R124" s="463" t="s">
        <v>2355</v>
      </c>
      <c r="S124" s="468" t="s">
        <v>3961</v>
      </c>
      <c r="T124" s="469"/>
      <c r="U124" s="463">
        <v>40764</v>
      </c>
      <c r="V124" s="468" t="s">
        <v>4188</v>
      </c>
      <c r="W124" s="471" t="s">
        <v>9829</v>
      </c>
      <c r="X124" s="469" t="s">
        <v>9830</v>
      </c>
      <c r="Y124" s="469" t="s">
        <v>5785</v>
      </c>
      <c r="Z124" s="463" t="s">
        <v>5442</v>
      </c>
      <c r="AA124" s="468" t="s">
        <v>7792</v>
      </c>
      <c r="AB124" s="467" t="s">
        <v>9831</v>
      </c>
      <c r="AC124" s="468" t="s">
        <v>9832</v>
      </c>
      <c r="AD124" s="468" t="s">
        <v>5904</v>
      </c>
      <c r="AE124" s="468" t="s">
        <v>5412</v>
      </c>
      <c r="AF124" s="463" t="s">
        <v>9833</v>
      </c>
      <c r="AG124" s="469"/>
      <c r="AH124" s="468">
        <v>1</v>
      </c>
      <c r="AI124" s="471"/>
    </row>
    <row r="125" spans="1:35" x14ac:dyDescent="0.3">
      <c r="A125" s="106">
        <v>123</v>
      </c>
      <c r="B125" s="188" t="s">
        <v>6907</v>
      </c>
      <c r="C125" s="189" t="s">
        <v>1614</v>
      </c>
      <c r="D125" s="101" t="s">
        <v>8287</v>
      </c>
      <c r="E125" s="198">
        <v>3125497655</v>
      </c>
      <c r="F125" s="101" t="s">
        <v>2377</v>
      </c>
      <c r="G125" s="323">
        <v>41230</v>
      </c>
      <c r="H125" s="105" t="s">
        <v>52</v>
      </c>
      <c r="I125" s="193" t="s">
        <v>5396</v>
      </c>
      <c r="J125" s="107" t="s">
        <v>9834</v>
      </c>
      <c r="K125" s="107" t="s">
        <v>9835</v>
      </c>
      <c r="L125" s="101" t="s">
        <v>9836</v>
      </c>
      <c r="M125" s="101"/>
      <c r="N125" s="54"/>
      <c r="O125" s="101" t="s">
        <v>6028</v>
      </c>
      <c r="P125" s="107" t="s">
        <v>5415</v>
      </c>
      <c r="Q125" s="107" t="s">
        <v>5448</v>
      </c>
      <c r="R125" s="101" t="s">
        <v>2355</v>
      </c>
      <c r="S125" s="101" t="s">
        <v>3961</v>
      </c>
      <c r="T125" s="101"/>
      <c r="U125" s="101">
        <v>40564</v>
      </c>
      <c r="V125" s="101" t="s">
        <v>4181</v>
      </c>
      <c r="W125" s="107" t="s">
        <v>9837</v>
      </c>
      <c r="X125" s="101" t="s">
        <v>9838</v>
      </c>
      <c r="Y125" s="101" t="s">
        <v>5785</v>
      </c>
      <c r="Z125" s="101" t="s">
        <v>5442</v>
      </c>
      <c r="AA125" s="101" t="s">
        <v>4182</v>
      </c>
      <c r="AB125" s="107" t="s">
        <v>9839</v>
      </c>
      <c r="AC125" s="101" t="s">
        <v>9840</v>
      </c>
      <c r="AD125" s="101" t="s">
        <v>5785</v>
      </c>
      <c r="AE125" s="101" t="s">
        <v>5412</v>
      </c>
      <c r="AF125" s="101" t="s">
        <v>9833</v>
      </c>
      <c r="AG125" s="101"/>
      <c r="AH125" s="101">
        <v>2</v>
      </c>
      <c r="AI125" s="200"/>
    </row>
    <row r="126" spans="1:35" x14ac:dyDescent="0.3">
      <c r="A126" s="106">
        <v>124</v>
      </c>
      <c r="B126" s="188" t="s">
        <v>6918</v>
      </c>
      <c r="C126" s="106" t="s">
        <v>1617</v>
      </c>
      <c r="D126" s="346" t="s">
        <v>8407</v>
      </c>
      <c r="E126" s="198">
        <v>3128643999</v>
      </c>
      <c r="F126" s="101" t="s">
        <v>2377</v>
      </c>
      <c r="G126" s="323">
        <v>41235</v>
      </c>
      <c r="H126" s="105" t="s">
        <v>52</v>
      </c>
      <c r="I126" s="193" t="s">
        <v>5396</v>
      </c>
      <c r="J126" s="107" t="s">
        <v>9841</v>
      </c>
      <c r="K126" s="107" t="s">
        <v>9842</v>
      </c>
      <c r="L126" s="101" t="s">
        <v>9843</v>
      </c>
      <c r="M126" s="101"/>
      <c r="N126" s="54"/>
      <c r="O126" s="101" t="s">
        <v>6627</v>
      </c>
      <c r="P126" s="107" t="s">
        <v>5415</v>
      </c>
      <c r="Q126" s="107" t="s">
        <v>5432</v>
      </c>
      <c r="R126" s="101" t="s">
        <v>2355</v>
      </c>
      <c r="S126" s="101" t="s">
        <v>3961</v>
      </c>
      <c r="T126" s="101"/>
      <c r="U126" s="101">
        <v>40564</v>
      </c>
      <c r="V126" s="101" t="s">
        <v>9844</v>
      </c>
      <c r="W126" s="107"/>
      <c r="X126" s="101"/>
      <c r="Y126" s="101"/>
      <c r="Z126" s="101"/>
      <c r="AA126" s="101" t="s">
        <v>9845</v>
      </c>
      <c r="AB126" s="107" t="s">
        <v>9846</v>
      </c>
      <c r="AC126" s="101" t="s">
        <v>9847</v>
      </c>
      <c r="AD126" s="101" t="s">
        <v>5772</v>
      </c>
      <c r="AE126" s="101" t="s">
        <v>5412</v>
      </c>
      <c r="AF126" s="101" t="s">
        <v>9833</v>
      </c>
      <c r="AG126" s="101"/>
      <c r="AH126" s="101">
        <v>1</v>
      </c>
      <c r="AI126" s="200"/>
    </row>
    <row r="127" spans="1:35" x14ac:dyDescent="0.3">
      <c r="A127" s="106">
        <v>125</v>
      </c>
      <c r="B127" s="188" t="s">
        <v>6930</v>
      </c>
      <c r="C127" s="106" t="s">
        <v>1617</v>
      </c>
      <c r="D127" s="346" t="s">
        <v>8408</v>
      </c>
      <c r="E127" s="198">
        <v>3121316769</v>
      </c>
      <c r="F127" s="101" t="s">
        <v>2377</v>
      </c>
      <c r="G127" s="323">
        <v>41185</v>
      </c>
      <c r="H127" s="105" t="s">
        <v>52</v>
      </c>
      <c r="I127" s="193" t="s">
        <v>5396</v>
      </c>
      <c r="J127" s="107" t="s">
        <v>9848</v>
      </c>
      <c r="K127" s="107" t="s">
        <v>9849</v>
      </c>
      <c r="L127" s="101" t="s">
        <v>9850</v>
      </c>
      <c r="M127" s="101"/>
      <c r="N127" s="54"/>
      <c r="O127" s="101" t="s">
        <v>9851</v>
      </c>
      <c r="P127" s="107" t="s">
        <v>5415</v>
      </c>
      <c r="Q127" s="107" t="s">
        <v>5461</v>
      </c>
      <c r="R127" s="101" t="s">
        <v>2355</v>
      </c>
      <c r="S127" s="101" t="s">
        <v>3961</v>
      </c>
      <c r="T127" s="101"/>
      <c r="U127" s="101">
        <v>40764</v>
      </c>
      <c r="V127" s="101" t="s">
        <v>9852</v>
      </c>
      <c r="W127" s="107" t="s">
        <v>9853</v>
      </c>
      <c r="X127" s="101" t="s">
        <v>9854</v>
      </c>
      <c r="Y127" s="101" t="s">
        <v>5904</v>
      </c>
      <c r="Z127" s="101" t="s">
        <v>5442</v>
      </c>
      <c r="AA127" s="101" t="s">
        <v>9855</v>
      </c>
      <c r="AB127" s="107" t="s">
        <v>9856</v>
      </c>
      <c r="AC127" s="101" t="s">
        <v>9857</v>
      </c>
      <c r="AD127" s="101" t="s">
        <v>5772</v>
      </c>
      <c r="AE127" s="101" t="s">
        <v>5412</v>
      </c>
      <c r="AF127" s="101" t="s">
        <v>9833</v>
      </c>
      <c r="AG127" s="101"/>
      <c r="AH127" s="101">
        <v>1</v>
      </c>
      <c r="AI127" s="200"/>
    </row>
    <row r="128" spans="1:35" x14ac:dyDescent="0.3">
      <c r="A128" s="106">
        <v>126</v>
      </c>
      <c r="B128" s="188" t="s">
        <v>6942</v>
      </c>
      <c r="C128" s="106" t="s">
        <v>1617</v>
      </c>
      <c r="D128" s="346" t="s">
        <v>8409</v>
      </c>
      <c r="E128" s="198" t="s">
        <v>9858</v>
      </c>
      <c r="F128" s="101" t="s">
        <v>2377</v>
      </c>
      <c r="G128" s="323">
        <v>41177</v>
      </c>
      <c r="H128" s="105" t="s">
        <v>52</v>
      </c>
      <c r="I128" s="193" t="s">
        <v>5396</v>
      </c>
      <c r="J128" s="107" t="s">
        <v>9859</v>
      </c>
      <c r="K128" s="107" t="s">
        <v>9860</v>
      </c>
      <c r="L128" s="101" t="s">
        <v>9861</v>
      </c>
      <c r="M128" s="219"/>
      <c r="N128" s="54"/>
      <c r="O128" s="101" t="s">
        <v>3160</v>
      </c>
      <c r="P128" s="107" t="s">
        <v>5394</v>
      </c>
      <c r="Q128" s="107" t="s">
        <v>5502</v>
      </c>
      <c r="R128" s="101" t="s">
        <v>5422</v>
      </c>
      <c r="S128" s="101" t="s">
        <v>5422</v>
      </c>
      <c r="T128" s="101"/>
      <c r="U128" s="101">
        <v>40553</v>
      </c>
      <c r="V128" s="101" t="s">
        <v>9862</v>
      </c>
      <c r="W128" s="107" t="s">
        <v>9863</v>
      </c>
      <c r="X128" s="101" t="s">
        <v>9864</v>
      </c>
      <c r="Y128" s="101" t="s">
        <v>5904</v>
      </c>
      <c r="Z128" s="101" t="s">
        <v>5442</v>
      </c>
      <c r="AA128" s="101" t="s">
        <v>9865</v>
      </c>
      <c r="AB128" s="107" t="s">
        <v>9866</v>
      </c>
      <c r="AC128" s="101" t="s">
        <v>9867</v>
      </c>
      <c r="AD128" s="101" t="s">
        <v>5772</v>
      </c>
      <c r="AE128" s="101" t="s">
        <v>5412</v>
      </c>
      <c r="AF128" s="101" t="s">
        <v>9833</v>
      </c>
      <c r="AG128" s="101"/>
      <c r="AH128" s="101">
        <v>1</v>
      </c>
      <c r="AI128" s="200"/>
    </row>
    <row r="129" spans="1:35" x14ac:dyDescent="0.3">
      <c r="A129" s="106">
        <v>127</v>
      </c>
      <c r="B129" s="188" t="s">
        <v>6952</v>
      </c>
      <c r="C129" s="106" t="s">
        <v>1613</v>
      </c>
      <c r="D129" s="107" t="s">
        <v>8258</v>
      </c>
      <c r="E129" s="198" t="s">
        <v>9868</v>
      </c>
      <c r="F129" s="101" t="s">
        <v>2377</v>
      </c>
      <c r="G129" s="323">
        <v>41164</v>
      </c>
      <c r="H129" s="105" t="s">
        <v>53</v>
      </c>
      <c r="I129" s="193" t="s">
        <v>5396</v>
      </c>
      <c r="J129" s="107" t="s">
        <v>9869</v>
      </c>
      <c r="K129" s="107" t="s">
        <v>9870</v>
      </c>
      <c r="L129" s="101" t="s">
        <v>9871</v>
      </c>
      <c r="M129" s="101"/>
      <c r="N129" s="54"/>
      <c r="O129" s="101" t="s">
        <v>7031</v>
      </c>
      <c r="P129" s="107" t="s">
        <v>5394</v>
      </c>
      <c r="Q129" s="107" t="s">
        <v>5542</v>
      </c>
      <c r="R129" s="101" t="s">
        <v>2355</v>
      </c>
      <c r="S129" s="101" t="s">
        <v>3961</v>
      </c>
      <c r="T129" s="101"/>
      <c r="U129" s="101">
        <v>40764</v>
      </c>
      <c r="V129" s="101" t="s">
        <v>9872</v>
      </c>
      <c r="W129" s="107" t="s">
        <v>9873</v>
      </c>
      <c r="X129" s="101" t="s">
        <v>9874</v>
      </c>
      <c r="Y129" s="101" t="s">
        <v>5904</v>
      </c>
      <c r="Z129" s="101" t="s">
        <v>5442</v>
      </c>
      <c r="AA129" s="101" t="s">
        <v>9875</v>
      </c>
      <c r="AB129" s="107" t="s">
        <v>9876</v>
      </c>
      <c r="AC129" s="101" t="s">
        <v>9877</v>
      </c>
      <c r="AD129" s="101" t="s">
        <v>5772</v>
      </c>
      <c r="AE129" s="101" t="s">
        <v>5412</v>
      </c>
      <c r="AF129" s="101" t="s">
        <v>9833</v>
      </c>
      <c r="AG129" s="101"/>
      <c r="AH129" s="101">
        <v>2</v>
      </c>
      <c r="AI129" s="200"/>
    </row>
    <row r="130" spans="1:35" x14ac:dyDescent="0.3">
      <c r="A130" s="106">
        <v>128</v>
      </c>
      <c r="B130" s="188" t="s">
        <v>6963</v>
      </c>
      <c r="C130" s="189" t="s">
        <v>1613</v>
      </c>
      <c r="D130" s="107" t="s">
        <v>8259</v>
      </c>
      <c r="E130" s="198">
        <v>3129703180</v>
      </c>
      <c r="F130" s="101" t="s">
        <v>2377</v>
      </c>
      <c r="G130" s="323">
        <v>41164</v>
      </c>
      <c r="H130" s="105" t="s">
        <v>53</v>
      </c>
      <c r="I130" s="193" t="s">
        <v>5396</v>
      </c>
      <c r="J130" s="107" t="s">
        <v>9869</v>
      </c>
      <c r="K130" s="107" t="s">
        <v>9870</v>
      </c>
      <c r="L130" s="101" t="s">
        <v>9878</v>
      </c>
      <c r="M130" s="101"/>
      <c r="N130" s="54"/>
      <c r="O130" s="101" t="s">
        <v>7031</v>
      </c>
      <c r="P130" s="107" t="s">
        <v>5394</v>
      </c>
      <c r="Q130" s="107" t="s">
        <v>5542</v>
      </c>
      <c r="R130" s="101" t="s">
        <v>2355</v>
      </c>
      <c r="S130" s="101" t="s">
        <v>3961</v>
      </c>
      <c r="T130" s="101"/>
      <c r="U130" s="101">
        <v>40764</v>
      </c>
      <c r="V130" s="101" t="s">
        <v>9872</v>
      </c>
      <c r="W130" s="107" t="s">
        <v>9873</v>
      </c>
      <c r="X130" s="101" t="s">
        <v>9874</v>
      </c>
      <c r="Y130" s="101" t="s">
        <v>5904</v>
      </c>
      <c r="Z130" s="101" t="s">
        <v>5442</v>
      </c>
      <c r="AA130" s="101" t="s">
        <v>9875</v>
      </c>
      <c r="AB130" s="107" t="s">
        <v>9876</v>
      </c>
      <c r="AC130" s="101" t="s">
        <v>9877</v>
      </c>
      <c r="AD130" s="101" t="s">
        <v>5772</v>
      </c>
      <c r="AE130" s="101" t="s">
        <v>5412</v>
      </c>
      <c r="AF130" s="101" t="s">
        <v>9833</v>
      </c>
      <c r="AG130" s="101"/>
      <c r="AH130" s="101">
        <v>2</v>
      </c>
      <c r="AI130" s="200"/>
    </row>
    <row r="131" spans="1:35" x14ac:dyDescent="0.3">
      <c r="A131" s="106">
        <v>129</v>
      </c>
      <c r="B131" s="188" t="s">
        <v>6975</v>
      </c>
      <c r="C131" s="189" t="s">
        <v>1614</v>
      </c>
      <c r="D131" s="107" t="s">
        <v>8288</v>
      </c>
      <c r="E131" s="198">
        <v>3126831465</v>
      </c>
      <c r="F131" s="101" t="s">
        <v>2352</v>
      </c>
      <c r="G131" s="323">
        <v>41162</v>
      </c>
      <c r="H131" s="105" t="s">
        <v>53</v>
      </c>
      <c r="I131" s="193" t="s">
        <v>5396</v>
      </c>
      <c r="J131" s="107" t="s">
        <v>9879</v>
      </c>
      <c r="K131" s="107" t="s">
        <v>9880</v>
      </c>
      <c r="L131" s="101" t="s">
        <v>9881</v>
      </c>
      <c r="M131" s="101"/>
      <c r="N131" s="54"/>
      <c r="O131" s="101" t="s">
        <v>6028</v>
      </c>
      <c r="P131" s="107" t="s">
        <v>5432</v>
      </c>
      <c r="Q131" s="107" t="s">
        <v>5448</v>
      </c>
      <c r="R131" s="101" t="s">
        <v>2355</v>
      </c>
      <c r="S131" s="101" t="s">
        <v>3961</v>
      </c>
      <c r="T131" s="101"/>
      <c r="U131" s="101">
        <v>40764</v>
      </c>
      <c r="V131" s="101" t="s">
        <v>9882</v>
      </c>
      <c r="W131" s="107" t="s">
        <v>9883</v>
      </c>
      <c r="X131" s="101" t="s">
        <v>9884</v>
      </c>
      <c r="Y131" s="101" t="s">
        <v>5904</v>
      </c>
      <c r="Z131" s="101" t="s">
        <v>5442</v>
      </c>
      <c r="AA131" s="101" t="s">
        <v>9885</v>
      </c>
      <c r="AB131" s="107" t="s">
        <v>9886</v>
      </c>
      <c r="AC131" s="101" t="s">
        <v>9887</v>
      </c>
      <c r="AD131" s="101" t="s">
        <v>5904</v>
      </c>
      <c r="AE131" s="101" t="s">
        <v>5412</v>
      </c>
      <c r="AF131" s="101" t="s">
        <v>9833</v>
      </c>
      <c r="AG131" s="101"/>
      <c r="AH131" s="101">
        <v>4</v>
      </c>
      <c r="AI131" s="200"/>
    </row>
    <row r="132" spans="1:35" x14ac:dyDescent="0.3">
      <c r="A132" s="106">
        <v>130</v>
      </c>
      <c r="B132" s="188" t="s">
        <v>6990</v>
      </c>
      <c r="C132" s="106" t="s">
        <v>1617</v>
      </c>
      <c r="D132" s="346" t="s">
        <v>8410</v>
      </c>
      <c r="E132" s="198">
        <v>3137253657</v>
      </c>
      <c r="F132" s="101" t="s">
        <v>2377</v>
      </c>
      <c r="G132" s="323">
        <v>41314</v>
      </c>
      <c r="H132" s="105" t="s">
        <v>53</v>
      </c>
      <c r="I132" s="193" t="s">
        <v>5396</v>
      </c>
      <c r="J132" s="107" t="s">
        <v>9888</v>
      </c>
      <c r="K132" s="107" t="s">
        <v>9889</v>
      </c>
      <c r="L132" s="101" t="s">
        <v>9890</v>
      </c>
      <c r="M132" s="101"/>
      <c r="N132" s="54"/>
      <c r="O132" s="101" t="s">
        <v>9851</v>
      </c>
      <c r="P132" s="107" t="s">
        <v>5394</v>
      </c>
      <c r="Q132" s="107" t="s">
        <v>5461</v>
      </c>
      <c r="R132" s="101" t="s">
        <v>2355</v>
      </c>
      <c r="S132" s="101" t="s">
        <v>3961</v>
      </c>
      <c r="T132" s="101"/>
      <c r="U132" s="101">
        <v>40764</v>
      </c>
      <c r="V132" s="101" t="s">
        <v>9891</v>
      </c>
      <c r="W132" s="107" t="s">
        <v>9892</v>
      </c>
      <c r="X132" s="101" t="s">
        <v>9893</v>
      </c>
      <c r="Y132" s="101" t="s">
        <v>5772</v>
      </c>
      <c r="Z132" s="101" t="s">
        <v>5442</v>
      </c>
      <c r="AA132" s="339" t="s">
        <v>3966</v>
      </c>
      <c r="AB132" s="338" t="s">
        <v>9894</v>
      </c>
      <c r="AC132" s="339" t="s">
        <v>9895</v>
      </c>
      <c r="AD132" s="101" t="s">
        <v>5904</v>
      </c>
      <c r="AE132" s="101" t="s">
        <v>5412</v>
      </c>
      <c r="AF132" s="101" t="s">
        <v>9833</v>
      </c>
      <c r="AG132" s="101"/>
      <c r="AH132" s="101">
        <v>2</v>
      </c>
      <c r="AI132" s="200"/>
    </row>
    <row r="133" spans="1:35" x14ac:dyDescent="0.3">
      <c r="A133" s="106">
        <v>131</v>
      </c>
      <c r="B133" s="188" t="s">
        <v>7001</v>
      </c>
      <c r="C133" s="106" t="s">
        <v>1614</v>
      </c>
      <c r="D133" s="107" t="s">
        <v>8289</v>
      </c>
      <c r="E133" s="198">
        <v>3121367857</v>
      </c>
      <c r="F133" s="101" t="s">
        <v>2377</v>
      </c>
      <c r="G133" s="323">
        <v>41043</v>
      </c>
      <c r="H133" s="105" t="s">
        <v>52</v>
      </c>
      <c r="I133" s="237" t="s">
        <v>5396</v>
      </c>
      <c r="J133" s="107" t="s">
        <v>9896</v>
      </c>
      <c r="K133" s="107" t="s">
        <v>9897</v>
      </c>
      <c r="L133" s="101" t="s">
        <v>9898</v>
      </c>
      <c r="M133" s="101"/>
      <c r="N133" s="101"/>
      <c r="O133" s="101" t="s">
        <v>6028</v>
      </c>
      <c r="P133" s="107" t="s">
        <v>5415</v>
      </c>
      <c r="Q133" s="107" t="s">
        <v>5448</v>
      </c>
      <c r="R133" s="101" t="s">
        <v>2355</v>
      </c>
      <c r="S133" s="101" t="s">
        <v>3961</v>
      </c>
      <c r="T133" s="219"/>
      <c r="U133" s="101">
        <v>4076</v>
      </c>
      <c r="V133" s="101" t="s">
        <v>9899</v>
      </c>
      <c r="W133" s="107" t="s">
        <v>9900</v>
      </c>
      <c r="X133" s="101" t="s">
        <v>9901</v>
      </c>
      <c r="Y133" s="101" t="s">
        <v>5772</v>
      </c>
      <c r="Z133" s="101" t="s">
        <v>5442</v>
      </c>
      <c r="AA133" s="101" t="s">
        <v>9902</v>
      </c>
      <c r="AB133" s="107" t="s">
        <v>9903</v>
      </c>
      <c r="AC133" s="101" t="s">
        <v>9904</v>
      </c>
      <c r="AD133" s="101" t="s">
        <v>5772</v>
      </c>
      <c r="AE133" s="101" t="s">
        <v>5412</v>
      </c>
      <c r="AF133" s="101" t="s">
        <v>9833</v>
      </c>
      <c r="AG133" s="101"/>
      <c r="AH133" s="101">
        <v>1</v>
      </c>
      <c r="AI133" s="200"/>
    </row>
    <row r="134" spans="1:35" x14ac:dyDescent="0.3">
      <c r="A134" s="106">
        <v>132</v>
      </c>
      <c r="B134" s="188" t="s">
        <v>7013</v>
      </c>
      <c r="C134" s="106" t="s">
        <v>1615</v>
      </c>
      <c r="D134" s="107" t="s">
        <v>8322</v>
      </c>
      <c r="E134" s="198">
        <v>3122308823</v>
      </c>
      <c r="F134" s="101" t="s">
        <v>2377</v>
      </c>
      <c r="G134" s="323">
        <v>41231</v>
      </c>
      <c r="H134" s="105" t="s">
        <v>52</v>
      </c>
      <c r="I134" s="193" t="s">
        <v>5396</v>
      </c>
      <c r="J134" s="107" t="s">
        <v>9905</v>
      </c>
      <c r="K134" s="107" t="s">
        <v>9906</v>
      </c>
      <c r="L134" s="101" t="s">
        <v>9907</v>
      </c>
      <c r="M134" s="101"/>
      <c r="N134" s="101"/>
      <c r="O134" s="101" t="s">
        <v>6028</v>
      </c>
      <c r="P134" s="107" t="s">
        <v>5394</v>
      </c>
      <c r="Q134" s="107" t="s">
        <v>5448</v>
      </c>
      <c r="R134" s="101" t="s">
        <v>2355</v>
      </c>
      <c r="S134" s="101" t="s">
        <v>3961</v>
      </c>
      <c r="T134" s="101"/>
      <c r="U134" s="101">
        <v>4076</v>
      </c>
      <c r="V134" s="101" t="s">
        <v>9509</v>
      </c>
      <c r="W134" s="107" t="s">
        <v>9908</v>
      </c>
      <c r="X134" s="101" t="s">
        <v>9909</v>
      </c>
      <c r="Y134" s="101" t="s">
        <v>5772</v>
      </c>
      <c r="Z134" s="101" t="s">
        <v>5442</v>
      </c>
      <c r="AA134" s="101" t="s">
        <v>9910</v>
      </c>
      <c r="AB134" s="107" t="s">
        <v>9911</v>
      </c>
      <c r="AC134" s="101" t="s">
        <v>9912</v>
      </c>
      <c r="AD134" s="101" t="s">
        <v>5772</v>
      </c>
      <c r="AE134" s="101" t="s">
        <v>5412</v>
      </c>
      <c r="AF134" s="101" t="s">
        <v>9833</v>
      </c>
      <c r="AG134" s="101" t="s">
        <v>9913</v>
      </c>
      <c r="AH134" s="101">
        <v>2</v>
      </c>
      <c r="AI134" s="200"/>
    </row>
    <row r="135" spans="1:35" x14ac:dyDescent="0.3">
      <c r="A135" s="106">
        <v>133</v>
      </c>
      <c r="B135" s="235" t="s">
        <v>7026</v>
      </c>
      <c r="C135" s="106" t="s">
        <v>1615</v>
      </c>
      <c r="D135" s="107" t="s">
        <v>8323</v>
      </c>
      <c r="E135" s="198">
        <v>3123476352</v>
      </c>
      <c r="F135" s="101" t="s">
        <v>2377</v>
      </c>
      <c r="G135" s="323">
        <v>41131</v>
      </c>
      <c r="H135" s="105" t="s">
        <v>52</v>
      </c>
      <c r="I135" s="237" t="s">
        <v>5396</v>
      </c>
      <c r="J135" s="107" t="s">
        <v>9914</v>
      </c>
      <c r="K135" s="107" t="s">
        <v>9286</v>
      </c>
      <c r="L135" s="101" t="s">
        <v>9915</v>
      </c>
      <c r="M135" s="101"/>
      <c r="N135" s="101"/>
      <c r="O135" s="101" t="s">
        <v>6028</v>
      </c>
      <c r="P135" s="107" t="s">
        <v>5432</v>
      </c>
      <c r="Q135" s="107" t="s">
        <v>5448</v>
      </c>
      <c r="R135" s="101" t="s">
        <v>2355</v>
      </c>
      <c r="S135" s="101" t="s">
        <v>3961</v>
      </c>
      <c r="T135" s="101"/>
      <c r="U135" s="107">
        <v>40564</v>
      </c>
      <c r="V135" s="101" t="s">
        <v>4076</v>
      </c>
      <c r="W135" s="107" t="s">
        <v>9916</v>
      </c>
      <c r="X135" s="101" t="s">
        <v>9917</v>
      </c>
      <c r="Y135" s="101" t="s">
        <v>5904</v>
      </c>
      <c r="Z135" s="101" t="s">
        <v>5442</v>
      </c>
      <c r="AA135" s="101" t="s">
        <v>9918</v>
      </c>
      <c r="AB135" s="107" t="s">
        <v>9919</v>
      </c>
      <c r="AC135" s="101" t="s">
        <v>9920</v>
      </c>
      <c r="AD135" s="101" t="s">
        <v>5904</v>
      </c>
      <c r="AE135" s="101" t="s">
        <v>5412</v>
      </c>
      <c r="AF135" s="101" t="s">
        <v>9833</v>
      </c>
      <c r="AG135" s="101"/>
      <c r="AH135" s="101">
        <v>2</v>
      </c>
      <c r="AI135" s="200"/>
    </row>
    <row r="136" spans="1:35" x14ac:dyDescent="0.3">
      <c r="A136" s="106">
        <v>134</v>
      </c>
      <c r="B136" s="235" t="s">
        <v>7039</v>
      </c>
      <c r="C136" s="106" t="s">
        <v>1616</v>
      </c>
      <c r="D136" s="107" t="s">
        <v>8360</v>
      </c>
      <c r="E136" s="198">
        <v>3134307134</v>
      </c>
      <c r="F136" s="101" t="s">
        <v>2377</v>
      </c>
      <c r="G136" s="323">
        <v>41436</v>
      </c>
      <c r="H136" s="105" t="s">
        <v>52</v>
      </c>
      <c r="I136" s="237" t="s">
        <v>5396</v>
      </c>
      <c r="J136" s="107" t="s">
        <v>9921</v>
      </c>
      <c r="K136" s="107" t="s">
        <v>9922</v>
      </c>
      <c r="L136" s="107" t="s">
        <v>9923</v>
      </c>
      <c r="M136" s="101"/>
      <c r="N136" s="101"/>
      <c r="O136" s="101" t="s">
        <v>7031</v>
      </c>
      <c r="P136" s="107" t="s">
        <v>5415</v>
      </c>
      <c r="Q136" s="107" t="s">
        <v>5421</v>
      </c>
      <c r="R136" s="101" t="s">
        <v>2355</v>
      </c>
      <c r="S136" s="101" t="s">
        <v>3961</v>
      </c>
      <c r="T136" s="101"/>
      <c r="U136" s="107">
        <v>40764</v>
      </c>
      <c r="V136" s="101" t="s">
        <v>9924</v>
      </c>
      <c r="W136" s="107" t="s">
        <v>9925</v>
      </c>
      <c r="X136" s="101" t="s">
        <v>9926</v>
      </c>
      <c r="Y136" s="101" t="s">
        <v>5772</v>
      </c>
      <c r="Z136" s="101" t="s">
        <v>5442</v>
      </c>
      <c r="AA136" s="101" t="s">
        <v>5484</v>
      </c>
      <c r="AB136" s="107" t="s">
        <v>9927</v>
      </c>
      <c r="AC136" s="101" t="s">
        <v>9928</v>
      </c>
      <c r="AD136" s="101" t="s">
        <v>5904</v>
      </c>
      <c r="AE136" s="101" t="s">
        <v>5412</v>
      </c>
      <c r="AF136" s="101" t="s">
        <v>9833</v>
      </c>
      <c r="AG136" s="101"/>
      <c r="AH136" s="101">
        <v>2</v>
      </c>
      <c r="AI136" s="200"/>
    </row>
    <row r="137" spans="1:35" x14ac:dyDescent="0.3">
      <c r="A137" s="106">
        <v>135</v>
      </c>
      <c r="B137" s="235" t="s">
        <v>7050</v>
      </c>
      <c r="C137" s="106" t="s">
        <v>1617</v>
      </c>
      <c r="D137" s="346" t="s">
        <v>8411</v>
      </c>
      <c r="E137" s="198">
        <v>3137255819</v>
      </c>
      <c r="F137" s="101" t="s">
        <v>2377</v>
      </c>
      <c r="G137" s="333">
        <v>41481</v>
      </c>
      <c r="H137" s="105" t="s">
        <v>52</v>
      </c>
      <c r="I137" s="237" t="s">
        <v>5396</v>
      </c>
      <c r="J137" s="107" t="s">
        <v>9929</v>
      </c>
      <c r="K137" s="107" t="s">
        <v>9930</v>
      </c>
      <c r="L137" s="101" t="s">
        <v>9931</v>
      </c>
      <c r="M137" s="101"/>
      <c r="N137" s="101"/>
      <c r="O137" s="101" t="s">
        <v>9851</v>
      </c>
      <c r="P137" s="107" t="s">
        <v>5415</v>
      </c>
      <c r="Q137" s="107" t="s">
        <v>5461</v>
      </c>
      <c r="R137" s="101" t="s">
        <v>2355</v>
      </c>
      <c r="S137" s="101" t="s">
        <v>3961</v>
      </c>
      <c r="T137" s="101"/>
      <c r="U137" s="107">
        <v>40764</v>
      </c>
      <c r="V137" s="101" t="s">
        <v>9932</v>
      </c>
      <c r="W137" s="107" t="s">
        <v>9933</v>
      </c>
      <c r="X137" s="101" t="s">
        <v>9934</v>
      </c>
      <c r="Y137" s="101" t="s">
        <v>5772</v>
      </c>
      <c r="Z137" s="101" t="s">
        <v>5442</v>
      </c>
      <c r="AA137" s="101" t="s">
        <v>9935</v>
      </c>
      <c r="AB137" s="107" t="s">
        <v>9936</v>
      </c>
      <c r="AC137" s="101" t="s">
        <v>9937</v>
      </c>
      <c r="AD137" s="101" t="s">
        <v>5904</v>
      </c>
      <c r="AE137" s="101" t="s">
        <v>5412</v>
      </c>
      <c r="AF137" s="101" t="s">
        <v>9833</v>
      </c>
      <c r="AG137" s="107"/>
      <c r="AH137" s="101">
        <v>1</v>
      </c>
      <c r="AI137" s="200"/>
    </row>
    <row r="138" spans="1:35" x14ac:dyDescent="0.3">
      <c r="A138" s="106">
        <v>136</v>
      </c>
      <c r="B138" s="235" t="s">
        <v>7062</v>
      </c>
      <c r="C138" s="106" t="s">
        <v>1617</v>
      </c>
      <c r="D138" s="346" t="s">
        <v>8412</v>
      </c>
      <c r="E138" s="198">
        <v>3123522019</v>
      </c>
      <c r="F138" s="101" t="s">
        <v>2377</v>
      </c>
      <c r="G138" s="333">
        <v>41191</v>
      </c>
      <c r="H138" s="105" t="s">
        <v>52</v>
      </c>
      <c r="I138" s="237" t="s">
        <v>5396</v>
      </c>
      <c r="J138" s="107" t="s">
        <v>9938</v>
      </c>
      <c r="K138" s="107" t="s">
        <v>9939</v>
      </c>
      <c r="L138" s="101" t="s">
        <v>9940</v>
      </c>
      <c r="M138" s="101"/>
      <c r="N138" s="101"/>
      <c r="O138" s="101" t="s">
        <v>9851</v>
      </c>
      <c r="P138" s="107" t="s">
        <v>5394</v>
      </c>
      <c r="Q138" s="107" t="s">
        <v>5461</v>
      </c>
      <c r="R138" s="101" t="s">
        <v>2355</v>
      </c>
      <c r="S138" s="101" t="s">
        <v>3961</v>
      </c>
      <c r="T138" s="101"/>
      <c r="U138" s="107">
        <v>40764</v>
      </c>
      <c r="V138" s="101" t="s">
        <v>9941</v>
      </c>
      <c r="W138" s="107" t="s">
        <v>9942</v>
      </c>
      <c r="X138" s="101" t="s">
        <v>9943</v>
      </c>
      <c r="Y138" s="101" t="s">
        <v>5904</v>
      </c>
      <c r="Z138" s="101" t="s">
        <v>5442</v>
      </c>
      <c r="AA138" s="101" t="s">
        <v>9944</v>
      </c>
      <c r="AB138" s="107" t="s">
        <v>9945</v>
      </c>
      <c r="AC138" s="101" t="s">
        <v>9946</v>
      </c>
      <c r="AD138" s="101" t="s">
        <v>5785</v>
      </c>
      <c r="AE138" s="101" t="s">
        <v>5412</v>
      </c>
      <c r="AF138" s="101" t="s">
        <v>9833</v>
      </c>
      <c r="AG138" s="107"/>
      <c r="AH138" s="101">
        <v>2</v>
      </c>
      <c r="AI138" s="200"/>
    </row>
    <row r="139" spans="1:35" x14ac:dyDescent="0.3">
      <c r="A139" s="106">
        <v>137</v>
      </c>
      <c r="B139" s="235" t="s">
        <v>7072</v>
      </c>
      <c r="C139" s="106" t="s">
        <v>1617</v>
      </c>
      <c r="D139" s="346" t="s">
        <v>8413</v>
      </c>
      <c r="E139" s="198" t="s">
        <v>9947</v>
      </c>
      <c r="F139" s="101" t="s">
        <v>2377</v>
      </c>
      <c r="G139" s="333">
        <v>41269</v>
      </c>
      <c r="H139" s="105" t="s">
        <v>53</v>
      </c>
      <c r="I139" s="237" t="s">
        <v>5396</v>
      </c>
      <c r="J139" s="107" t="s">
        <v>9948</v>
      </c>
      <c r="K139" s="107" t="s">
        <v>9949</v>
      </c>
      <c r="L139" s="101" t="s">
        <v>9950</v>
      </c>
      <c r="M139" s="101"/>
      <c r="N139" s="101"/>
      <c r="O139" s="101" t="s">
        <v>9851</v>
      </c>
      <c r="P139" s="107" t="s">
        <v>5415</v>
      </c>
      <c r="Q139" s="107" t="s">
        <v>5461</v>
      </c>
      <c r="R139" s="101" t="s">
        <v>2355</v>
      </c>
      <c r="S139" s="101" t="s">
        <v>3961</v>
      </c>
      <c r="T139" s="101"/>
      <c r="U139" s="107">
        <v>40764</v>
      </c>
      <c r="V139" s="101" t="s">
        <v>9951</v>
      </c>
      <c r="W139" s="107" t="s">
        <v>9952</v>
      </c>
      <c r="X139" s="101" t="s">
        <v>9953</v>
      </c>
      <c r="Y139" s="101" t="s">
        <v>5904</v>
      </c>
      <c r="Z139" s="101" t="s">
        <v>5442</v>
      </c>
      <c r="AA139" s="101" t="s">
        <v>621</v>
      </c>
      <c r="AB139" s="107" t="s">
        <v>9954</v>
      </c>
      <c r="AC139" s="101" t="s">
        <v>9955</v>
      </c>
      <c r="AD139" s="101" t="s">
        <v>5904</v>
      </c>
      <c r="AE139" s="101" t="s">
        <v>5412</v>
      </c>
      <c r="AF139" s="101" t="s">
        <v>9833</v>
      </c>
      <c r="AG139" s="101"/>
      <c r="AH139" s="101">
        <v>1</v>
      </c>
      <c r="AI139" s="200"/>
    </row>
    <row r="140" spans="1:35" x14ac:dyDescent="0.3">
      <c r="A140" s="106">
        <v>138</v>
      </c>
      <c r="B140" s="235" t="s">
        <v>7081</v>
      </c>
      <c r="C140" s="106" t="s">
        <v>1617</v>
      </c>
      <c r="D140" s="346" t="s">
        <v>8414</v>
      </c>
      <c r="E140" s="198">
        <v>3125857796</v>
      </c>
      <c r="F140" s="101" t="s">
        <v>2377</v>
      </c>
      <c r="G140" s="333">
        <v>41185</v>
      </c>
      <c r="H140" s="105" t="s">
        <v>53</v>
      </c>
      <c r="I140" s="237" t="s">
        <v>5396</v>
      </c>
      <c r="J140" s="107" t="s">
        <v>9956</v>
      </c>
      <c r="K140" s="107" t="s">
        <v>9957</v>
      </c>
      <c r="L140" s="101" t="s">
        <v>9958</v>
      </c>
      <c r="M140" s="101"/>
      <c r="N140" s="101"/>
      <c r="O140" s="101" t="s">
        <v>9851</v>
      </c>
      <c r="P140" s="107" t="s">
        <v>5394</v>
      </c>
      <c r="Q140" s="107" t="s">
        <v>5461</v>
      </c>
      <c r="R140" s="101" t="s">
        <v>2355</v>
      </c>
      <c r="S140" s="101" t="s">
        <v>3961</v>
      </c>
      <c r="T140" s="101"/>
      <c r="U140" s="101">
        <v>40764</v>
      </c>
      <c r="V140" s="101" t="s">
        <v>2978</v>
      </c>
      <c r="W140" s="107" t="s">
        <v>9959</v>
      </c>
      <c r="X140" s="101" t="s">
        <v>9960</v>
      </c>
      <c r="Y140" s="101" t="s">
        <v>5772</v>
      </c>
      <c r="Z140" s="101" t="s">
        <v>5442</v>
      </c>
      <c r="AA140" s="101" t="s">
        <v>2979</v>
      </c>
      <c r="AB140" s="107" t="s">
        <v>9961</v>
      </c>
      <c r="AC140" s="101" t="s">
        <v>9710</v>
      </c>
      <c r="AD140" s="101" t="s">
        <v>5904</v>
      </c>
      <c r="AE140" s="101" t="s">
        <v>5412</v>
      </c>
      <c r="AF140" s="101" t="s">
        <v>9833</v>
      </c>
      <c r="AG140" s="101"/>
      <c r="AH140" s="101">
        <v>2</v>
      </c>
      <c r="AI140" s="200"/>
    </row>
    <row r="141" spans="1:35" x14ac:dyDescent="0.3">
      <c r="A141" s="398">
        <v>139</v>
      </c>
      <c r="B141" s="472" t="s">
        <v>7095</v>
      </c>
      <c r="C141" s="398" t="s">
        <v>1614</v>
      </c>
      <c r="D141" s="473" t="s">
        <v>8290</v>
      </c>
      <c r="E141" s="410">
        <v>3135121719</v>
      </c>
      <c r="F141" s="463" t="s">
        <v>2377</v>
      </c>
      <c r="G141" s="474">
        <v>41362</v>
      </c>
      <c r="H141" s="475" t="s">
        <v>53</v>
      </c>
      <c r="I141" s="476" t="s">
        <v>5396</v>
      </c>
      <c r="J141" s="473" t="s">
        <v>9962</v>
      </c>
      <c r="K141" s="473" t="s">
        <v>9963</v>
      </c>
      <c r="L141" s="473" t="s">
        <v>9964</v>
      </c>
      <c r="M141" s="463"/>
      <c r="N141" s="463"/>
      <c r="O141" s="463" t="s">
        <v>6028</v>
      </c>
      <c r="P141" s="473" t="s">
        <v>5415</v>
      </c>
      <c r="Q141" s="473" t="s">
        <v>5448</v>
      </c>
      <c r="R141" s="463" t="s">
        <v>2355</v>
      </c>
      <c r="S141" s="463" t="s">
        <v>3961</v>
      </c>
      <c r="T141" s="463"/>
      <c r="U141" s="473">
        <v>40764</v>
      </c>
      <c r="V141" s="463" t="s">
        <v>9965</v>
      </c>
      <c r="W141" s="473" t="s">
        <v>9966</v>
      </c>
      <c r="X141" s="463" t="s">
        <v>9967</v>
      </c>
      <c r="Y141" s="463" t="s">
        <v>5904</v>
      </c>
      <c r="Z141" s="463" t="s">
        <v>5442</v>
      </c>
      <c r="AA141" s="463" t="s">
        <v>4174</v>
      </c>
      <c r="AB141" s="473" t="s">
        <v>9968</v>
      </c>
      <c r="AC141" s="463" t="s">
        <v>6176</v>
      </c>
      <c r="AD141" s="463" t="s">
        <v>5904</v>
      </c>
      <c r="AE141" s="463" t="s">
        <v>5412</v>
      </c>
      <c r="AF141" s="463" t="s">
        <v>9833</v>
      </c>
      <c r="AG141" s="473"/>
      <c r="AH141" s="463">
        <v>3</v>
      </c>
      <c r="AI141" s="412"/>
    </row>
    <row r="142" spans="1:35" x14ac:dyDescent="0.3">
      <c r="A142" s="398">
        <v>140</v>
      </c>
      <c r="B142" s="472" t="s">
        <v>7105</v>
      </c>
      <c r="C142" s="398" t="s">
        <v>1617</v>
      </c>
      <c r="D142" s="346" t="s">
        <v>8415</v>
      </c>
      <c r="E142" s="410">
        <v>3133042158</v>
      </c>
      <c r="F142" s="463" t="s">
        <v>2377</v>
      </c>
      <c r="G142" s="477">
        <v>41381</v>
      </c>
      <c r="H142" s="475" t="s">
        <v>53</v>
      </c>
      <c r="I142" s="476" t="s">
        <v>5396</v>
      </c>
      <c r="J142" s="473" t="s">
        <v>9969</v>
      </c>
      <c r="K142" s="473" t="s">
        <v>9970</v>
      </c>
      <c r="L142" s="463" t="s">
        <v>9971</v>
      </c>
      <c r="M142" s="463"/>
      <c r="N142" s="463"/>
      <c r="O142" s="463" t="s">
        <v>6627</v>
      </c>
      <c r="P142" s="473" t="s">
        <v>5394</v>
      </c>
      <c r="Q142" s="473" t="s">
        <v>5432</v>
      </c>
      <c r="R142" s="463" t="s">
        <v>2355</v>
      </c>
      <c r="S142" s="463" t="s">
        <v>3961</v>
      </c>
      <c r="T142" s="463"/>
      <c r="U142" s="473">
        <v>40764</v>
      </c>
      <c r="V142" s="463" t="s">
        <v>9972</v>
      </c>
      <c r="W142" s="473"/>
      <c r="X142" s="463"/>
      <c r="Y142" s="463"/>
      <c r="Z142" s="463"/>
      <c r="AA142" s="463" t="s">
        <v>9973</v>
      </c>
      <c r="AB142" s="473" t="s">
        <v>9974</v>
      </c>
      <c r="AC142" s="463" t="s">
        <v>9975</v>
      </c>
      <c r="AD142" s="463" t="s">
        <v>5904</v>
      </c>
      <c r="AE142" s="463" t="s">
        <v>5412</v>
      </c>
      <c r="AF142" s="463" t="s">
        <v>9833</v>
      </c>
      <c r="AG142" s="463"/>
      <c r="AH142" s="463">
        <v>3</v>
      </c>
      <c r="AI142" s="412"/>
    </row>
    <row r="143" spans="1:35" x14ac:dyDescent="0.3">
      <c r="A143" s="398">
        <v>141</v>
      </c>
      <c r="B143" s="472" t="s">
        <v>7116</v>
      </c>
      <c r="C143" s="398" t="s">
        <v>1617</v>
      </c>
      <c r="D143" s="346" t="s">
        <v>8416</v>
      </c>
      <c r="E143" s="410" t="s">
        <v>9976</v>
      </c>
      <c r="F143" s="463" t="s">
        <v>2377</v>
      </c>
      <c r="G143" s="477">
        <v>41211</v>
      </c>
      <c r="H143" s="475" t="s">
        <v>53</v>
      </c>
      <c r="I143" s="476" t="s">
        <v>5396</v>
      </c>
      <c r="J143" s="473" t="s">
        <v>9977</v>
      </c>
      <c r="K143" s="473" t="s">
        <v>9978</v>
      </c>
      <c r="L143" s="463" t="s">
        <v>9979</v>
      </c>
      <c r="M143" s="463"/>
      <c r="N143" s="463"/>
      <c r="O143" s="463" t="s">
        <v>6549</v>
      </c>
      <c r="P143" s="473" t="s">
        <v>5394</v>
      </c>
      <c r="Q143" s="473" t="s">
        <v>5520</v>
      </c>
      <c r="R143" s="463" t="s">
        <v>2355</v>
      </c>
      <c r="S143" s="463" t="s">
        <v>3961</v>
      </c>
      <c r="T143" s="463"/>
      <c r="U143" s="473">
        <v>40764</v>
      </c>
      <c r="V143" s="463" t="s">
        <v>9980</v>
      </c>
      <c r="W143" s="473" t="s">
        <v>9981</v>
      </c>
      <c r="X143" s="463" t="s">
        <v>9982</v>
      </c>
      <c r="Y143" s="463" t="s">
        <v>5772</v>
      </c>
      <c r="Z143" s="463" t="s">
        <v>5442</v>
      </c>
      <c r="AA143" s="463" t="s">
        <v>9983</v>
      </c>
      <c r="AB143" s="473" t="s">
        <v>9984</v>
      </c>
      <c r="AC143" s="463" t="s">
        <v>9985</v>
      </c>
      <c r="AD143" s="463" t="s">
        <v>5785</v>
      </c>
      <c r="AE143" s="463" t="s">
        <v>5412</v>
      </c>
      <c r="AF143" s="463" t="s">
        <v>9833</v>
      </c>
      <c r="AG143" s="463"/>
      <c r="AH143" s="463">
        <v>1</v>
      </c>
      <c r="AI143" s="412"/>
    </row>
    <row r="144" spans="1:35" x14ac:dyDescent="0.3">
      <c r="A144" s="398">
        <v>142</v>
      </c>
      <c r="B144" s="472" t="s">
        <v>7127</v>
      </c>
      <c r="C144" s="398" t="s">
        <v>1617</v>
      </c>
      <c r="D144" s="473" t="s">
        <v>8324</v>
      </c>
      <c r="E144" s="410">
        <v>3126753797</v>
      </c>
      <c r="F144" s="463" t="s">
        <v>2377</v>
      </c>
      <c r="G144" s="477">
        <v>41102</v>
      </c>
      <c r="H144" s="475" t="s">
        <v>53</v>
      </c>
      <c r="I144" s="476" t="s">
        <v>5396</v>
      </c>
      <c r="J144" s="473" t="s">
        <v>9986</v>
      </c>
      <c r="K144" s="473" t="s">
        <v>9987</v>
      </c>
      <c r="L144" s="463" t="s">
        <v>9988</v>
      </c>
      <c r="M144" s="463"/>
      <c r="N144" s="463"/>
      <c r="O144" s="463" t="s">
        <v>6028</v>
      </c>
      <c r="P144" s="473" t="s">
        <v>5432</v>
      </c>
      <c r="Q144" s="473" t="s">
        <v>5448</v>
      </c>
      <c r="R144" s="463" t="s">
        <v>2355</v>
      </c>
      <c r="S144" s="463" t="s">
        <v>3961</v>
      </c>
      <c r="T144" s="463"/>
      <c r="U144" s="473">
        <v>40764</v>
      </c>
      <c r="V144" s="463" t="s">
        <v>9989</v>
      </c>
      <c r="W144" s="473" t="s">
        <v>9990</v>
      </c>
      <c r="X144" s="463" t="s">
        <v>9991</v>
      </c>
      <c r="Y144" s="463" t="s">
        <v>5904</v>
      </c>
      <c r="Z144" s="463" t="s">
        <v>5442</v>
      </c>
      <c r="AA144" s="463" t="s">
        <v>9992</v>
      </c>
      <c r="AB144" s="473" t="s">
        <v>9993</v>
      </c>
      <c r="AC144" s="463" t="s">
        <v>9994</v>
      </c>
      <c r="AD144" s="463" t="s">
        <v>5904</v>
      </c>
      <c r="AE144" s="463" t="s">
        <v>5412</v>
      </c>
      <c r="AF144" s="463" t="s">
        <v>9833</v>
      </c>
      <c r="AG144" s="469"/>
      <c r="AH144" s="463">
        <v>1</v>
      </c>
      <c r="AI144" s="412"/>
    </row>
    <row r="145" spans="1:35" x14ac:dyDescent="0.3">
      <c r="A145" s="398">
        <v>143</v>
      </c>
      <c r="B145" s="399" t="s">
        <v>7137</v>
      </c>
      <c r="C145" s="398" t="s">
        <v>1617</v>
      </c>
      <c r="D145" s="346" t="s">
        <v>8417</v>
      </c>
      <c r="E145" s="410" t="s">
        <v>9995</v>
      </c>
      <c r="F145" s="463" t="s">
        <v>2377</v>
      </c>
      <c r="G145" s="477">
        <v>41245</v>
      </c>
      <c r="H145" s="475" t="s">
        <v>53</v>
      </c>
      <c r="I145" s="404" t="s">
        <v>5396</v>
      </c>
      <c r="J145" s="473" t="s">
        <v>9996</v>
      </c>
      <c r="K145" s="473" t="s">
        <v>9997</v>
      </c>
      <c r="L145" s="463" t="s">
        <v>9998</v>
      </c>
      <c r="M145" s="463"/>
      <c r="N145" s="463"/>
      <c r="O145" s="463" t="s">
        <v>6549</v>
      </c>
      <c r="P145" s="473" t="s">
        <v>5432</v>
      </c>
      <c r="Q145" s="473" t="s">
        <v>5520</v>
      </c>
      <c r="R145" s="463" t="s">
        <v>2355</v>
      </c>
      <c r="S145" s="463" t="s">
        <v>3961</v>
      </c>
      <c r="T145" s="463"/>
      <c r="U145" s="473">
        <v>40764</v>
      </c>
      <c r="V145" s="463" t="s">
        <v>3432</v>
      </c>
      <c r="W145" s="473" t="s">
        <v>9999</v>
      </c>
      <c r="X145" s="463" t="s">
        <v>10000</v>
      </c>
      <c r="Y145" s="463" t="s">
        <v>5904</v>
      </c>
      <c r="Z145" s="463" t="s">
        <v>5442</v>
      </c>
      <c r="AA145" s="463" t="s">
        <v>1666</v>
      </c>
      <c r="AB145" s="473" t="s">
        <v>10001</v>
      </c>
      <c r="AC145" s="463" t="s">
        <v>10002</v>
      </c>
      <c r="AD145" s="463" t="s">
        <v>5904</v>
      </c>
      <c r="AE145" s="463" t="s">
        <v>5412</v>
      </c>
      <c r="AF145" s="463" t="s">
        <v>9833</v>
      </c>
      <c r="AG145" s="473"/>
      <c r="AH145" s="463">
        <v>1</v>
      </c>
      <c r="AI145" s="412"/>
    </row>
    <row r="146" spans="1:35" x14ac:dyDescent="0.3">
      <c r="A146" s="398">
        <v>144</v>
      </c>
      <c r="B146" s="399" t="s">
        <v>7149</v>
      </c>
      <c r="C146" s="398" t="s">
        <v>1613</v>
      </c>
      <c r="D146" s="473" t="s">
        <v>8260</v>
      </c>
      <c r="E146" s="410">
        <v>3112655188</v>
      </c>
      <c r="F146" s="463" t="s">
        <v>2377</v>
      </c>
      <c r="G146" s="477">
        <v>40839</v>
      </c>
      <c r="H146" s="475" t="s">
        <v>52</v>
      </c>
      <c r="I146" s="404" t="s">
        <v>5396</v>
      </c>
      <c r="J146" s="473" t="s">
        <v>10003</v>
      </c>
      <c r="K146" s="473" t="s">
        <v>10004</v>
      </c>
      <c r="L146" s="463"/>
      <c r="M146" s="463"/>
      <c r="N146" s="463"/>
      <c r="O146" s="463" t="s">
        <v>10005</v>
      </c>
      <c r="P146" s="473" t="s">
        <v>5415</v>
      </c>
      <c r="Q146" s="473" t="s">
        <v>5542</v>
      </c>
      <c r="R146" s="463" t="s">
        <v>2355</v>
      </c>
      <c r="S146" s="463" t="s">
        <v>3961</v>
      </c>
      <c r="T146" s="463"/>
      <c r="U146" s="473">
        <v>40764</v>
      </c>
      <c r="V146" s="463"/>
      <c r="W146" s="473"/>
      <c r="X146" s="463"/>
      <c r="Y146" s="463"/>
      <c r="Z146" s="463"/>
      <c r="AA146" s="463" t="s">
        <v>10006</v>
      </c>
      <c r="AB146" s="473" t="s">
        <v>10007</v>
      </c>
      <c r="AC146" s="463" t="s">
        <v>10008</v>
      </c>
      <c r="AD146" s="463" t="s">
        <v>5904</v>
      </c>
      <c r="AE146" s="463" t="s">
        <v>5412</v>
      </c>
      <c r="AF146" s="463" t="s">
        <v>6732</v>
      </c>
      <c r="AG146" s="473"/>
      <c r="AH146" s="463">
        <v>5</v>
      </c>
      <c r="AI146" s="412"/>
    </row>
    <row r="147" spans="1:35" x14ac:dyDescent="0.3">
      <c r="A147" s="398">
        <v>145</v>
      </c>
      <c r="B147" s="399" t="s">
        <v>7159</v>
      </c>
      <c r="C147" s="400" t="s">
        <v>1613</v>
      </c>
      <c r="D147" s="473" t="s">
        <v>8261</v>
      </c>
      <c r="E147" s="410" t="s">
        <v>10009</v>
      </c>
      <c r="F147" s="463" t="s">
        <v>2377</v>
      </c>
      <c r="G147" s="477">
        <v>41489</v>
      </c>
      <c r="H147" s="475" t="s">
        <v>52</v>
      </c>
      <c r="I147" s="404" t="s">
        <v>5396</v>
      </c>
      <c r="J147" s="473" t="s">
        <v>10010</v>
      </c>
      <c r="K147" s="473" t="s">
        <v>10011</v>
      </c>
      <c r="L147" s="463" t="s">
        <v>10012</v>
      </c>
      <c r="M147" s="463"/>
      <c r="N147" s="463"/>
      <c r="O147" s="463" t="s">
        <v>6549</v>
      </c>
      <c r="P147" s="473" t="s">
        <v>5432</v>
      </c>
      <c r="Q147" s="473" t="s">
        <v>5520</v>
      </c>
      <c r="R147" s="463" t="s">
        <v>2355</v>
      </c>
      <c r="S147" s="463" t="s">
        <v>3961</v>
      </c>
      <c r="T147" s="463"/>
      <c r="U147" s="473">
        <v>40764</v>
      </c>
      <c r="V147" s="463" t="s">
        <v>10013</v>
      </c>
      <c r="W147" s="473" t="s">
        <v>10014</v>
      </c>
      <c r="X147" s="463" t="s">
        <v>9699</v>
      </c>
      <c r="Y147" s="463" t="s">
        <v>5904</v>
      </c>
      <c r="Z147" s="463" t="s">
        <v>5442</v>
      </c>
      <c r="AA147" s="463" t="s">
        <v>10015</v>
      </c>
      <c r="AB147" s="473" t="s">
        <v>10016</v>
      </c>
      <c r="AC147" s="463" t="s">
        <v>10017</v>
      </c>
      <c r="AD147" s="463" t="s">
        <v>5904</v>
      </c>
      <c r="AE147" s="463" t="s">
        <v>5412</v>
      </c>
      <c r="AF147" s="463" t="s">
        <v>6732</v>
      </c>
      <c r="AG147" s="463"/>
      <c r="AH147" s="463">
        <v>2</v>
      </c>
      <c r="AI147" s="412"/>
    </row>
    <row r="148" spans="1:35" x14ac:dyDescent="0.3">
      <c r="A148" s="398">
        <v>146</v>
      </c>
      <c r="B148" s="399" t="s">
        <v>7171</v>
      </c>
      <c r="C148" s="398" t="s">
        <v>1617</v>
      </c>
      <c r="D148" s="346" t="s">
        <v>8418</v>
      </c>
      <c r="E148" s="410">
        <v>3128557048</v>
      </c>
      <c r="F148" s="463" t="s">
        <v>2377</v>
      </c>
      <c r="G148" s="477">
        <v>41235</v>
      </c>
      <c r="H148" s="475" t="s">
        <v>52</v>
      </c>
      <c r="I148" s="404" t="s">
        <v>5396</v>
      </c>
      <c r="J148" s="473" t="s">
        <v>10018</v>
      </c>
      <c r="K148" s="473" t="s">
        <v>10019</v>
      </c>
      <c r="L148" s="463" t="s">
        <v>10020</v>
      </c>
      <c r="M148" s="463"/>
      <c r="N148" s="463"/>
      <c r="O148" s="463" t="s">
        <v>6627</v>
      </c>
      <c r="P148" s="473" t="s">
        <v>5415</v>
      </c>
      <c r="Q148" s="473" t="s">
        <v>5432</v>
      </c>
      <c r="R148" s="463" t="s">
        <v>2355</v>
      </c>
      <c r="S148" s="463" t="s">
        <v>3961</v>
      </c>
      <c r="T148" s="463"/>
      <c r="U148" s="473">
        <v>40764</v>
      </c>
      <c r="V148" s="463" t="s">
        <v>10021</v>
      </c>
      <c r="W148" s="473" t="s">
        <v>10022</v>
      </c>
      <c r="X148" s="463" t="s">
        <v>10023</v>
      </c>
      <c r="Y148" s="463" t="s">
        <v>5904</v>
      </c>
      <c r="Z148" s="463" t="s">
        <v>5442</v>
      </c>
      <c r="AA148" s="463" t="s">
        <v>10024</v>
      </c>
      <c r="AB148" s="473" t="s">
        <v>10025</v>
      </c>
      <c r="AC148" s="463" t="s">
        <v>10026</v>
      </c>
      <c r="AD148" s="463" t="s">
        <v>5904</v>
      </c>
      <c r="AE148" s="463" t="s">
        <v>5412</v>
      </c>
      <c r="AF148" s="463" t="s">
        <v>6732</v>
      </c>
      <c r="AG148" s="463"/>
      <c r="AH148" s="463">
        <v>2</v>
      </c>
      <c r="AI148" s="412"/>
    </row>
    <row r="149" spans="1:35" x14ac:dyDescent="0.3">
      <c r="A149" s="398">
        <v>147</v>
      </c>
      <c r="B149" s="399" t="s">
        <v>7183</v>
      </c>
      <c r="C149" s="398" t="s">
        <v>1613</v>
      </c>
      <c r="D149" s="473" t="s">
        <v>8262</v>
      </c>
      <c r="E149" s="410">
        <v>3136490347</v>
      </c>
      <c r="F149" s="463" t="s">
        <v>2377</v>
      </c>
      <c r="G149" s="464">
        <v>41309</v>
      </c>
      <c r="H149" s="475" t="s">
        <v>53</v>
      </c>
      <c r="I149" s="404" t="s">
        <v>5396</v>
      </c>
      <c r="J149" s="473" t="s">
        <v>10027</v>
      </c>
      <c r="K149" s="473" t="s">
        <v>10028</v>
      </c>
      <c r="L149" s="477" t="s">
        <v>10029</v>
      </c>
      <c r="M149" s="463"/>
      <c r="N149" s="463"/>
      <c r="O149" s="463" t="s">
        <v>6592</v>
      </c>
      <c r="P149" s="473" t="s">
        <v>5415</v>
      </c>
      <c r="Q149" s="473" t="s">
        <v>5556</v>
      </c>
      <c r="R149" s="463" t="s">
        <v>2355</v>
      </c>
      <c r="S149" s="463" t="s">
        <v>3961</v>
      </c>
      <c r="T149" s="463"/>
      <c r="U149" s="463">
        <v>40564</v>
      </c>
      <c r="V149" s="463" t="s">
        <v>10030</v>
      </c>
      <c r="W149" s="473" t="s">
        <v>10031</v>
      </c>
      <c r="X149" s="463" t="s">
        <v>10032</v>
      </c>
      <c r="Y149" s="463" t="s">
        <v>5904</v>
      </c>
      <c r="Z149" s="463" t="s">
        <v>5442</v>
      </c>
      <c r="AA149" s="463" t="s">
        <v>10033</v>
      </c>
      <c r="AB149" s="473" t="s">
        <v>10034</v>
      </c>
      <c r="AC149" s="463" t="s">
        <v>10035</v>
      </c>
      <c r="AD149" s="463" t="s">
        <v>5904</v>
      </c>
      <c r="AE149" s="463" t="s">
        <v>5412</v>
      </c>
      <c r="AF149" s="463" t="s">
        <v>6732</v>
      </c>
      <c r="AG149" s="473"/>
      <c r="AH149" s="463">
        <v>2</v>
      </c>
      <c r="AI149" s="412" t="s">
        <v>1394</v>
      </c>
    </row>
    <row r="150" spans="1:35" x14ac:dyDescent="0.3">
      <c r="A150" s="398">
        <v>148</v>
      </c>
      <c r="B150" s="399" t="s">
        <v>7194</v>
      </c>
      <c r="C150" s="400" t="s">
        <v>1613</v>
      </c>
      <c r="D150" s="473" t="s">
        <v>8263</v>
      </c>
      <c r="E150" s="410">
        <v>3135314981</v>
      </c>
      <c r="F150" s="463" t="s">
        <v>2377</v>
      </c>
      <c r="G150" s="477">
        <v>41379</v>
      </c>
      <c r="H150" s="475" t="s">
        <v>53</v>
      </c>
      <c r="I150" s="404" t="s">
        <v>5396</v>
      </c>
      <c r="J150" s="473" t="s">
        <v>10036</v>
      </c>
      <c r="K150" s="473" t="s">
        <v>10037</v>
      </c>
      <c r="L150" s="463" t="s">
        <v>10038</v>
      </c>
      <c r="M150" s="463"/>
      <c r="N150" s="463"/>
      <c r="O150" s="463" t="s">
        <v>6028</v>
      </c>
      <c r="P150" s="473" t="s">
        <v>5432</v>
      </c>
      <c r="Q150" s="473" t="s">
        <v>5448</v>
      </c>
      <c r="R150" s="463" t="s">
        <v>2355</v>
      </c>
      <c r="S150" s="463" t="s">
        <v>3961</v>
      </c>
      <c r="T150" s="463"/>
      <c r="U150" s="463">
        <v>40764</v>
      </c>
      <c r="V150" s="463" t="s">
        <v>10039</v>
      </c>
      <c r="W150" s="473" t="s">
        <v>10040</v>
      </c>
      <c r="X150" s="463" t="s">
        <v>10041</v>
      </c>
      <c r="Y150" s="463" t="s">
        <v>5772</v>
      </c>
      <c r="Z150" s="463" t="s">
        <v>5442</v>
      </c>
      <c r="AA150" s="463" t="s">
        <v>5496</v>
      </c>
      <c r="AB150" s="473" t="s">
        <v>10042</v>
      </c>
      <c r="AC150" s="463" t="s">
        <v>10043</v>
      </c>
      <c r="AD150" s="463" t="s">
        <v>5785</v>
      </c>
      <c r="AE150" s="463" t="s">
        <v>5412</v>
      </c>
      <c r="AF150" s="463" t="s">
        <v>6732</v>
      </c>
      <c r="AG150" s="463"/>
      <c r="AH150" s="463">
        <v>1</v>
      </c>
      <c r="AI150" s="412"/>
    </row>
    <row r="151" spans="1:35" x14ac:dyDescent="0.3">
      <c r="A151" s="398">
        <v>149</v>
      </c>
      <c r="B151" s="399" t="s">
        <v>7205</v>
      </c>
      <c r="C151" s="398" t="s">
        <v>1617</v>
      </c>
      <c r="D151" s="346" t="s">
        <v>8419</v>
      </c>
      <c r="E151" s="410">
        <v>3131219634</v>
      </c>
      <c r="F151" s="463" t="s">
        <v>2377</v>
      </c>
      <c r="G151" s="477">
        <v>41313</v>
      </c>
      <c r="H151" s="475" t="s">
        <v>53</v>
      </c>
      <c r="I151" s="404" t="s">
        <v>5396</v>
      </c>
      <c r="J151" s="473" t="s">
        <v>10044</v>
      </c>
      <c r="K151" s="473" t="s">
        <v>10045</v>
      </c>
      <c r="L151" s="463" t="s">
        <v>10046</v>
      </c>
      <c r="M151" s="463"/>
      <c r="N151" s="463"/>
      <c r="O151" s="463" t="s">
        <v>6627</v>
      </c>
      <c r="P151" s="473" t="s">
        <v>5394</v>
      </c>
      <c r="Q151" s="473" t="s">
        <v>5432</v>
      </c>
      <c r="R151" s="463" t="s">
        <v>2355</v>
      </c>
      <c r="S151" s="463" t="s">
        <v>3961</v>
      </c>
      <c r="T151" s="463"/>
      <c r="U151" s="463">
        <v>40764</v>
      </c>
      <c r="V151" s="463" t="s">
        <v>10047</v>
      </c>
      <c r="W151" s="471" t="s">
        <v>10048</v>
      </c>
      <c r="X151" s="469" t="s">
        <v>10049</v>
      </c>
      <c r="Y151" s="469" t="s">
        <v>5904</v>
      </c>
      <c r="Z151" s="463" t="s">
        <v>5442</v>
      </c>
      <c r="AA151" s="463" t="s">
        <v>9973</v>
      </c>
      <c r="AB151" s="473" t="s">
        <v>10050</v>
      </c>
      <c r="AC151" s="463" t="s">
        <v>10051</v>
      </c>
      <c r="AD151" s="463" t="s">
        <v>5772</v>
      </c>
      <c r="AE151" s="463" t="s">
        <v>5412</v>
      </c>
      <c r="AF151" s="463" t="s">
        <v>6732</v>
      </c>
      <c r="AG151" s="473"/>
      <c r="AH151" s="463">
        <v>2</v>
      </c>
      <c r="AI151" s="412"/>
    </row>
    <row r="152" spans="1:35" x14ac:dyDescent="0.3">
      <c r="A152" s="398">
        <v>150</v>
      </c>
      <c r="B152" s="399" t="s">
        <v>7217</v>
      </c>
      <c r="C152" s="398" t="s">
        <v>1614</v>
      </c>
      <c r="D152" s="473" t="s">
        <v>8291</v>
      </c>
      <c r="E152" s="410">
        <v>31266773364</v>
      </c>
      <c r="F152" s="463" t="s">
        <v>2377</v>
      </c>
      <c r="G152" s="477">
        <v>41271</v>
      </c>
      <c r="H152" s="475" t="s">
        <v>53</v>
      </c>
      <c r="I152" s="404" t="s">
        <v>5396</v>
      </c>
      <c r="J152" s="473" t="s">
        <v>10052</v>
      </c>
      <c r="K152" s="473" t="s">
        <v>10053</v>
      </c>
      <c r="L152" s="463"/>
      <c r="M152" s="463"/>
      <c r="N152" s="463"/>
      <c r="O152" s="463" t="s">
        <v>6592</v>
      </c>
      <c r="P152" s="473" t="s">
        <v>5415</v>
      </c>
      <c r="Q152" s="473" t="s">
        <v>5556</v>
      </c>
      <c r="R152" s="463" t="s">
        <v>2355</v>
      </c>
      <c r="S152" s="463" t="s">
        <v>3961</v>
      </c>
      <c r="T152" s="463"/>
      <c r="U152" s="463">
        <v>40764</v>
      </c>
      <c r="V152" s="463" t="s">
        <v>10054</v>
      </c>
      <c r="W152" s="473" t="s">
        <v>10055</v>
      </c>
      <c r="X152" s="463" t="s">
        <v>10056</v>
      </c>
      <c r="Y152" s="463" t="s">
        <v>5904</v>
      </c>
      <c r="Z152" s="463" t="s">
        <v>5442</v>
      </c>
      <c r="AA152" s="463" t="s">
        <v>10057</v>
      </c>
      <c r="AB152" s="473" t="s">
        <v>10058</v>
      </c>
      <c r="AC152" s="463" t="s">
        <v>10059</v>
      </c>
      <c r="AD152" s="463" t="s">
        <v>5904</v>
      </c>
      <c r="AE152" s="463" t="s">
        <v>5412</v>
      </c>
      <c r="AF152" s="463" t="s">
        <v>6732</v>
      </c>
      <c r="AG152" s="463"/>
      <c r="AH152" s="463"/>
      <c r="AI152" s="412"/>
    </row>
    <row r="153" spans="1:35" x14ac:dyDescent="0.3">
      <c r="A153" s="398">
        <v>151</v>
      </c>
      <c r="B153" s="399" t="s">
        <v>7229</v>
      </c>
      <c r="C153" s="398" t="s">
        <v>1614</v>
      </c>
      <c r="D153" s="463" t="s">
        <v>8292</v>
      </c>
      <c r="E153" s="410">
        <v>3121112284</v>
      </c>
      <c r="F153" s="463" t="s">
        <v>2377</v>
      </c>
      <c r="G153" s="477">
        <v>41218</v>
      </c>
      <c r="H153" s="475" t="s">
        <v>52</v>
      </c>
      <c r="I153" s="404" t="s">
        <v>5396</v>
      </c>
      <c r="J153" s="473" t="s">
        <v>10060</v>
      </c>
      <c r="K153" s="473" t="s">
        <v>10061</v>
      </c>
      <c r="L153" s="463" t="s">
        <v>10062</v>
      </c>
      <c r="M153" s="463"/>
      <c r="N153" s="463"/>
      <c r="O153" s="463" t="s">
        <v>6549</v>
      </c>
      <c r="P153" s="473" t="s">
        <v>5432</v>
      </c>
      <c r="Q153" s="473" t="s">
        <v>5520</v>
      </c>
      <c r="R153" s="463" t="s">
        <v>2355</v>
      </c>
      <c r="S153" s="463" t="s">
        <v>3961</v>
      </c>
      <c r="T153" s="463"/>
      <c r="U153" s="463">
        <v>40764</v>
      </c>
      <c r="V153" s="463" t="s">
        <v>10063</v>
      </c>
      <c r="W153" s="473" t="s">
        <v>10064</v>
      </c>
      <c r="X153" s="463" t="s">
        <v>10065</v>
      </c>
      <c r="Y153" s="463" t="s">
        <v>5772</v>
      </c>
      <c r="Z153" s="463" t="s">
        <v>5442</v>
      </c>
      <c r="AA153" s="463" t="s">
        <v>10066</v>
      </c>
      <c r="AB153" s="473" t="s">
        <v>10067</v>
      </c>
      <c r="AC153" s="463" t="s">
        <v>10068</v>
      </c>
      <c r="AD153" s="463" t="s">
        <v>5772</v>
      </c>
      <c r="AE153" s="463" t="s">
        <v>5412</v>
      </c>
      <c r="AF153" s="463" t="s">
        <v>6732</v>
      </c>
      <c r="AG153" s="473"/>
      <c r="AH153" s="463">
        <v>2</v>
      </c>
      <c r="AI153" s="412"/>
    </row>
    <row r="154" spans="1:35" x14ac:dyDescent="0.3">
      <c r="A154" s="398">
        <v>152</v>
      </c>
      <c r="B154" s="399" t="s">
        <v>7242</v>
      </c>
      <c r="C154" s="398" t="s">
        <v>1615</v>
      </c>
      <c r="D154" s="463" t="s">
        <v>8325</v>
      </c>
      <c r="E154" s="410">
        <v>3126285593</v>
      </c>
      <c r="F154" s="463" t="s">
        <v>2377</v>
      </c>
      <c r="G154" s="477">
        <v>41142</v>
      </c>
      <c r="H154" s="475" t="s">
        <v>52</v>
      </c>
      <c r="I154" s="404" t="s">
        <v>5396</v>
      </c>
      <c r="J154" s="473" t="s">
        <v>10069</v>
      </c>
      <c r="K154" s="473" t="s">
        <v>10070</v>
      </c>
      <c r="L154" s="463" t="s">
        <v>10071</v>
      </c>
      <c r="M154" s="463"/>
      <c r="N154" s="463"/>
      <c r="O154" s="463" t="s">
        <v>6028</v>
      </c>
      <c r="P154" s="473" t="s">
        <v>5415</v>
      </c>
      <c r="Q154" s="473" t="s">
        <v>5448</v>
      </c>
      <c r="R154" s="463" t="s">
        <v>2355</v>
      </c>
      <c r="S154" s="463" t="s">
        <v>3961</v>
      </c>
      <c r="T154" s="463"/>
      <c r="U154" s="463">
        <v>40764</v>
      </c>
      <c r="V154" s="463" t="s">
        <v>10072</v>
      </c>
      <c r="W154" s="473" t="s">
        <v>10073</v>
      </c>
      <c r="X154" s="463" t="s">
        <v>10074</v>
      </c>
      <c r="Y154" s="463" t="s">
        <v>5772</v>
      </c>
      <c r="Z154" s="463" t="s">
        <v>5442</v>
      </c>
      <c r="AA154" s="463" t="s">
        <v>10075</v>
      </c>
      <c r="AB154" s="473" t="s">
        <v>10076</v>
      </c>
      <c r="AC154" s="463" t="s">
        <v>10077</v>
      </c>
      <c r="AD154" s="463" t="s">
        <v>5772</v>
      </c>
      <c r="AE154" s="463" t="s">
        <v>5412</v>
      </c>
      <c r="AF154" s="463" t="s">
        <v>6732</v>
      </c>
      <c r="AG154" s="473"/>
      <c r="AH154" s="463">
        <v>1</v>
      </c>
      <c r="AI154" s="412"/>
    </row>
    <row r="155" spans="1:35" x14ac:dyDescent="0.3">
      <c r="A155" s="398">
        <v>153</v>
      </c>
      <c r="B155" s="399" t="s">
        <v>7254</v>
      </c>
      <c r="C155" s="398" t="s">
        <v>1615</v>
      </c>
      <c r="D155" s="463" t="s">
        <v>8326</v>
      </c>
      <c r="E155" s="410">
        <v>3129501452</v>
      </c>
      <c r="F155" s="463" t="s">
        <v>2377</v>
      </c>
      <c r="G155" s="477">
        <v>41094</v>
      </c>
      <c r="H155" s="475" t="s">
        <v>52</v>
      </c>
      <c r="I155" s="404" t="s">
        <v>5396</v>
      </c>
      <c r="J155" s="473" t="s">
        <v>10078</v>
      </c>
      <c r="K155" s="473" t="s">
        <v>10079</v>
      </c>
      <c r="L155" s="463" t="s">
        <v>10080</v>
      </c>
      <c r="M155" s="463"/>
      <c r="N155" s="463"/>
      <c r="O155" s="463" t="s">
        <v>6028</v>
      </c>
      <c r="P155" s="473" t="s">
        <v>5432</v>
      </c>
      <c r="Q155" s="473" t="s">
        <v>5448</v>
      </c>
      <c r="R155" s="463" t="s">
        <v>2355</v>
      </c>
      <c r="S155" s="463" t="s">
        <v>3961</v>
      </c>
      <c r="T155" s="463"/>
      <c r="U155" s="463">
        <v>40764</v>
      </c>
      <c r="V155" s="463" t="s">
        <v>10081</v>
      </c>
      <c r="W155" s="473" t="s">
        <v>10082</v>
      </c>
      <c r="X155" s="463" t="s">
        <v>10083</v>
      </c>
      <c r="Y155" s="463" t="s">
        <v>5904</v>
      </c>
      <c r="Z155" s="463" t="s">
        <v>5442</v>
      </c>
      <c r="AA155" s="463" t="s">
        <v>10084</v>
      </c>
      <c r="AB155" s="473" t="s">
        <v>10085</v>
      </c>
      <c r="AC155" s="463" t="s">
        <v>10086</v>
      </c>
      <c r="AD155" s="463" t="s">
        <v>5772</v>
      </c>
      <c r="AE155" s="463" t="s">
        <v>5412</v>
      </c>
      <c r="AF155" s="463" t="s">
        <v>6732</v>
      </c>
      <c r="AG155" s="473"/>
      <c r="AH155" s="463">
        <v>1</v>
      </c>
      <c r="AI155" s="412"/>
    </row>
    <row r="156" spans="1:35" x14ac:dyDescent="0.3">
      <c r="A156" s="398">
        <v>154</v>
      </c>
      <c r="B156" s="399" t="s">
        <v>7267</v>
      </c>
      <c r="C156" s="398" t="s">
        <v>1616</v>
      </c>
      <c r="D156" s="463" t="s">
        <v>8361</v>
      </c>
      <c r="E156" s="410">
        <v>3124559556</v>
      </c>
      <c r="F156" s="463" t="s">
        <v>2377</v>
      </c>
      <c r="G156" s="477">
        <v>41077</v>
      </c>
      <c r="H156" s="475" t="s">
        <v>52</v>
      </c>
      <c r="I156" s="404" t="s">
        <v>5396</v>
      </c>
      <c r="J156" s="473" t="s">
        <v>10087</v>
      </c>
      <c r="K156" s="473" t="s">
        <v>10088</v>
      </c>
      <c r="L156" s="463" t="s">
        <v>10089</v>
      </c>
      <c r="M156" s="463"/>
      <c r="N156" s="463"/>
      <c r="O156" s="463" t="s">
        <v>9851</v>
      </c>
      <c r="P156" s="473" t="s">
        <v>5415</v>
      </c>
      <c r="Q156" s="473" t="s">
        <v>5461</v>
      </c>
      <c r="R156" s="463" t="s">
        <v>2355</v>
      </c>
      <c r="S156" s="463" t="s">
        <v>3961</v>
      </c>
      <c r="T156" s="463"/>
      <c r="U156" s="463">
        <v>40764</v>
      </c>
      <c r="V156" s="463" t="s">
        <v>10090</v>
      </c>
      <c r="W156" s="473" t="s">
        <v>10091</v>
      </c>
      <c r="X156" s="463" t="s">
        <v>10092</v>
      </c>
      <c r="Y156" s="463" t="s">
        <v>5785</v>
      </c>
      <c r="Z156" s="463" t="s">
        <v>5442</v>
      </c>
      <c r="AA156" s="463" t="s">
        <v>3740</v>
      </c>
      <c r="AB156" s="473" t="s">
        <v>10093</v>
      </c>
      <c r="AC156" s="463" t="s">
        <v>10094</v>
      </c>
      <c r="AD156" s="463" t="s">
        <v>5772</v>
      </c>
      <c r="AE156" s="463" t="s">
        <v>5412</v>
      </c>
      <c r="AF156" s="463" t="s">
        <v>6732</v>
      </c>
      <c r="AG156" s="473"/>
      <c r="AH156" s="463">
        <v>2</v>
      </c>
      <c r="AI156" s="412"/>
    </row>
    <row r="157" spans="1:35" x14ac:dyDescent="0.3">
      <c r="A157" s="398">
        <v>155</v>
      </c>
      <c r="B157" s="399" t="s">
        <v>7278</v>
      </c>
      <c r="C157" s="398" t="s">
        <v>1616</v>
      </c>
      <c r="D157" s="463" t="s">
        <v>8362</v>
      </c>
      <c r="E157" s="410">
        <v>3123790677</v>
      </c>
      <c r="F157" s="463" t="s">
        <v>2377</v>
      </c>
      <c r="G157" s="477">
        <v>41270</v>
      </c>
      <c r="H157" s="475" t="s">
        <v>52</v>
      </c>
      <c r="I157" s="404" t="s">
        <v>5396</v>
      </c>
      <c r="J157" s="473" t="s">
        <v>10095</v>
      </c>
      <c r="K157" s="473" t="s">
        <v>10096</v>
      </c>
      <c r="L157" s="463" t="s">
        <v>10097</v>
      </c>
      <c r="M157" s="463"/>
      <c r="N157" s="463"/>
      <c r="O157" s="463" t="s">
        <v>6592</v>
      </c>
      <c r="P157" s="473" t="s">
        <v>5415</v>
      </c>
      <c r="Q157" s="473" t="s">
        <v>5556</v>
      </c>
      <c r="R157" s="463" t="s">
        <v>2355</v>
      </c>
      <c r="S157" s="463" t="s">
        <v>3961</v>
      </c>
      <c r="T157" s="463"/>
      <c r="U157" s="463">
        <v>40764</v>
      </c>
      <c r="V157" s="463" t="s">
        <v>10098</v>
      </c>
      <c r="W157" s="473" t="s">
        <v>10099</v>
      </c>
      <c r="X157" s="463" t="s">
        <v>10100</v>
      </c>
      <c r="Y157" s="463" t="s">
        <v>5785</v>
      </c>
      <c r="Z157" s="463" t="s">
        <v>5442</v>
      </c>
      <c r="AA157" s="463" t="s">
        <v>3029</v>
      </c>
      <c r="AB157" s="473" t="s">
        <v>10101</v>
      </c>
      <c r="AC157" s="463" t="s">
        <v>10102</v>
      </c>
      <c r="AD157" s="463" t="s">
        <v>5785</v>
      </c>
      <c r="AE157" s="463" t="s">
        <v>5412</v>
      </c>
      <c r="AF157" s="463" t="s">
        <v>6732</v>
      </c>
      <c r="AG157" s="473"/>
      <c r="AH157" s="463">
        <v>1</v>
      </c>
      <c r="AI157" s="412"/>
    </row>
    <row r="158" spans="1:35" x14ac:dyDescent="0.3">
      <c r="A158" s="398">
        <v>156</v>
      </c>
      <c r="B158" s="399" t="s">
        <v>7291</v>
      </c>
      <c r="C158" s="398" t="s">
        <v>1614</v>
      </c>
      <c r="D158" s="463" t="s">
        <v>8293</v>
      </c>
      <c r="E158" s="410">
        <v>3139307874</v>
      </c>
      <c r="F158" s="463" t="s">
        <v>2377</v>
      </c>
      <c r="G158" s="477">
        <v>41335</v>
      </c>
      <c r="H158" s="475" t="s">
        <v>53</v>
      </c>
      <c r="I158" s="404" t="s">
        <v>5396</v>
      </c>
      <c r="J158" s="473" t="s">
        <v>10103</v>
      </c>
      <c r="K158" s="473" t="s">
        <v>10104</v>
      </c>
      <c r="L158" s="463" t="s">
        <v>10105</v>
      </c>
      <c r="M158" s="463"/>
      <c r="N158" s="463"/>
      <c r="O158" s="463" t="s">
        <v>6028</v>
      </c>
      <c r="P158" s="473" t="s">
        <v>5432</v>
      </c>
      <c r="Q158" s="473" t="s">
        <v>5448</v>
      </c>
      <c r="R158" s="463" t="s">
        <v>2355</v>
      </c>
      <c r="S158" s="463" t="s">
        <v>3961</v>
      </c>
      <c r="T158" s="463"/>
      <c r="U158" s="463">
        <v>40764</v>
      </c>
      <c r="V158" s="463" t="s">
        <v>10106</v>
      </c>
      <c r="W158" s="473" t="s">
        <v>10107</v>
      </c>
      <c r="X158" s="463" t="s">
        <v>10108</v>
      </c>
      <c r="Y158" s="478" t="s">
        <v>9721</v>
      </c>
      <c r="Z158" s="463" t="s">
        <v>5442</v>
      </c>
      <c r="AA158" s="463" t="s">
        <v>10109</v>
      </c>
      <c r="AB158" s="473" t="s">
        <v>10110</v>
      </c>
      <c r="AC158" s="463" t="s">
        <v>10111</v>
      </c>
      <c r="AD158" s="463" t="s">
        <v>5785</v>
      </c>
      <c r="AE158" s="463" t="s">
        <v>5412</v>
      </c>
      <c r="AF158" s="463" t="s">
        <v>6732</v>
      </c>
      <c r="AG158" s="473"/>
      <c r="AH158" s="463">
        <v>2</v>
      </c>
      <c r="AI158" s="412"/>
    </row>
    <row r="159" spans="1:35" x14ac:dyDescent="0.3">
      <c r="A159" s="398">
        <v>157</v>
      </c>
      <c r="B159" s="399" t="s">
        <v>7303</v>
      </c>
      <c r="C159" s="398" t="s">
        <v>1614</v>
      </c>
      <c r="D159" s="463" t="s">
        <v>8294</v>
      </c>
      <c r="E159" s="410">
        <v>3137855249</v>
      </c>
      <c r="F159" s="463" t="s">
        <v>2377</v>
      </c>
      <c r="G159" s="477">
        <v>41422</v>
      </c>
      <c r="H159" s="475" t="s">
        <v>53</v>
      </c>
      <c r="I159" s="404" t="s">
        <v>5396</v>
      </c>
      <c r="J159" s="473" t="s">
        <v>10112</v>
      </c>
      <c r="K159" s="473" t="s">
        <v>10113</v>
      </c>
      <c r="L159" s="463" t="s">
        <v>10114</v>
      </c>
      <c r="M159" s="463"/>
      <c r="N159" s="463"/>
      <c r="O159" s="463" t="s">
        <v>6028</v>
      </c>
      <c r="P159" s="473" t="s">
        <v>5415</v>
      </c>
      <c r="Q159" s="473" t="s">
        <v>5448</v>
      </c>
      <c r="R159" s="463" t="s">
        <v>2355</v>
      </c>
      <c r="S159" s="463" t="s">
        <v>3961</v>
      </c>
      <c r="T159" s="463"/>
      <c r="U159" s="463">
        <v>40764</v>
      </c>
      <c r="V159" s="463" t="s">
        <v>10115</v>
      </c>
      <c r="W159" s="473" t="s">
        <v>10116</v>
      </c>
      <c r="X159" s="463" t="s">
        <v>10117</v>
      </c>
      <c r="Y159" s="463" t="s">
        <v>5785</v>
      </c>
      <c r="Z159" s="463" t="s">
        <v>5442</v>
      </c>
      <c r="AA159" s="463" t="s">
        <v>10118</v>
      </c>
      <c r="AB159" s="473" t="s">
        <v>10119</v>
      </c>
      <c r="AC159" s="463" t="s">
        <v>10120</v>
      </c>
      <c r="AD159" s="463" t="s">
        <v>5785</v>
      </c>
      <c r="AE159" s="463" t="s">
        <v>5412</v>
      </c>
      <c r="AF159" s="463" t="s">
        <v>6732</v>
      </c>
      <c r="AG159" s="473"/>
      <c r="AH159" s="463">
        <v>3</v>
      </c>
      <c r="AI159" s="412"/>
    </row>
    <row r="160" spans="1:35" x14ac:dyDescent="0.3">
      <c r="A160" s="398">
        <v>158</v>
      </c>
      <c r="B160" s="399" t="s">
        <v>7316</v>
      </c>
      <c r="C160" s="398" t="s">
        <v>1617</v>
      </c>
      <c r="D160" s="241" t="s">
        <v>8420</v>
      </c>
      <c r="E160" s="410">
        <v>3136443806</v>
      </c>
      <c r="F160" s="463" t="s">
        <v>2352</v>
      </c>
      <c r="G160" s="477">
        <v>41287</v>
      </c>
      <c r="H160" s="475" t="s">
        <v>53</v>
      </c>
      <c r="I160" s="404" t="s">
        <v>5396</v>
      </c>
      <c r="J160" s="473" t="s">
        <v>10121</v>
      </c>
      <c r="K160" s="473" t="s">
        <v>10122</v>
      </c>
      <c r="L160" s="463" t="s">
        <v>10123</v>
      </c>
      <c r="M160" s="463"/>
      <c r="N160" s="463"/>
      <c r="O160" s="101" t="s">
        <v>6627</v>
      </c>
      <c r="P160" s="473" t="s">
        <v>5415</v>
      </c>
      <c r="Q160" s="473" t="s">
        <v>5432</v>
      </c>
      <c r="R160" s="463" t="s">
        <v>2355</v>
      </c>
      <c r="S160" s="463" t="s">
        <v>3961</v>
      </c>
      <c r="T160" s="463"/>
      <c r="U160" s="463">
        <v>40764</v>
      </c>
      <c r="V160" s="463" t="s">
        <v>10124</v>
      </c>
      <c r="W160" s="473" t="s">
        <v>10125</v>
      </c>
      <c r="X160" s="463" t="s">
        <v>10126</v>
      </c>
      <c r="Y160" s="463" t="s">
        <v>5772</v>
      </c>
      <c r="Z160" s="463" t="s">
        <v>5442</v>
      </c>
      <c r="AA160" s="463" t="s">
        <v>10127</v>
      </c>
      <c r="AB160" s="473" t="s">
        <v>10128</v>
      </c>
      <c r="AC160" s="463" t="s">
        <v>10129</v>
      </c>
      <c r="AD160" s="463" t="s">
        <v>5904</v>
      </c>
      <c r="AE160" s="463" t="s">
        <v>5412</v>
      </c>
      <c r="AF160" s="463" t="s">
        <v>6732</v>
      </c>
      <c r="AG160" s="463"/>
      <c r="AH160" s="463">
        <v>3</v>
      </c>
      <c r="AI160" s="412"/>
    </row>
    <row r="161" spans="1:35" x14ac:dyDescent="0.3">
      <c r="A161" s="398">
        <v>159</v>
      </c>
      <c r="B161" s="399" t="s">
        <v>7329</v>
      </c>
      <c r="C161" s="398" t="s">
        <v>1615</v>
      </c>
      <c r="D161" s="463" t="s">
        <v>8327</v>
      </c>
      <c r="E161" s="410">
        <v>3136975452</v>
      </c>
      <c r="F161" s="463" t="s">
        <v>2377</v>
      </c>
      <c r="G161" s="477">
        <v>41409</v>
      </c>
      <c r="H161" s="475" t="s">
        <v>53</v>
      </c>
      <c r="I161" s="404" t="s">
        <v>5396</v>
      </c>
      <c r="J161" s="473" t="s">
        <v>10130</v>
      </c>
      <c r="K161" s="473" t="s">
        <v>10131</v>
      </c>
      <c r="L161" s="463" t="s">
        <v>10132</v>
      </c>
      <c r="M161" s="463"/>
      <c r="N161" s="463"/>
      <c r="O161" s="463" t="s">
        <v>10005</v>
      </c>
      <c r="P161" s="473" t="s">
        <v>5415</v>
      </c>
      <c r="Q161" s="473" t="s">
        <v>5542</v>
      </c>
      <c r="R161" s="463" t="s">
        <v>2355</v>
      </c>
      <c r="S161" s="463" t="s">
        <v>3961</v>
      </c>
      <c r="T161" s="463"/>
      <c r="U161" s="463">
        <v>40764</v>
      </c>
      <c r="V161" s="463" t="s">
        <v>10133</v>
      </c>
      <c r="W161" s="473" t="s">
        <v>10134</v>
      </c>
      <c r="X161" s="463" t="s">
        <v>10135</v>
      </c>
      <c r="Y161" s="463" t="s">
        <v>5785</v>
      </c>
      <c r="Z161" s="463" t="s">
        <v>5442</v>
      </c>
      <c r="AA161" s="463" t="s">
        <v>10136</v>
      </c>
      <c r="AB161" s="473" t="s">
        <v>10137</v>
      </c>
      <c r="AC161" s="463" t="s">
        <v>10138</v>
      </c>
      <c r="AD161" s="463" t="s">
        <v>5772</v>
      </c>
      <c r="AE161" s="463" t="s">
        <v>5412</v>
      </c>
      <c r="AF161" s="463" t="s">
        <v>6732</v>
      </c>
      <c r="AG161" s="463"/>
      <c r="AH161" s="463">
        <v>1</v>
      </c>
      <c r="AI161" s="412"/>
    </row>
    <row r="162" spans="1:35" x14ac:dyDescent="0.3">
      <c r="A162" s="398">
        <v>160</v>
      </c>
      <c r="B162" s="399" t="s">
        <v>7341</v>
      </c>
      <c r="C162" s="398" t="s">
        <v>1617</v>
      </c>
      <c r="D162" s="241" t="s">
        <v>8421</v>
      </c>
      <c r="E162" s="410">
        <v>3124518764</v>
      </c>
      <c r="F162" s="463" t="s">
        <v>2377</v>
      </c>
      <c r="G162" s="477">
        <v>41167</v>
      </c>
      <c r="H162" s="475" t="s">
        <v>53</v>
      </c>
      <c r="I162" s="404" t="s">
        <v>5396</v>
      </c>
      <c r="J162" s="473" t="s">
        <v>10139</v>
      </c>
      <c r="K162" s="473" t="s">
        <v>10140</v>
      </c>
      <c r="L162" s="463" t="s">
        <v>10141</v>
      </c>
      <c r="M162" s="463"/>
      <c r="N162" s="463"/>
      <c r="O162" s="463" t="s">
        <v>6549</v>
      </c>
      <c r="P162" s="473" t="s">
        <v>5432</v>
      </c>
      <c r="Q162" s="473" t="s">
        <v>5520</v>
      </c>
      <c r="R162" s="463" t="s">
        <v>2355</v>
      </c>
      <c r="S162" s="463" t="s">
        <v>3961</v>
      </c>
      <c r="T162" s="463"/>
      <c r="U162" s="463">
        <v>40764</v>
      </c>
      <c r="V162" s="463" t="s">
        <v>10142</v>
      </c>
      <c r="W162" s="473"/>
      <c r="X162" s="463"/>
      <c r="Y162" s="463"/>
      <c r="Z162" s="463"/>
      <c r="AA162" s="463" t="s">
        <v>3966</v>
      </c>
      <c r="AB162" s="473" t="s">
        <v>10143</v>
      </c>
      <c r="AC162" s="463" t="s">
        <v>10144</v>
      </c>
      <c r="AD162" s="463" t="s">
        <v>5772</v>
      </c>
      <c r="AE162" s="463" t="s">
        <v>5412</v>
      </c>
      <c r="AF162" s="463" t="s">
        <v>9833</v>
      </c>
      <c r="AG162" s="471" t="s">
        <v>10145</v>
      </c>
      <c r="AH162" s="463">
        <v>1</v>
      </c>
      <c r="AI162" s="473"/>
    </row>
    <row r="163" spans="1:35" x14ac:dyDescent="0.3">
      <c r="A163" s="398">
        <v>161</v>
      </c>
      <c r="B163" s="399" t="s">
        <v>7351</v>
      </c>
      <c r="C163" s="400" t="s">
        <v>1617</v>
      </c>
      <c r="D163" s="241" t="s">
        <v>8422</v>
      </c>
      <c r="E163" s="410" t="s">
        <v>10146</v>
      </c>
      <c r="F163" s="463" t="s">
        <v>2377</v>
      </c>
      <c r="G163" s="477">
        <v>41418</v>
      </c>
      <c r="H163" s="475" t="s">
        <v>53</v>
      </c>
      <c r="I163" s="404" t="s">
        <v>5396</v>
      </c>
      <c r="J163" s="473" t="s">
        <v>10147</v>
      </c>
      <c r="K163" s="473" t="s">
        <v>10148</v>
      </c>
      <c r="L163" s="463" t="s">
        <v>10149</v>
      </c>
      <c r="M163" s="463"/>
      <c r="N163" s="463"/>
      <c r="O163" s="463" t="s">
        <v>6549</v>
      </c>
      <c r="P163" s="473" t="s">
        <v>5394</v>
      </c>
      <c r="Q163" s="473" t="s">
        <v>5520</v>
      </c>
      <c r="R163" s="463" t="s">
        <v>2355</v>
      </c>
      <c r="S163" s="463" t="s">
        <v>3961</v>
      </c>
      <c r="T163" s="463"/>
      <c r="U163" s="463">
        <v>40764</v>
      </c>
      <c r="V163" s="463" t="s">
        <v>10150</v>
      </c>
      <c r="W163" s="473" t="s">
        <v>10151</v>
      </c>
      <c r="X163" s="463" t="s">
        <v>10152</v>
      </c>
      <c r="Y163" s="463" t="s">
        <v>5904</v>
      </c>
      <c r="Z163" s="463" t="s">
        <v>5442</v>
      </c>
      <c r="AA163" s="463" t="s">
        <v>10153</v>
      </c>
      <c r="AB163" s="473" t="s">
        <v>10154</v>
      </c>
      <c r="AC163" s="463" t="s">
        <v>10155</v>
      </c>
      <c r="AD163" s="463" t="s">
        <v>5904</v>
      </c>
      <c r="AE163" s="463" t="s">
        <v>5412</v>
      </c>
      <c r="AF163" s="463" t="s">
        <v>9833</v>
      </c>
      <c r="AG163" s="473"/>
      <c r="AH163" s="463">
        <v>1</v>
      </c>
      <c r="AI163" s="412"/>
    </row>
    <row r="164" spans="1:35" x14ac:dyDescent="0.3">
      <c r="A164" s="398">
        <v>162</v>
      </c>
      <c r="B164" s="399" t="s">
        <v>7364</v>
      </c>
      <c r="C164" s="398" t="s">
        <v>1615</v>
      </c>
      <c r="D164" s="463" t="s">
        <v>8328</v>
      </c>
      <c r="E164" s="410">
        <v>3132304378</v>
      </c>
      <c r="F164" s="463" t="s">
        <v>2377</v>
      </c>
      <c r="G164" s="477">
        <v>41448</v>
      </c>
      <c r="H164" s="475" t="s">
        <v>53</v>
      </c>
      <c r="I164" s="404" t="s">
        <v>5396</v>
      </c>
      <c r="J164" s="473" t="s">
        <v>10156</v>
      </c>
      <c r="K164" s="473" t="s">
        <v>10157</v>
      </c>
      <c r="L164" s="463" t="s">
        <v>10158</v>
      </c>
      <c r="M164" s="463"/>
      <c r="N164" s="463"/>
      <c r="O164" s="463" t="s">
        <v>6028</v>
      </c>
      <c r="P164" s="473" t="s">
        <v>5432</v>
      </c>
      <c r="Q164" s="473" t="s">
        <v>5448</v>
      </c>
      <c r="R164" s="463" t="s">
        <v>2355</v>
      </c>
      <c r="S164" s="463" t="s">
        <v>3961</v>
      </c>
      <c r="T164" s="463"/>
      <c r="U164" s="463">
        <v>40764</v>
      </c>
      <c r="V164" s="463" t="s">
        <v>10159</v>
      </c>
      <c r="W164" s="473"/>
      <c r="X164" s="463"/>
      <c r="Y164" s="463"/>
      <c r="Z164" s="463"/>
      <c r="AA164" s="463" t="s">
        <v>10160</v>
      </c>
      <c r="AB164" s="473"/>
      <c r="AC164" s="463"/>
      <c r="AD164" s="463"/>
      <c r="AE164" s="463"/>
      <c r="AF164" s="463" t="s">
        <v>9833</v>
      </c>
      <c r="AG164" s="473"/>
      <c r="AH164" s="463">
        <v>1</v>
      </c>
      <c r="AI164" s="412"/>
    </row>
    <row r="165" spans="1:35" x14ac:dyDescent="0.3">
      <c r="A165" s="398">
        <v>163</v>
      </c>
      <c r="B165" s="399" t="s">
        <v>7377</v>
      </c>
      <c r="C165" s="400" t="s">
        <v>1614</v>
      </c>
      <c r="D165" s="463" t="s">
        <v>8295</v>
      </c>
      <c r="E165" s="410">
        <v>3127834755</v>
      </c>
      <c r="F165" s="463" t="s">
        <v>2468</v>
      </c>
      <c r="G165" s="477">
        <v>41026</v>
      </c>
      <c r="H165" s="475" t="s">
        <v>53</v>
      </c>
      <c r="I165" s="404" t="s">
        <v>5396</v>
      </c>
      <c r="J165" s="473" t="s">
        <v>10161</v>
      </c>
      <c r="K165" s="473" t="s">
        <v>10162</v>
      </c>
      <c r="L165" s="463"/>
      <c r="M165" s="463"/>
      <c r="N165" s="463"/>
      <c r="O165" s="463" t="s">
        <v>5969</v>
      </c>
      <c r="P165" s="473" t="s">
        <v>5415</v>
      </c>
      <c r="Q165" s="473" t="s">
        <v>5542</v>
      </c>
      <c r="R165" s="463" t="s">
        <v>2399</v>
      </c>
      <c r="S165" s="463" t="s">
        <v>3961</v>
      </c>
      <c r="T165" s="463"/>
      <c r="U165" s="463"/>
      <c r="V165" s="463" t="s">
        <v>10163</v>
      </c>
      <c r="W165" s="473" t="s">
        <v>10164</v>
      </c>
      <c r="X165" s="463" t="s">
        <v>10165</v>
      </c>
      <c r="Y165" s="463" t="s">
        <v>5785</v>
      </c>
      <c r="Z165" s="463" t="s">
        <v>5427</v>
      </c>
      <c r="AA165" s="463" t="s">
        <v>10166</v>
      </c>
      <c r="AB165" s="473" t="s">
        <v>10167</v>
      </c>
      <c r="AC165" s="463" t="s">
        <v>10168</v>
      </c>
      <c r="AD165" s="463" t="s">
        <v>5785</v>
      </c>
      <c r="AE165" s="463" t="s">
        <v>5412</v>
      </c>
      <c r="AF165" s="463" t="s">
        <v>7914</v>
      </c>
      <c r="AG165" s="473"/>
      <c r="AH165" s="463"/>
      <c r="AI165" s="412"/>
    </row>
    <row r="166" spans="1:35" x14ac:dyDescent="0.3">
      <c r="A166" s="398">
        <v>164</v>
      </c>
      <c r="B166" s="399" t="s">
        <v>7389</v>
      </c>
      <c r="C166" s="398" t="s">
        <v>1614</v>
      </c>
      <c r="D166" s="463" t="s">
        <v>8296</v>
      </c>
      <c r="E166" s="410" t="s">
        <v>10169</v>
      </c>
      <c r="F166" s="463" t="s">
        <v>2377</v>
      </c>
      <c r="G166" s="477">
        <v>41267</v>
      </c>
      <c r="H166" s="475" t="s">
        <v>53</v>
      </c>
      <c r="I166" s="404" t="s">
        <v>5396</v>
      </c>
      <c r="J166" s="473" t="s">
        <v>10170</v>
      </c>
      <c r="K166" s="473" t="s">
        <v>10171</v>
      </c>
      <c r="L166" s="463" t="s">
        <v>10172</v>
      </c>
      <c r="M166" s="463"/>
      <c r="N166" s="463"/>
      <c r="O166" s="463" t="s">
        <v>2712</v>
      </c>
      <c r="P166" s="473" t="s">
        <v>5432</v>
      </c>
      <c r="Q166" s="473" t="s">
        <v>5415</v>
      </c>
      <c r="R166" s="463" t="s">
        <v>2845</v>
      </c>
      <c r="S166" s="463" t="s">
        <v>3961</v>
      </c>
      <c r="T166" s="463"/>
      <c r="U166" s="463">
        <v>40764</v>
      </c>
      <c r="V166" s="463" t="s">
        <v>10173</v>
      </c>
      <c r="W166" s="473"/>
      <c r="X166" s="463"/>
      <c r="Y166" s="463"/>
      <c r="Z166" s="463"/>
      <c r="AA166" s="463" t="s">
        <v>10174</v>
      </c>
      <c r="AB166" s="473" t="s">
        <v>10175</v>
      </c>
      <c r="AC166" s="463" t="s">
        <v>10176</v>
      </c>
      <c r="AD166" s="463" t="s">
        <v>5785</v>
      </c>
      <c r="AE166" s="463" t="s">
        <v>5412</v>
      </c>
      <c r="AF166" s="463" t="s">
        <v>7914</v>
      </c>
      <c r="AG166" s="473" t="s">
        <v>10177</v>
      </c>
      <c r="AH166" s="463">
        <v>4</v>
      </c>
      <c r="AI166" s="412"/>
    </row>
    <row r="167" spans="1:35" x14ac:dyDescent="0.3">
      <c r="A167" s="242">
        <v>165</v>
      </c>
      <c r="B167" s="255" t="s">
        <v>7401</v>
      </c>
      <c r="C167" s="242" t="s">
        <v>1614</v>
      </c>
      <c r="D167" s="246" t="s">
        <v>8297</v>
      </c>
      <c r="E167" s="252" t="s">
        <v>10178</v>
      </c>
      <c r="F167" s="246" t="s">
        <v>2377</v>
      </c>
      <c r="G167" s="351">
        <v>41079</v>
      </c>
      <c r="H167" s="350" t="s">
        <v>52</v>
      </c>
      <c r="I167" s="259" t="s">
        <v>5396</v>
      </c>
      <c r="J167" s="307" t="s">
        <v>10179</v>
      </c>
      <c r="K167" s="307" t="s">
        <v>10180</v>
      </c>
      <c r="L167" s="246" t="s">
        <v>10181</v>
      </c>
      <c r="M167" s="246" t="s">
        <v>10182</v>
      </c>
      <c r="N167" s="246"/>
      <c r="O167" s="246" t="s">
        <v>10183</v>
      </c>
      <c r="P167" s="307" t="s">
        <v>5432</v>
      </c>
      <c r="Q167" s="307" t="s">
        <v>5394</v>
      </c>
      <c r="R167" s="246" t="s">
        <v>3160</v>
      </c>
      <c r="S167" s="246" t="s">
        <v>3064</v>
      </c>
      <c r="T167" s="246"/>
      <c r="U167" s="246">
        <v>40563</v>
      </c>
      <c r="V167" s="246" t="s">
        <v>10184</v>
      </c>
      <c r="W167" s="307" t="s">
        <v>10185</v>
      </c>
      <c r="X167" s="246" t="s">
        <v>10186</v>
      </c>
      <c r="Y167" s="246" t="s">
        <v>5904</v>
      </c>
      <c r="Z167" s="246" t="s">
        <v>5442</v>
      </c>
      <c r="AA167" s="307" t="s">
        <v>10187</v>
      </c>
      <c r="AB167" s="304" t="s">
        <v>10188</v>
      </c>
      <c r="AC167" s="246" t="s">
        <v>10049</v>
      </c>
      <c r="AD167" s="246" t="s">
        <v>5772</v>
      </c>
      <c r="AE167" s="246" t="s">
        <v>5412</v>
      </c>
      <c r="AF167" s="246" t="s">
        <v>4105</v>
      </c>
      <c r="AG167" s="307"/>
      <c r="AH167" s="246">
        <v>3</v>
      </c>
      <c r="AI167" s="254"/>
    </row>
    <row r="168" spans="1:35" x14ac:dyDescent="0.3">
      <c r="A168" s="398">
        <v>166</v>
      </c>
      <c r="B168" s="399" t="s">
        <v>7414</v>
      </c>
      <c r="C168" s="398" t="s">
        <v>1614</v>
      </c>
      <c r="D168" s="463" t="s">
        <v>8298</v>
      </c>
      <c r="E168" s="410">
        <v>3125034044</v>
      </c>
      <c r="F168" s="463" t="s">
        <v>2377</v>
      </c>
      <c r="G168" s="477">
        <v>41258</v>
      </c>
      <c r="H168" s="475" t="s">
        <v>53</v>
      </c>
      <c r="I168" s="404" t="s">
        <v>5396</v>
      </c>
      <c r="J168" s="473" t="s">
        <v>10189</v>
      </c>
      <c r="K168" s="473" t="s">
        <v>10190</v>
      </c>
      <c r="L168" s="463" t="s">
        <v>10191</v>
      </c>
      <c r="M168" s="463"/>
      <c r="N168" s="463"/>
      <c r="O168" s="463" t="s">
        <v>10192</v>
      </c>
      <c r="P168" s="473" t="s">
        <v>5432</v>
      </c>
      <c r="Q168" s="473" t="s">
        <v>5448</v>
      </c>
      <c r="R168" s="463" t="s">
        <v>2485</v>
      </c>
      <c r="S168" s="463" t="s">
        <v>5422</v>
      </c>
      <c r="T168" s="463"/>
      <c r="U168" s="463">
        <v>40562</v>
      </c>
      <c r="V168" s="463" t="s">
        <v>10193</v>
      </c>
      <c r="W168" s="473" t="s">
        <v>10194</v>
      </c>
      <c r="X168" s="463" t="s">
        <v>10195</v>
      </c>
      <c r="Y168" s="463" t="s">
        <v>5772</v>
      </c>
      <c r="Z168" s="463" t="s">
        <v>5442</v>
      </c>
      <c r="AA168" s="463" t="s">
        <v>10196</v>
      </c>
      <c r="AB168" s="473" t="s">
        <v>10197</v>
      </c>
      <c r="AC168" s="463" t="s">
        <v>10198</v>
      </c>
      <c r="AD168" s="463" t="s">
        <v>5772</v>
      </c>
      <c r="AE168" s="463" t="s">
        <v>5412</v>
      </c>
      <c r="AF168" s="463" t="s">
        <v>6302</v>
      </c>
      <c r="AG168" s="463"/>
      <c r="AH168" s="463">
        <v>1</v>
      </c>
      <c r="AI168" s="412"/>
    </row>
    <row r="169" spans="1:35" x14ac:dyDescent="0.3">
      <c r="A169" s="398">
        <v>167</v>
      </c>
      <c r="B169" s="399" t="s">
        <v>7427</v>
      </c>
      <c r="C169" s="400" t="s">
        <v>1614</v>
      </c>
      <c r="D169" s="463" t="s">
        <v>8436</v>
      </c>
      <c r="E169" s="410" t="s">
        <v>8775</v>
      </c>
      <c r="F169" s="463" t="s">
        <v>2377</v>
      </c>
      <c r="G169" s="477">
        <v>41370</v>
      </c>
      <c r="H169" s="475" t="s">
        <v>52</v>
      </c>
      <c r="I169" s="404" t="s">
        <v>5396</v>
      </c>
      <c r="J169" s="473" t="s">
        <v>10199</v>
      </c>
      <c r="K169" s="473" t="s">
        <v>10200</v>
      </c>
      <c r="L169" s="463" t="s">
        <v>10201</v>
      </c>
      <c r="M169" s="463"/>
      <c r="N169" s="463"/>
      <c r="O169" s="463" t="s">
        <v>2859</v>
      </c>
      <c r="P169" s="473" t="s">
        <v>5448</v>
      </c>
      <c r="Q169" s="473" t="s">
        <v>5394</v>
      </c>
      <c r="R169" s="463" t="s">
        <v>2399</v>
      </c>
      <c r="S169" s="463" t="s">
        <v>3961</v>
      </c>
      <c r="T169" s="463"/>
      <c r="U169" s="463">
        <v>40764</v>
      </c>
      <c r="V169" s="463" t="s">
        <v>10202</v>
      </c>
      <c r="W169" s="473" t="s">
        <v>10203</v>
      </c>
      <c r="X169" s="463" t="s">
        <v>10204</v>
      </c>
      <c r="Y169" s="463" t="s">
        <v>5904</v>
      </c>
      <c r="Z169" s="463" t="s">
        <v>5442</v>
      </c>
      <c r="AA169" s="463" t="s">
        <v>10205</v>
      </c>
      <c r="AB169" s="473" t="s">
        <v>10206</v>
      </c>
      <c r="AC169" s="463" t="s">
        <v>10207</v>
      </c>
      <c r="AD169" s="463" t="s">
        <v>5904</v>
      </c>
      <c r="AE169" s="463" t="s">
        <v>5412</v>
      </c>
      <c r="AF169" s="463" t="s">
        <v>3552</v>
      </c>
      <c r="AG169" s="473"/>
      <c r="AH169" s="463">
        <v>1</v>
      </c>
      <c r="AI169" s="412"/>
    </row>
    <row r="170" spans="1:35" x14ac:dyDescent="0.3">
      <c r="A170" s="398">
        <v>168</v>
      </c>
      <c r="B170" s="399" t="s">
        <v>7438</v>
      </c>
      <c r="C170" s="398" t="s">
        <v>1614</v>
      </c>
      <c r="D170" s="463" t="s">
        <v>8299</v>
      </c>
      <c r="E170" s="410" t="s">
        <v>10208</v>
      </c>
      <c r="F170" s="463" t="s">
        <v>2377</v>
      </c>
      <c r="G170" s="477">
        <v>41300</v>
      </c>
      <c r="H170" s="475" t="s">
        <v>52</v>
      </c>
      <c r="I170" s="404" t="s">
        <v>5396</v>
      </c>
      <c r="J170" s="473" t="s">
        <v>10209</v>
      </c>
      <c r="K170" s="473" t="s">
        <v>10210</v>
      </c>
      <c r="L170" s="463" t="s">
        <v>10211</v>
      </c>
      <c r="M170" s="463"/>
      <c r="N170" s="463"/>
      <c r="O170" s="463" t="s">
        <v>2859</v>
      </c>
      <c r="P170" s="473" t="s">
        <v>5448</v>
      </c>
      <c r="Q170" s="473" t="s">
        <v>5394</v>
      </c>
      <c r="R170" s="463" t="s">
        <v>2399</v>
      </c>
      <c r="S170" s="463" t="s">
        <v>3961</v>
      </c>
      <c r="T170" s="463"/>
      <c r="U170" s="463">
        <v>40564</v>
      </c>
      <c r="V170" s="463" t="s">
        <v>10212</v>
      </c>
      <c r="W170" s="473" t="s">
        <v>10213</v>
      </c>
      <c r="X170" s="463" t="s">
        <v>9016</v>
      </c>
      <c r="Y170" s="463" t="s">
        <v>5772</v>
      </c>
      <c r="Z170" s="463" t="s">
        <v>5442</v>
      </c>
      <c r="AA170" s="463" t="s">
        <v>10214</v>
      </c>
      <c r="AB170" s="473" t="s">
        <v>10215</v>
      </c>
      <c r="AC170" s="463" t="s">
        <v>10216</v>
      </c>
      <c r="AD170" s="463" t="s">
        <v>5904</v>
      </c>
      <c r="AE170" s="463" t="s">
        <v>5412</v>
      </c>
      <c r="AF170" s="463" t="s">
        <v>3552</v>
      </c>
      <c r="AG170" s="473"/>
      <c r="AH170" s="463">
        <v>2</v>
      </c>
      <c r="AI170" s="412"/>
    </row>
    <row r="171" spans="1:35" x14ac:dyDescent="0.3">
      <c r="A171" s="398">
        <v>169</v>
      </c>
      <c r="B171" s="399" t="s">
        <v>7450</v>
      </c>
      <c r="C171" s="398" t="s">
        <v>1615</v>
      </c>
      <c r="D171" s="463" t="s">
        <v>8329</v>
      </c>
      <c r="E171" s="410" t="s">
        <v>10217</v>
      </c>
      <c r="F171" s="463" t="s">
        <v>2377</v>
      </c>
      <c r="G171" s="477">
        <v>41181</v>
      </c>
      <c r="H171" s="475" t="s">
        <v>53</v>
      </c>
      <c r="I171" s="404" t="s">
        <v>5396</v>
      </c>
      <c r="J171" s="473" t="s">
        <v>10218</v>
      </c>
      <c r="K171" s="473" t="s">
        <v>10219</v>
      </c>
      <c r="L171" s="463" t="s">
        <v>10220</v>
      </c>
      <c r="M171" s="463"/>
      <c r="N171" s="463"/>
      <c r="O171" s="463" t="s">
        <v>5897</v>
      </c>
      <c r="P171" s="473" t="s">
        <v>5432</v>
      </c>
      <c r="Q171" s="473" t="s">
        <v>5157</v>
      </c>
      <c r="R171" s="463" t="s">
        <v>2845</v>
      </c>
      <c r="S171" s="463" t="s">
        <v>3961</v>
      </c>
      <c r="T171" s="463"/>
      <c r="U171" s="463">
        <v>40764</v>
      </c>
      <c r="V171" s="463" t="s">
        <v>6762</v>
      </c>
      <c r="W171" s="473" t="s">
        <v>10221</v>
      </c>
      <c r="X171" s="463" t="s">
        <v>10222</v>
      </c>
      <c r="Y171" s="463" t="s">
        <v>5785</v>
      </c>
      <c r="Z171" s="463" t="s">
        <v>5442</v>
      </c>
      <c r="AA171" s="463" t="s">
        <v>10223</v>
      </c>
      <c r="AB171" s="473" t="s">
        <v>10224</v>
      </c>
      <c r="AC171" s="463" t="s">
        <v>10225</v>
      </c>
      <c r="AD171" s="463" t="s">
        <v>5785</v>
      </c>
      <c r="AE171" s="463" t="s">
        <v>5412</v>
      </c>
      <c r="AF171" s="463" t="s">
        <v>10226</v>
      </c>
      <c r="AG171" s="473"/>
      <c r="AH171" s="463">
        <v>1</v>
      </c>
      <c r="AI171" s="412"/>
    </row>
    <row r="172" spans="1:35" x14ac:dyDescent="0.3">
      <c r="A172" s="398">
        <v>170</v>
      </c>
      <c r="B172" s="399" t="s">
        <v>7463</v>
      </c>
      <c r="C172" s="398" t="s">
        <v>1615</v>
      </c>
      <c r="D172" s="463" t="s">
        <v>8330</v>
      </c>
      <c r="E172" s="410" t="s">
        <v>10227</v>
      </c>
      <c r="F172" s="463" t="s">
        <v>2377</v>
      </c>
      <c r="G172" s="479">
        <v>41283</v>
      </c>
      <c r="H172" s="475" t="s">
        <v>53</v>
      </c>
      <c r="I172" s="404" t="s">
        <v>5396</v>
      </c>
      <c r="J172" s="473" t="s">
        <v>10228</v>
      </c>
      <c r="K172" s="473" t="s">
        <v>10229</v>
      </c>
      <c r="L172" s="463" t="s">
        <v>10230</v>
      </c>
      <c r="M172" s="463"/>
      <c r="N172" s="463"/>
      <c r="O172" s="463" t="s">
        <v>10231</v>
      </c>
      <c r="P172" s="473" t="s">
        <v>5394</v>
      </c>
      <c r="Q172" s="473" t="s">
        <v>5401</v>
      </c>
      <c r="R172" s="463" t="s">
        <v>2399</v>
      </c>
      <c r="S172" s="463" t="s">
        <v>3961</v>
      </c>
      <c r="T172" s="463"/>
      <c r="U172" s="473">
        <v>40564</v>
      </c>
      <c r="V172" s="463" t="s">
        <v>10232</v>
      </c>
      <c r="W172" s="473" t="s">
        <v>10233</v>
      </c>
      <c r="X172" s="463" t="s">
        <v>10234</v>
      </c>
      <c r="Y172" s="463" t="s">
        <v>5785</v>
      </c>
      <c r="Z172" s="463" t="s">
        <v>5551</v>
      </c>
      <c r="AA172" s="463" t="s">
        <v>10235</v>
      </c>
      <c r="AB172" s="473" t="s">
        <v>10236</v>
      </c>
      <c r="AC172" s="463" t="s">
        <v>10237</v>
      </c>
      <c r="AD172" s="463" t="s">
        <v>5772</v>
      </c>
      <c r="AE172" s="463" t="s">
        <v>5412</v>
      </c>
      <c r="AF172" s="463" t="s">
        <v>5487</v>
      </c>
      <c r="AG172" s="473"/>
      <c r="AH172" s="463">
        <v>1</v>
      </c>
      <c r="AI172" s="412"/>
    </row>
    <row r="173" spans="1:35" x14ac:dyDescent="0.3">
      <c r="A173" s="398">
        <v>171</v>
      </c>
      <c r="B173" s="399" t="s">
        <v>7479</v>
      </c>
      <c r="C173" s="400" t="s">
        <v>1615</v>
      </c>
      <c r="D173" s="463" t="s">
        <v>8331</v>
      </c>
      <c r="E173" s="410" t="s">
        <v>10238</v>
      </c>
      <c r="F173" s="463" t="s">
        <v>2377</v>
      </c>
      <c r="G173" s="477">
        <v>41071</v>
      </c>
      <c r="H173" s="475" t="s">
        <v>53</v>
      </c>
      <c r="I173" s="404" t="s">
        <v>5396</v>
      </c>
      <c r="J173" s="473" t="s">
        <v>10239</v>
      </c>
      <c r="K173" s="473" t="s">
        <v>10240</v>
      </c>
      <c r="L173" s="463" t="s">
        <v>10241</v>
      </c>
      <c r="M173" s="463"/>
      <c r="N173" s="463"/>
      <c r="O173" s="463" t="s">
        <v>9059</v>
      </c>
      <c r="P173" s="473" t="s">
        <v>5461</v>
      </c>
      <c r="Q173" s="473" t="s">
        <v>5448</v>
      </c>
      <c r="R173" s="463" t="s">
        <v>2399</v>
      </c>
      <c r="S173" s="463" t="s">
        <v>3961</v>
      </c>
      <c r="T173" s="463"/>
      <c r="U173" s="473">
        <v>40764</v>
      </c>
      <c r="V173" s="463" t="s">
        <v>10242</v>
      </c>
      <c r="W173" s="473" t="s">
        <v>10243</v>
      </c>
      <c r="X173" s="463" t="s">
        <v>10244</v>
      </c>
      <c r="Y173" s="463" t="s">
        <v>5904</v>
      </c>
      <c r="Z173" s="463" t="s">
        <v>5442</v>
      </c>
      <c r="AA173" s="463" t="s">
        <v>7044</v>
      </c>
      <c r="AB173" s="473" t="s">
        <v>10245</v>
      </c>
      <c r="AC173" s="463" t="s">
        <v>10246</v>
      </c>
      <c r="AD173" s="463" t="s">
        <v>5904</v>
      </c>
      <c r="AE173" s="463" t="s">
        <v>5412</v>
      </c>
      <c r="AF173" s="463" t="s">
        <v>5487</v>
      </c>
      <c r="AG173" s="473"/>
      <c r="AH173" s="463">
        <v>2</v>
      </c>
      <c r="AI173" s="412"/>
    </row>
    <row r="174" spans="1:35" x14ac:dyDescent="0.3">
      <c r="A174" s="398">
        <v>172</v>
      </c>
      <c r="B174" s="399" t="s">
        <v>7493</v>
      </c>
      <c r="C174" s="400" t="s">
        <v>13</v>
      </c>
      <c r="D174" s="421" t="s">
        <v>1803</v>
      </c>
      <c r="E174" s="410">
        <v>3137822231</v>
      </c>
      <c r="F174" s="463" t="s">
        <v>2377</v>
      </c>
      <c r="G174" s="477">
        <v>41350</v>
      </c>
      <c r="H174" s="475" t="s">
        <v>52</v>
      </c>
      <c r="I174" s="404" t="s">
        <v>5396</v>
      </c>
      <c r="J174" s="473" t="s">
        <v>10247</v>
      </c>
      <c r="K174" s="473" t="s">
        <v>10248</v>
      </c>
      <c r="L174" s="463" t="s">
        <v>10249</v>
      </c>
      <c r="M174" s="463"/>
      <c r="N174" s="463"/>
      <c r="O174" s="463" t="s">
        <v>9384</v>
      </c>
      <c r="P174" s="473" t="s">
        <v>5394</v>
      </c>
      <c r="Q174" s="473" t="s">
        <v>5401</v>
      </c>
      <c r="R174" s="463" t="s">
        <v>2399</v>
      </c>
      <c r="S174" s="463" t="s">
        <v>3961</v>
      </c>
      <c r="T174" s="463"/>
      <c r="U174" s="473">
        <v>40564</v>
      </c>
      <c r="V174" s="463" t="s">
        <v>4167</v>
      </c>
      <c r="W174" s="473" t="s">
        <v>10250</v>
      </c>
      <c r="X174" s="463" t="s">
        <v>10251</v>
      </c>
      <c r="Y174" s="463" t="s">
        <v>5785</v>
      </c>
      <c r="Z174" s="463" t="s">
        <v>5442</v>
      </c>
      <c r="AA174" s="463" t="s">
        <v>10252</v>
      </c>
      <c r="AB174" s="473" t="s">
        <v>10253</v>
      </c>
      <c r="AC174" s="463" t="s">
        <v>10254</v>
      </c>
      <c r="AD174" s="463" t="s">
        <v>5785</v>
      </c>
      <c r="AE174" s="463" t="s">
        <v>5412</v>
      </c>
      <c r="AF174" s="463" t="s">
        <v>5487</v>
      </c>
      <c r="AG174" s="463"/>
      <c r="AH174" s="463">
        <v>4</v>
      </c>
      <c r="AI174" s="412"/>
    </row>
    <row r="175" spans="1:35" x14ac:dyDescent="0.3">
      <c r="A175" s="398">
        <v>173</v>
      </c>
      <c r="B175" s="399" t="s">
        <v>7506</v>
      </c>
      <c r="C175" s="398" t="s">
        <v>1615</v>
      </c>
      <c r="D175" s="463" t="s">
        <v>8332</v>
      </c>
      <c r="E175" s="410" t="s">
        <v>10255</v>
      </c>
      <c r="F175" s="463" t="s">
        <v>2377</v>
      </c>
      <c r="G175" s="477">
        <v>41124</v>
      </c>
      <c r="H175" s="475" t="s">
        <v>53</v>
      </c>
      <c r="I175" s="404" t="s">
        <v>5396</v>
      </c>
      <c r="J175" s="473" t="s">
        <v>10256</v>
      </c>
      <c r="K175" s="473" t="s">
        <v>10257</v>
      </c>
      <c r="L175" s="463" t="s">
        <v>10258</v>
      </c>
      <c r="M175" s="463"/>
      <c r="N175" s="463"/>
      <c r="O175" s="463" t="s">
        <v>5480</v>
      </c>
      <c r="P175" s="473" t="s">
        <v>5394</v>
      </c>
      <c r="Q175" s="473" t="s">
        <v>5432</v>
      </c>
      <c r="R175" s="463" t="s">
        <v>2399</v>
      </c>
      <c r="S175" s="463" t="s">
        <v>3961</v>
      </c>
      <c r="T175" s="463"/>
      <c r="U175" s="473">
        <v>40764</v>
      </c>
      <c r="V175" s="463" t="s">
        <v>10259</v>
      </c>
      <c r="W175" s="473"/>
      <c r="X175" s="463"/>
      <c r="Y175" s="463"/>
      <c r="Z175" s="463"/>
      <c r="AA175" s="463" t="s">
        <v>10260</v>
      </c>
      <c r="AB175" s="473" t="s">
        <v>10261</v>
      </c>
      <c r="AC175" s="463" t="s">
        <v>10262</v>
      </c>
      <c r="AD175" s="463" t="s">
        <v>5904</v>
      </c>
      <c r="AE175" s="463" t="s">
        <v>5412</v>
      </c>
      <c r="AF175" s="463" t="s">
        <v>5487</v>
      </c>
      <c r="AG175" s="473"/>
      <c r="AH175" s="463">
        <v>2</v>
      </c>
      <c r="AI175" s="412"/>
    </row>
    <row r="176" spans="1:35" x14ac:dyDescent="0.3">
      <c r="A176" s="398">
        <v>174</v>
      </c>
      <c r="B176" s="399" t="s">
        <v>7520</v>
      </c>
      <c r="C176" s="400" t="s">
        <v>13</v>
      </c>
      <c r="D176" s="421" t="s">
        <v>8225</v>
      </c>
      <c r="E176" s="410">
        <v>3128618736</v>
      </c>
      <c r="F176" s="463" t="s">
        <v>2377</v>
      </c>
      <c r="G176" s="477">
        <v>41045</v>
      </c>
      <c r="H176" s="475" t="s">
        <v>52</v>
      </c>
      <c r="I176" s="404" t="s">
        <v>5396</v>
      </c>
      <c r="J176" s="473" t="s">
        <v>10263</v>
      </c>
      <c r="K176" s="473" t="s">
        <v>10264</v>
      </c>
      <c r="L176" s="463" t="s">
        <v>10265</v>
      </c>
      <c r="M176" s="463"/>
      <c r="N176" s="463"/>
      <c r="O176" s="463" t="s">
        <v>5480</v>
      </c>
      <c r="P176" s="473" t="s">
        <v>5415</v>
      </c>
      <c r="Q176" s="473" t="s">
        <v>5432</v>
      </c>
      <c r="R176" s="463" t="s">
        <v>2399</v>
      </c>
      <c r="S176" s="463" t="s">
        <v>3961</v>
      </c>
      <c r="T176" s="463"/>
      <c r="U176" s="473">
        <v>40764</v>
      </c>
      <c r="V176" s="463" t="s">
        <v>10266</v>
      </c>
      <c r="W176" s="473" t="s">
        <v>10267</v>
      </c>
      <c r="X176" s="463" t="s">
        <v>10268</v>
      </c>
      <c r="Y176" s="463" t="s">
        <v>5772</v>
      </c>
      <c r="Z176" s="463" t="s">
        <v>5442</v>
      </c>
      <c r="AA176" s="463" t="s">
        <v>10269</v>
      </c>
      <c r="AB176" s="473" t="s">
        <v>10270</v>
      </c>
      <c r="AC176" s="463" t="s">
        <v>10271</v>
      </c>
      <c r="AD176" s="463" t="s">
        <v>5772</v>
      </c>
      <c r="AE176" s="463" t="s">
        <v>5412</v>
      </c>
      <c r="AF176" s="463" t="s">
        <v>5487</v>
      </c>
      <c r="AG176" s="473"/>
      <c r="AH176" s="463">
        <v>1</v>
      </c>
      <c r="AI176" s="412"/>
    </row>
    <row r="177" spans="1:35" x14ac:dyDescent="0.3">
      <c r="A177" s="398">
        <v>175</v>
      </c>
      <c r="B177" s="399" t="s">
        <v>7533</v>
      </c>
      <c r="C177" s="400" t="s">
        <v>1614</v>
      </c>
      <c r="D177" s="463" t="s">
        <v>8300</v>
      </c>
      <c r="E177" s="410" t="s">
        <v>10272</v>
      </c>
      <c r="F177" s="463" t="s">
        <v>2377</v>
      </c>
      <c r="G177" s="477">
        <v>41208</v>
      </c>
      <c r="H177" s="475" t="s">
        <v>52</v>
      </c>
      <c r="I177" s="404" t="s">
        <v>5396</v>
      </c>
      <c r="J177" s="473" t="s">
        <v>10273</v>
      </c>
      <c r="K177" s="473" t="s">
        <v>10274</v>
      </c>
      <c r="L177" s="463" t="s">
        <v>10275</v>
      </c>
      <c r="M177" s="463"/>
      <c r="N177" s="463"/>
      <c r="O177" s="463" t="s">
        <v>9213</v>
      </c>
      <c r="P177" s="473" t="s">
        <v>5461</v>
      </c>
      <c r="Q177" s="473" t="s">
        <v>5461</v>
      </c>
      <c r="R177" s="463" t="s">
        <v>2399</v>
      </c>
      <c r="S177" s="463" t="s">
        <v>3961</v>
      </c>
      <c r="T177" s="463"/>
      <c r="U177" s="473">
        <v>40764</v>
      </c>
      <c r="V177" s="463" t="s">
        <v>10276</v>
      </c>
      <c r="W177" s="473" t="s">
        <v>10277</v>
      </c>
      <c r="X177" s="463" t="s">
        <v>10278</v>
      </c>
      <c r="Y177" s="463" t="s">
        <v>5785</v>
      </c>
      <c r="Z177" s="463" t="s">
        <v>5427</v>
      </c>
      <c r="AA177" s="463" t="s">
        <v>10279</v>
      </c>
      <c r="AB177" s="473" t="s">
        <v>10280</v>
      </c>
      <c r="AC177" s="463" t="s">
        <v>10281</v>
      </c>
      <c r="AD177" s="463" t="s">
        <v>5785</v>
      </c>
      <c r="AE177" s="463" t="s">
        <v>5412</v>
      </c>
      <c r="AF177" s="463" t="s">
        <v>3552</v>
      </c>
      <c r="AG177" s="463"/>
      <c r="AH177" s="463">
        <v>1</v>
      </c>
      <c r="AI177" s="412"/>
    </row>
    <row r="178" spans="1:35" x14ac:dyDescent="0.3">
      <c r="A178" s="398">
        <v>176</v>
      </c>
      <c r="B178" s="399" t="s">
        <v>7544</v>
      </c>
      <c r="C178" s="400" t="s">
        <v>1613</v>
      </c>
      <c r="D178" s="463" t="s">
        <v>8264</v>
      </c>
      <c r="E178" s="410" t="s">
        <v>10282</v>
      </c>
      <c r="F178" s="463" t="s">
        <v>2377</v>
      </c>
      <c r="G178" s="477">
        <v>41281</v>
      </c>
      <c r="H178" s="475" t="s">
        <v>52</v>
      </c>
      <c r="I178" s="404" t="s">
        <v>5396</v>
      </c>
      <c r="J178" s="473" t="s">
        <v>10283</v>
      </c>
      <c r="K178" s="473" t="s">
        <v>10284</v>
      </c>
      <c r="L178" s="463" t="s">
        <v>10285</v>
      </c>
      <c r="M178" s="463"/>
      <c r="N178" s="463"/>
      <c r="O178" s="463" t="s">
        <v>10286</v>
      </c>
      <c r="P178" s="473" t="s">
        <v>5432</v>
      </c>
      <c r="Q178" s="473" t="s">
        <v>5401</v>
      </c>
      <c r="R178" s="463" t="s">
        <v>2845</v>
      </c>
      <c r="S178" s="463" t="s">
        <v>3961</v>
      </c>
      <c r="T178" s="463"/>
      <c r="U178" s="473">
        <v>40764</v>
      </c>
      <c r="V178" s="463" t="s">
        <v>10287</v>
      </c>
      <c r="W178" s="473" t="s">
        <v>10288</v>
      </c>
      <c r="X178" s="463" t="s">
        <v>10289</v>
      </c>
      <c r="Y178" s="463" t="s">
        <v>5772</v>
      </c>
      <c r="Z178" s="463" t="s">
        <v>5442</v>
      </c>
      <c r="AA178" s="463" t="s">
        <v>10290</v>
      </c>
      <c r="AB178" s="473" t="s">
        <v>10291</v>
      </c>
      <c r="AC178" s="463" t="s">
        <v>10292</v>
      </c>
      <c r="AD178" s="463" t="s">
        <v>5772</v>
      </c>
      <c r="AE178" s="463" t="s">
        <v>5412</v>
      </c>
      <c r="AF178" s="463" t="s">
        <v>5930</v>
      </c>
      <c r="AG178" s="463"/>
      <c r="AH178" s="463">
        <v>1</v>
      </c>
      <c r="AI178" s="412"/>
    </row>
    <row r="179" spans="1:35" x14ac:dyDescent="0.3">
      <c r="A179" s="398">
        <v>177</v>
      </c>
      <c r="B179" s="399" t="s">
        <v>7555</v>
      </c>
      <c r="C179" s="400" t="s">
        <v>1613</v>
      </c>
      <c r="D179" s="463" t="s">
        <v>8265</v>
      </c>
      <c r="E179" s="410">
        <v>3125943959</v>
      </c>
      <c r="F179" s="463" t="s">
        <v>2377</v>
      </c>
      <c r="G179" s="477">
        <v>41174</v>
      </c>
      <c r="H179" s="475" t="s">
        <v>52</v>
      </c>
      <c r="I179" s="404" t="s">
        <v>5396</v>
      </c>
      <c r="J179" s="473" t="s">
        <v>10293</v>
      </c>
      <c r="K179" s="473" t="s">
        <v>10294</v>
      </c>
      <c r="L179" s="463"/>
      <c r="M179" s="463"/>
      <c r="N179" s="463"/>
      <c r="O179" s="463" t="s">
        <v>5626</v>
      </c>
      <c r="P179" s="473" t="s">
        <v>5394</v>
      </c>
      <c r="Q179" s="473" t="s">
        <v>5415</v>
      </c>
      <c r="R179" s="463" t="s">
        <v>3105</v>
      </c>
      <c r="S179" s="463" t="s">
        <v>5422</v>
      </c>
      <c r="T179" s="463"/>
      <c r="U179" s="473">
        <v>40562</v>
      </c>
      <c r="V179" s="463" t="s">
        <v>4509</v>
      </c>
      <c r="W179" s="473" t="s">
        <v>10295</v>
      </c>
      <c r="X179" s="463" t="s">
        <v>10296</v>
      </c>
      <c r="Y179" s="463" t="s">
        <v>5772</v>
      </c>
      <c r="Z179" s="463" t="s">
        <v>5551</v>
      </c>
      <c r="AA179" s="463" t="s">
        <v>5927</v>
      </c>
      <c r="AB179" s="473" t="s">
        <v>10297</v>
      </c>
      <c r="AC179" s="463" t="s">
        <v>10298</v>
      </c>
      <c r="AD179" s="463" t="s">
        <v>5772</v>
      </c>
      <c r="AE179" s="463" t="s">
        <v>5412</v>
      </c>
      <c r="AF179" s="463" t="s">
        <v>5917</v>
      </c>
      <c r="AG179" s="473"/>
      <c r="AH179" s="463">
        <v>3</v>
      </c>
      <c r="AI179" s="412"/>
    </row>
    <row r="180" spans="1:35" x14ac:dyDescent="0.3">
      <c r="A180" s="398">
        <v>178</v>
      </c>
      <c r="B180" s="399" t="s">
        <v>7567</v>
      </c>
      <c r="C180" s="398" t="s">
        <v>1614</v>
      </c>
      <c r="D180" s="463" t="s">
        <v>8301</v>
      </c>
      <c r="E180" s="410" t="s">
        <v>10299</v>
      </c>
      <c r="F180" s="463" t="s">
        <v>2352</v>
      </c>
      <c r="G180" s="477">
        <v>41107</v>
      </c>
      <c r="H180" s="475" t="s">
        <v>52</v>
      </c>
      <c r="I180" s="404" t="s">
        <v>5396</v>
      </c>
      <c r="J180" s="473" t="s">
        <v>10300</v>
      </c>
      <c r="K180" s="473" t="s">
        <v>10301</v>
      </c>
      <c r="L180" s="463"/>
      <c r="M180" s="463"/>
      <c r="N180" s="463"/>
      <c r="O180" s="463" t="s">
        <v>5626</v>
      </c>
      <c r="P180" s="473" t="s">
        <v>5432</v>
      </c>
      <c r="Q180" s="473" t="s">
        <v>5415</v>
      </c>
      <c r="R180" s="463" t="s">
        <v>3105</v>
      </c>
      <c r="S180" s="463" t="s">
        <v>5422</v>
      </c>
      <c r="T180" s="463"/>
      <c r="U180" s="473">
        <v>40562</v>
      </c>
      <c r="V180" s="463" t="s">
        <v>10242</v>
      </c>
      <c r="W180" s="473" t="s">
        <v>10302</v>
      </c>
      <c r="X180" s="463" t="s">
        <v>10303</v>
      </c>
      <c r="Y180" s="463" t="s">
        <v>5772</v>
      </c>
      <c r="Z180" s="463" t="s">
        <v>5442</v>
      </c>
      <c r="AA180" s="463" t="s">
        <v>3553</v>
      </c>
      <c r="AB180" s="473" t="s">
        <v>10304</v>
      </c>
      <c r="AC180" s="463" t="s">
        <v>10305</v>
      </c>
      <c r="AD180" s="463" t="s">
        <v>5904</v>
      </c>
      <c r="AE180" s="463" t="s">
        <v>5412</v>
      </c>
      <c r="AF180" s="463" t="s">
        <v>5917</v>
      </c>
      <c r="AG180" s="463"/>
      <c r="AH180" s="463">
        <v>1</v>
      </c>
      <c r="AI180" s="412"/>
    </row>
    <row r="181" spans="1:35" x14ac:dyDescent="0.3">
      <c r="A181" s="398">
        <v>179</v>
      </c>
      <c r="B181" s="399" t="s">
        <v>7580</v>
      </c>
      <c r="C181" s="398" t="s">
        <v>1614</v>
      </c>
      <c r="D181" s="463" t="s">
        <v>8302</v>
      </c>
      <c r="E181" s="410" t="s">
        <v>10306</v>
      </c>
      <c r="F181" s="463" t="s">
        <v>2377</v>
      </c>
      <c r="G181" s="477">
        <v>41110</v>
      </c>
      <c r="H181" s="475" t="s">
        <v>52</v>
      </c>
      <c r="I181" s="404" t="s">
        <v>5396</v>
      </c>
      <c r="J181" s="473" t="s">
        <v>10307</v>
      </c>
      <c r="K181" s="473" t="s">
        <v>10308</v>
      </c>
      <c r="L181" s="463" t="s">
        <v>10309</v>
      </c>
      <c r="M181" s="463"/>
      <c r="N181" s="463"/>
      <c r="O181" s="463" t="s">
        <v>5626</v>
      </c>
      <c r="P181" s="473" t="s">
        <v>5394</v>
      </c>
      <c r="Q181" s="473" t="s">
        <v>5415</v>
      </c>
      <c r="R181" s="463" t="s">
        <v>3105</v>
      </c>
      <c r="S181" s="463" t="s">
        <v>5422</v>
      </c>
      <c r="T181" s="463"/>
      <c r="U181" s="473">
        <v>40562</v>
      </c>
      <c r="V181" s="463" t="s">
        <v>3480</v>
      </c>
      <c r="W181" s="473" t="s">
        <v>10310</v>
      </c>
      <c r="X181" s="463" t="s">
        <v>10311</v>
      </c>
      <c r="Y181" s="463" t="s">
        <v>5772</v>
      </c>
      <c r="Z181" s="463" t="s">
        <v>5427</v>
      </c>
      <c r="AA181" s="463" t="s">
        <v>3481</v>
      </c>
      <c r="AB181" s="473" t="s">
        <v>10312</v>
      </c>
      <c r="AC181" s="463" t="s">
        <v>10313</v>
      </c>
      <c r="AD181" s="463" t="s">
        <v>5772</v>
      </c>
      <c r="AE181" s="463" t="s">
        <v>5412</v>
      </c>
      <c r="AF181" s="463" t="s">
        <v>5917</v>
      </c>
      <c r="AG181" s="463"/>
      <c r="AH181" s="463">
        <v>3</v>
      </c>
      <c r="AI181" s="412"/>
    </row>
    <row r="182" spans="1:35" x14ac:dyDescent="0.3">
      <c r="A182" s="398">
        <v>180</v>
      </c>
      <c r="B182" s="399" t="s">
        <v>7593</v>
      </c>
      <c r="C182" s="400" t="s">
        <v>1615</v>
      </c>
      <c r="D182" s="463" t="s">
        <v>8333</v>
      </c>
      <c r="E182" s="410">
        <v>3127039154</v>
      </c>
      <c r="F182" s="463" t="s">
        <v>2377</v>
      </c>
      <c r="G182" s="477">
        <v>41613</v>
      </c>
      <c r="H182" s="475" t="s">
        <v>52</v>
      </c>
      <c r="I182" s="404" t="s">
        <v>5396</v>
      </c>
      <c r="J182" s="473" t="s">
        <v>10314</v>
      </c>
      <c r="K182" s="473" t="s">
        <v>10315</v>
      </c>
      <c r="L182" s="463"/>
      <c r="M182" s="463"/>
      <c r="N182" s="463"/>
      <c r="O182" s="463" t="s">
        <v>5626</v>
      </c>
      <c r="P182" s="473" t="s">
        <v>5461</v>
      </c>
      <c r="Q182" s="473" t="s">
        <v>5394</v>
      </c>
      <c r="R182" s="463" t="s">
        <v>3105</v>
      </c>
      <c r="S182" s="463" t="s">
        <v>5422</v>
      </c>
      <c r="T182" s="463"/>
      <c r="U182" s="473">
        <v>40563</v>
      </c>
      <c r="V182" s="463" t="s">
        <v>10316</v>
      </c>
      <c r="W182" s="473" t="s">
        <v>10317</v>
      </c>
      <c r="X182" s="463" t="s">
        <v>10318</v>
      </c>
      <c r="Y182" s="463" t="s">
        <v>5772</v>
      </c>
      <c r="Z182" s="463" t="s">
        <v>5442</v>
      </c>
      <c r="AA182" s="463" t="s">
        <v>10319</v>
      </c>
      <c r="AB182" s="473" t="s">
        <v>10320</v>
      </c>
      <c r="AC182" s="463" t="s">
        <v>10321</v>
      </c>
      <c r="AD182" s="463" t="s">
        <v>5772</v>
      </c>
      <c r="AE182" s="463" t="s">
        <v>5412</v>
      </c>
      <c r="AF182" s="463" t="s">
        <v>5917</v>
      </c>
      <c r="AG182" s="463"/>
      <c r="AH182" s="463">
        <v>1</v>
      </c>
      <c r="AI182" s="412"/>
    </row>
    <row r="183" spans="1:35" x14ac:dyDescent="0.3">
      <c r="A183" s="398">
        <v>181</v>
      </c>
      <c r="B183" s="399" t="s">
        <v>7606</v>
      </c>
      <c r="C183" s="398" t="s">
        <v>1614</v>
      </c>
      <c r="D183" s="463" t="s">
        <v>8303</v>
      </c>
      <c r="E183" s="410" t="s">
        <v>10322</v>
      </c>
      <c r="F183" s="463" t="s">
        <v>2377</v>
      </c>
      <c r="G183" s="477">
        <v>41322</v>
      </c>
      <c r="H183" s="475" t="s">
        <v>53</v>
      </c>
      <c r="I183" s="404" t="s">
        <v>5396</v>
      </c>
      <c r="J183" s="473" t="s">
        <v>10323</v>
      </c>
      <c r="K183" s="473" t="s">
        <v>10324</v>
      </c>
      <c r="L183" s="463" t="s">
        <v>10325</v>
      </c>
      <c r="M183" s="463"/>
      <c r="N183" s="463"/>
      <c r="O183" s="463" t="s">
        <v>3147</v>
      </c>
      <c r="P183" s="473" t="s">
        <v>5394</v>
      </c>
      <c r="Q183" s="473" t="s">
        <v>5461</v>
      </c>
      <c r="R183" s="463" t="s">
        <v>3581</v>
      </c>
      <c r="S183" s="463" t="s">
        <v>5422</v>
      </c>
      <c r="T183" s="463"/>
      <c r="U183" s="473">
        <v>40562</v>
      </c>
      <c r="V183" s="463" t="s">
        <v>10326</v>
      </c>
      <c r="W183" s="473"/>
      <c r="X183" s="463"/>
      <c r="Y183" s="463"/>
      <c r="Z183" s="463"/>
      <c r="AA183" s="463" t="s">
        <v>7286</v>
      </c>
      <c r="AB183" s="473" t="s">
        <v>10327</v>
      </c>
      <c r="AC183" s="463" t="s">
        <v>10328</v>
      </c>
      <c r="AD183" s="463" t="s">
        <v>5772</v>
      </c>
      <c r="AE183" s="463" t="s">
        <v>5412</v>
      </c>
      <c r="AF183" s="463" t="s">
        <v>5917</v>
      </c>
      <c r="AG183" s="463"/>
      <c r="AH183" s="463">
        <v>1</v>
      </c>
      <c r="AI183" s="412"/>
    </row>
    <row r="184" spans="1:35" x14ac:dyDescent="0.3">
      <c r="A184" s="398">
        <v>182</v>
      </c>
      <c r="B184" s="399" t="s">
        <v>7618</v>
      </c>
      <c r="C184" s="398" t="s">
        <v>1615</v>
      </c>
      <c r="D184" s="463" t="s">
        <v>8334</v>
      </c>
      <c r="E184" s="410" t="s">
        <v>10329</v>
      </c>
      <c r="F184" s="463" t="s">
        <v>2928</v>
      </c>
      <c r="G184" s="477">
        <v>41052</v>
      </c>
      <c r="H184" s="475" t="s">
        <v>52</v>
      </c>
      <c r="I184" s="404" t="s">
        <v>5396</v>
      </c>
      <c r="J184" s="473" t="s">
        <v>10330</v>
      </c>
      <c r="K184" s="473" t="s">
        <v>10331</v>
      </c>
      <c r="L184" s="463"/>
      <c r="M184" s="463"/>
      <c r="N184" s="463"/>
      <c r="O184" s="463" t="s">
        <v>5626</v>
      </c>
      <c r="P184" s="473" t="s">
        <v>5401</v>
      </c>
      <c r="Q184" s="473" t="s">
        <v>5394</v>
      </c>
      <c r="R184" s="463" t="s">
        <v>3105</v>
      </c>
      <c r="S184" s="463" t="s">
        <v>5422</v>
      </c>
      <c r="T184" s="463"/>
      <c r="U184" s="473">
        <v>40562</v>
      </c>
      <c r="V184" s="463" t="s">
        <v>10332</v>
      </c>
      <c r="W184" s="473"/>
      <c r="X184" s="463"/>
      <c r="Y184" s="463"/>
      <c r="Z184" s="463"/>
      <c r="AA184" s="463" t="s">
        <v>10333</v>
      </c>
      <c r="AB184" s="473" t="s">
        <v>10334</v>
      </c>
      <c r="AC184" s="463" t="s">
        <v>10335</v>
      </c>
      <c r="AD184" s="463" t="s">
        <v>5785</v>
      </c>
      <c r="AE184" s="463" t="s">
        <v>5412</v>
      </c>
      <c r="AF184" s="463" t="s">
        <v>5917</v>
      </c>
      <c r="AG184" s="463" t="s">
        <v>10336</v>
      </c>
      <c r="AH184" s="463">
        <v>4</v>
      </c>
      <c r="AI184" s="412"/>
    </row>
    <row r="185" spans="1:35" x14ac:dyDescent="0.3">
      <c r="A185" s="398">
        <v>183</v>
      </c>
      <c r="B185" s="399" t="s">
        <v>7632</v>
      </c>
      <c r="C185" s="398" t="s">
        <v>1614</v>
      </c>
      <c r="D185" s="463" t="s">
        <v>8304</v>
      </c>
      <c r="E185" s="410">
        <v>3121638715</v>
      </c>
      <c r="F185" s="463" t="s">
        <v>2377</v>
      </c>
      <c r="G185" s="477">
        <v>41238</v>
      </c>
      <c r="H185" s="475" t="s">
        <v>53</v>
      </c>
      <c r="I185" s="404" t="s">
        <v>5396</v>
      </c>
      <c r="J185" s="473" t="s">
        <v>10337</v>
      </c>
      <c r="K185" s="473" t="s">
        <v>10338</v>
      </c>
      <c r="L185" s="463" t="s">
        <v>10339</v>
      </c>
      <c r="M185" s="463"/>
      <c r="N185" s="463"/>
      <c r="O185" s="463" t="s">
        <v>5626</v>
      </c>
      <c r="P185" s="473" t="s">
        <v>5401</v>
      </c>
      <c r="Q185" s="473" t="s">
        <v>5394</v>
      </c>
      <c r="R185" s="463" t="s">
        <v>3105</v>
      </c>
      <c r="S185" s="463" t="s">
        <v>5422</v>
      </c>
      <c r="T185" s="463"/>
      <c r="U185" s="473">
        <v>40562</v>
      </c>
      <c r="V185" s="463" t="s">
        <v>10340</v>
      </c>
      <c r="W185" s="473"/>
      <c r="X185" s="463"/>
      <c r="Y185" s="463"/>
      <c r="Z185" s="463"/>
      <c r="AA185" s="463" t="s">
        <v>10341</v>
      </c>
      <c r="AB185" s="473" t="s">
        <v>10342</v>
      </c>
      <c r="AC185" s="463" t="s">
        <v>10343</v>
      </c>
      <c r="AD185" s="463" t="s">
        <v>5904</v>
      </c>
      <c r="AE185" s="463" t="s">
        <v>5412</v>
      </c>
      <c r="AF185" s="463" t="s">
        <v>5917</v>
      </c>
      <c r="AG185" s="463" t="s">
        <v>10344</v>
      </c>
      <c r="AH185" s="463">
        <v>2</v>
      </c>
      <c r="AI185" s="412"/>
    </row>
    <row r="186" spans="1:35" x14ac:dyDescent="0.3">
      <c r="A186" s="398">
        <v>184</v>
      </c>
      <c r="B186" s="399" t="s">
        <v>7643</v>
      </c>
      <c r="C186" s="398" t="s">
        <v>1616</v>
      </c>
      <c r="D186" s="463" t="s">
        <v>8363</v>
      </c>
      <c r="E186" s="410" t="s">
        <v>10345</v>
      </c>
      <c r="F186" s="463" t="s">
        <v>2377</v>
      </c>
      <c r="G186" s="477">
        <v>41333</v>
      </c>
      <c r="H186" s="475" t="s">
        <v>52</v>
      </c>
      <c r="I186" s="404" t="s">
        <v>5396</v>
      </c>
      <c r="J186" s="473" t="s">
        <v>10346</v>
      </c>
      <c r="K186" s="473" t="s">
        <v>10347</v>
      </c>
      <c r="L186" s="463" t="s">
        <v>10348</v>
      </c>
      <c r="M186" s="469"/>
      <c r="N186" s="463"/>
      <c r="O186" s="463" t="s">
        <v>5626</v>
      </c>
      <c r="P186" s="473" t="s">
        <v>5432</v>
      </c>
      <c r="Q186" s="473" t="s">
        <v>5415</v>
      </c>
      <c r="R186" s="463" t="s">
        <v>3105</v>
      </c>
      <c r="S186" s="463" t="s">
        <v>5422</v>
      </c>
      <c r="T186" s="463"/>
      <c r="U186" s="473">
        <v>40562</v>
      </c>
      <c r="V186" s="463" t="s">
        <v>6126</v>
      </c>
      <c r="W186" s="473"/>
      <c r="X186" s="463"/>
      <c r="Y186" s="463"/>
      <c r="Z186" s="463"/>
      <c r="AA186" s="463" t="s">
        <v>10349</v>
      </c>
      <c r="AB186" s="473" t="s">
        <v>10350</v>
      </c>
      <c r="AC186" s="463" t="s">
        <v>10351</v>
      </c>
      <c r="AD186" s="463" t="s">
        <v>5904</v>
      </c>
      <c r="AE186" s="463" t="s">
        <v>5412</v>
      </c>
      <c r="AF186" s="463" t="s">
        <v>5917</v>
      </c>
      <c r="AG186" s="463" t="s">
        <v>10352</v>
      </c>
      <c r="AH186" s="463">
        <v>1</v>
      </c>
      <c r="AI186" s="412"/>
    </row>
    <row r="187" spans="1:35" x14ac:dyDescent="0.3">
      <c r="A187" s="398">
        <v>185</v>
      </c>
      <c r="B187" s="399" t="s">
        <v>7651</v>
      </c>
      <c r="C187" s="398" t="s">
        <v>1617</v>
      </c>
      <c r="D187" s="241" t="s">
        <v>8423</v>
      </c>
      <c r="E187" s="410">
        <v>3136710679</v>
      </c>
      <c r="F187" s="463" t="s">
        <v>2377</v>
      </c>
      <c r="G187" s="477">
        <v>41282</v>
      </c>
      <c r="H187" s="475" t="s">
        <v>52</v>
      </c>
      <c r="I187" s="404" t="s">
        <v>5396</v>
      </c>
      <c r="J187" s="473" t="s">
        <v>10353</v>
      </c>
      <c r="K187" s="473" t="s">
        <v>10354</v>
      </c>
      <c r="L187" s="463" t="s">
        <v>10355</v>
      </c>
      <c r="M187" s="463"/>
      <c r="N187" s="463"/>
      <c r="O187" s="463" t="s">
        <v>5626</v>
      </c>
      <c r="P187" s="473" t="s">
        <v>5415</v>
      </c>
      <c r="Q187" s="473" t="s">
        <v>5415</v>
      </c>
      <c r="R187" s="463" t="s">
        <v>3105</v>
      </c>
      <c r="S187" s="463" t="s">
        <v>5422</v>
      </c>
      <c r="T187" s="463"/>
      <c r="U187" s="473">
        <v>40562</v>
      </c>
      <c r="V187" s="463" t="s">
        <v>10356</v>
      </c>
      <c r="W187" s="473" t="s">
        <v>10357</v>
      </c>
      <c r="X187" s="463" t="s">
        <v>10358</v>
      </c>
      <c r="Y187" s="463" t="s">
        <v>5772</v>
      </c>
      <c r="Z187" s="463" t="s">
        <v>5442</v>
      </c>
      <c r="AA187" s="463" t="s">
        <v>10359</v>
      </c>
      <c r="AB187" s="473" t="s">
        <v>10360</v>
      </c>
      <c r="AC187" s="463" t="s">
        <v>10361</v>
      </c>
      <c r="AD187" s="463" t="s">
        <v>5772</v>
      </c>
      <c r="AE187" s="463" t="s">
        <v>5412</v>
      </c>
      <c r="AF187" s="463" t="s">
        <v>5917</v>
      </c>
      <c r="AG187" s="463"/>
      <c r="AH187" s="463">
        <v>2</v>
      </c>
      <c r="AI187" s="412"/>
    </row>
    <row r="188" spans="1:35" x14ac:dyDescent="0.3">
      <c r="A188" s="398">
        <v>186</v>
      </c>
      <c r="B188" s="399" t="s">
        <v>7664</v>
      </c>
      <c r="C188" s="398" t="s">
        <v>1615</v>
      </c>
      <c r="D188" s="463" t="s">
        <v>8335</v>
      </c>
      <c r="E188" s="410">
        <v>3139809315</v>
      </c>
      <c r="F188" s="463" t="s">
        <v>2377</v>
      </c>
      <c r="G188" s="477">
        <v>41532</v>
      </c>
      <c r="H188" s="475" t="s">
        <v>53</v>
      </c>
      <c r="I188" s="404" t="s">
        <v>5396</v>
      </c>
      <c r="J188" s="473" t="s">
        <v>10362</v>
      </c>
      <c r="K188" s="473" t="s">
        <v>10363</v>
      </c>
      <c r="L188" s="463"/>
      <c r="M188" s="463"/>
      <c r="N188" s="463"/>
      <c r="O188" s="463" t="s">
        <v>5626</v>
      </c>
      <c r="P188" s="473" t="s">
        <v>5394</v>
      </c>
      <c r="Q188" s="473" t="s">
        <v>5415</v>
      </c>
      <c r="R188" s="463" t="s">
        <v>3105</v>
      </c>
      <c r="S188" s="463" t="s">
        <v>5422</v>
      </c>
      <c r="T188" s="463"/>
      <c r="U188" s="473">
        <v>40562</v>
      </c>
      <c r="V188" s="463" t="s">
        <v>10364</v>
      </c>
      <c r="W188" s="473" t="s">
        <v>10365</v>
      </c>
      <c r="X188" s="463" t="s">
        <v>10366</v>
      </c>
      <c r="Y188" s="463" t="s">
        <v>5772</v>
      </c>
      <c r="Z188" s="463" t="s">
        <v>5442</v>
      </c>
      <c r="AA188" s="463" t="s">
        <v>10367</v>
      </c>
      <c r="AB188" s="473" t="s">
        <v>10368</v>
      </c>
      <c r="AC188" s="463" t="s">
        <v>10369</v>
      </c>
      <c r="AD188" s="463" t="s">
        <v>5904</v>
      </c>
      <c r="AE188" s="463" t="s">
        <v>5412</v>
      </c>
      <c r="AF188" s="463" t="s">
        <v>5917</v>
      </c>
      <c r="AG188" s="463" t="s">
        <v>10370</v>
      </c>
      <c r="AH188" s="463">
        <v>2</v>
      </c>
      <c r="AI188" s="412"/>
    </row>
    <row r="189" spans="1:35" x14ac:dyDescent="0.3">
      <c r="A189" s="398">
        <v>187</v>
      </c>
      <c r="B189" s="399" t="s">
        <v>7676</v>
      </c>
      <c r="C189" s="398" t="s">
        <v>1615</v>
      </c>
      <c r="D189" s="463" t="s">
        <v>8336</v>
      </c>
      <c r="E189" s="410">
        <v>3139838508</v>
      </c>
      <c r="F189" s="463" t="s">
        <v>2377</v>
      </c>
      <c r="G189" s="477">
        <v>41503</v>
      </c>
      <c r="H189" s="475" t="s">
        <v>53</v>
      </c>
      <c r="I189" s="404" t="s">
        <v>5396</v>
      </c>
      <c r="J189" s="473" t="s">
        <v>10371</v>
      </c>
      <c r="K189" s="473" t="s">
        <v>10372</v>
      </c>
      <c r="L189" s="463" t="s">
        <v>10373</v>
      </c>
      <c r="M189" s="463"/>
      <c r="N189" s="469"/>
      <c r="O189" s="463" t="s">
        <v>5626</v>
      </c>
      <c r="P189" s="473" t="s">
        <v>5394</v>
      </c>
      <c r="Q189" s="473" t="s">
        <v>5394</v>
      </c>
      <c r="R189" s="463" t="s">
        <v>3105</v>
      </c>
      <c r="S189" s="463" t="s">
        <v>5422</v>
      </c>
      <c r="T189" s="463"/>
      <c r="U189" s="473">
        <v>40562</v>
      </c>
      <c r="V189" s="463" t="s">
        <v>10374</v>
      </c>
      <c r="W189" s="473" t="s">
        <v>10375</v>
      </c>
      <c r="X189" s="463" t="s">
        <v>10376</v>
      </c>
      <c r="Y189" s="463" t="s">
        <v>5904</v>
      </c>
      <c r="Z189" s="463" t="s">
        <v>5551</v>
      </c>
      <c r="AA189" s="463" t="s">
        <v>4066</v>
      </c>
      <c r="AB189" s="473" t="s">
        <v>10377</v>
      </c>
      <c r="AC189" s="463" t="s">
        <v>10378</v>
      </c>
      <c r="AD189" s="463" t="s">
        <v>5772</v>
      </c>
      <c r="AE189" s="463" t="s">
        <v>5412</v>
      </c>
      <c r="AF189" s="463" t="s">
        <v>5917</v>
      </c>
      <c r="AG189" s="463" t="s">
        <v>10379</v>
      </c>
      <c r="AH189" s="463">
        <v>4</v>
      </c>
      <c r="AI189" s="412"/>
    </row>
    <row r="190" spans="1:35" x14ac:dyDescent="0.3">
      <c r="A190" s="398">
        <v>188</v>
      </c>
      <c r="B190" s="399" t="s">
        <v>7688</v>
      </c>
      <c r="C190" s="398" t="s">
        <v>1616</v>
      </c>
      <c r="D190" s="463" t="s">
        <v>8364</v>
      </c>
      <c r="E190" s="410">
        <v>3135621709</v>
      </c>
      <c r="F190" s="463" t="s">
        <v>2377</v>
      </c>
      <c r="G190" s="477">
        <v>41476</v>
      </c>
      <c r="H190" s="475" t="s">
        <v>53</v>
      </c>
      <c r="I190" s="404" t="s">
        <v>5396</v>
      </c>
      <c r="J190" s="473" t="s">
        <v>10380</v>
      </c>
      <c r="K190" s="473" t="s">
        <v>10381</v>
      </c>
      <c r="L190" s="463" t="s">
        <v>10382</v>
      </c>
      <c r="M190" s="463"/>
      <c r="N190" s="463"/>
      <c r="O190" s="463" t="s">
        <v>5626</v>
      </c>
      <c r="P190" s="473" t="s">
        <v>5461</v>
      </c>
      <c r="Q190" s="473" t="s">
        <v>5394</v>
      </c>
      <c r="R190" s="463" t="s">
        <v>3105</v>
      </c>
      <c r="S190" s="463" t="s">
        <v>5422</v>
      </c>
      <c r="T190" s="463"/>
      <c r="U190" s="473">
        <v>40562</v>
      </c>
      <c r="V190" s="463" t="s">
        <v>10124</v>
      </c>
      <c r="W190" s="473" t="s">
        <v>10383</v>
      </c>
      <c r="X190" s="463" t="s">
        <v>10384</v>
      </c>
      <c r="Y190" s="463" t="s">
        <v>5772</v>
      </c>
      <c r="Z190" s="463" t="s">
        <v>5442</v>
      </c>
      <c r="AA190" s="463" t="s">
        <v>8368</v>
      </c>
      <c r="AB190" s="473" t="s">
        <v>10385</v>
      </c>
      <c r="AC190" s="463" t="s">
        <v>10386</v>
      </c>
      <c r="AD190" s="463" t="s">
        <v>5772</v>
      </c>
      <c r="AE190" s="463" t="s">
        <v>5412</v>
      </c>
      <c r="AF190" s="463" t="s">
        <v>5917</v>
      </c>
      <c r="AG190" s="463" t="s">
        <v>10387</v>
      </c>
      <c r="AH190" s="463">
        <v>1</v>
      </c>
      <c r="AI190" s="412"/>
    </row>
    <row r="191" spans="1:35" x14ac:dyDescent="0.3">
      <c r="A191" s="398">
        <v>189</v>
      </c>
      <c r="B191" s="399" t="s">
        <v>7704</v>
      </c>
      <c r="C191" s="398" t="s">
        <v>1616</v>
      </c>
      <c r="D191" s="463" t="s">
        <v>8365</v>
      </c>
      <c r="E191" s="410">
        <v>3138052441</v>
      </c>
      <c r="F191" s="463" t="s">
        <v>2377</v>
      </c>
      <c r="G191" s="477">
        <v>41354</v>
      </c>
      <c r="H191" s="475" t="s">
        <v>53</v>
      </c>
      <c r="I191" s="404" t="s">
        <v>5396</v>
      </c>
      <c r="J191" s="473" t="s">
        <v>10388</v>
      </c>
      <c r="K191" s="473" t="s">
        <v>10389</v>
      </c>
      <c r="L191" s="463" t="s">
        <v>10390</v>
      </c>
      <c r="M191" s="463"/>
      <c r="N191" s="463"/>
      <c r="O191" s="463" t="s">
        <v>5626</v>
      </c>
      <c r="P191" s="473" t="s">
        <v>5401</v>
      </c>
      <c r="Q191" s="473" t="s">
        <v>5394</v>
      </c>
      <c r="R191" s="463" t="s">
        <v>3105</v>
      </c>
      <c r="S191" s="463" t="s">
        <v>5422</v>
      </c>
      <c r="T191" s="463"/>
      <c r="U191" s="463">
        <v>40553</v>
      </c>
      <c r="V191" s="463" t="s">
        <v>10391</v>
      </c>
      <c r="W191" s="473" t="s">
        <v>10392</v>
      </c>
      <c r="X191" s="463" t="s">
        <v>10393</v>
      </c>
      <c r="Y191" s="463" t="s">
        <v>5904</v>
      </c>
      <c r="Z191" s="463" t="s">
        <v>5442</v>
      </c>
      <c r="AA191" s="463" t="s">
        <v>10394</v>
      </c>
      <c r="AB191" s="473" t="s">
        <v>10395</v>
      </c>
      <c r="AC191" s="463" t="s">
        <v>10396</v>
      </c>
      <c r="AD191" s="463" t="s">
        <v>5904</v>
      </c>
      <c r="AE191" s="463" t="s">
        <v>5412</v>
      </c>
      <c r="AF191" s="463" t="s">
        <v>5917</v>
      </c>
      <c r="AG191" s="463" t="s">
        <v>10397</v>
      </c>
      <c r="AH191" s="463">
        <v>3</v>
      </c>
      <c r="AI191" s="412"/>
    </row>
    <row r="192" spans="1:35" x14ac:dyDescent="0.3">
      <c r="A192" s="398">
        <v>190</v>
      </c>
      <c r="B192" s="399" t="s">
        <v>7720</v>
      </c>
      <c r="C192" s="398" t="s">
        <v>1616</v>
      </c>
      <c r="D192" s="463" t="s">
        <v>8366</v>
      </c>
      <c r="E192" s="410" t="s">
        <v>10398</v>
      </c>
      <c r="F192" s="463" t="s">
        <v>2377</v>
      </c>
      <c r="G192" s="477">
        <v>41268</v>
      </c>
      <c r="H192" s="475" t="s">
        <v>52</v>
      </c>
      <c r="I192" s="404" t="s">
        <v>5396</v>
      </c>
      <c r="J192" s="473" t="s">
        <v>10399</v>
      </c>
      <c r="K192" s="473" t="s">
        <v>10400</v>
      </c>
      <c r="L192" s="463" t="s">
        <v>10401</v>
      </c>
      <c r="M192" s="463"/>
      <c r="N192" s="470"/>
      <c r="O192" s="463" t="s">
        <v>5626</v>
      </c>
      <c r="P192" s="473" t="s">
        <v>5432</v>
      </c>
      <c r="Q192" s="473" t="s">
        <v>5415</v>
      </c>
      <c r="R192" s="463" t="s">
        <v>3105</v>
      </c>
      <c r="S192" s="463" t="s">
        <v>5422</v>
      </c>
      <c r="T192" s="463"/>
      <c r="U192" s="463">
        <v>40562</v>
      </c>
      <c r="V192" s="463" t="s">
        <v>10402</v>
      </c>
      <c r="W192" s="473" t="s">
        <v>10403</v>
      </c>
      <c r="X192" s="463" t="s">
        <v>10404</v>
      </c>
      <c r="Y192" s="463" t="s">
        <v>5772</v>
      </c>
      <c r="Z192" s="463" t="s">
        <v>5442</v>
      </c>
      <c r="AA192" s="463" t="s">
        <v>10405</v>
      </c>
      <c r="AB192" s="473" t="s">
        <v>10406</v>
      </c>
      <c r="AC192" s="463" t="s">
        <v>10407</v>
      </c>
      <c r="AD192" s="463" t="s">
        <v>5904</v>
      </c>
      <c r="AE192" s="463" t="s">
        <v>5412</v>
      </c>
      <c r="AF192" s="463" t="s">
        <v>5917</v>
      </c>
      <c r="AG192" s="463" t="s">
        <v>10408</v>
      </c>
      <c r="AH192" s="463">
        <v>3</v>
      </c>
      <c r="AI192" s="412"/>
    </row>
    <row r="193" spans="1:35" x14ac:dyDescent="0.3">
      <c r="A193" s="398">
        <v>191</v>
      </c>
      <c r="B193" s="399" t="s">
        <v>7737</v>
      </c>
      <c r="C193" s="400" t="s">
        <v>1614</v>
      </c>
      <c r="D193" s="470" t="s">
        <v>8305</v>
      </c>
      <c r="E193" s="410">
        <v>126004327</v>
      </c>
      <c r="F193" s="470" t="s">
        <v>2377</v>
      </c>
      <c r="G193" s="480">
        <v>40991</v>
      </c>
      <c r="H193" s="475" t="s">
        <v>53</v>
      </c>
      <c r="I193" s="470" t="s">
        <v>5396</v>
      </c>
      <c r="J193" s="412" t="s">
        <v>10409</v>
      </c>
      <c r="K193" s="412" t="s">
        <v>10410</v>
      </c>
      <c r="L193" s="470" t="s">
        <v>10411</v>
      </c>
      <c r="M193" s="470"/>
      <c r="N193" s="470"/>
      <c r="O193" s="470" t="s">
        <v>5626</v>
      </c>
      <c r="P193" s="412" t="s">
        <v>5157</v>
      </c>
      <c r="Q193" s="412" t="s">
        <v>5394</v>
      </c>
      <c r="R193" s="470" t="s">
        <v>3105</v>
      </c>
      <c r="S193" s="470" t="s">
        <v>5422</v>
      </c>
      <c r="T193" s="470"/>
      <c r="U193" s="481"/>
      <c r="V193" s="470" t="s">
        <v>10412</v>
      </c>
      <c r="W193" s="412" t="s">
        <v>10413</v>
      </c>
      <c r="X193" s="470" t="s">
        <v>10414</v>
      </c>
      <c r="Y193" s="470" t="s">
        <v>5904</v>
      </c>
      <c r="Z193" s="463" t="s">
        <v>5442</v>
      </c>
      <c r="AA193" s="470" t="s">
        <v>10415</v>
      </c>
      <c r="AB193" s="412" t="s">
        <v>10416</v>
      </c>
      <c r="AC193" s="470" t="s">
        <v>10417</v>
      </c>
      <c r="AD193" s="470" t="s">
        <v>5772</v>
      </c>
      <c r="AE193" s="470" t="s">
        <v>5412</v>
      </c>
      <c r="AF193" s="470" t="s">
        <v>10418</v>
      </c>
      <c r="AG193" s="470"/>
      <c r="AH193" s="475">
        <v>1</v>
      </c>
      <c r="AI193" s="412"/>
    </row>
    <row r="194" spans="1:35" x14ac:dyDescent="0.3">
      <c r="A194" s="398">
        <v>192</v>
      </c>
      <c r="B194" s="399" t="s">
        <v>7749</v>
      </c>
      <c r="C194" s="398" t="s">
        <v>1615</v>
      </c>
      <c r="D194" s="470" t="s">
        <v>8337</v>
      </c>
      <c r="E194" s="410" t="s">
        <v>10419</v>
      </c>
      <c r="F194" s="470" t="s">
        <v>2377</v>
      </c>
      <c r="G194" s="480">
        <v>41232</v>
      </c>
      <c r="H194" s="398" t="s">
        <v>52</v>
      </c>
      <c r="I194" s="470" t="s">
        <v>5396</v>
      </c>
      <c r="J194" s="412" t="s">
        <v>10420</v>
      </c>
      <c r="K194" s="412" t="s">
        <v>10421</v>
      </c>
      <c r="L194" s="470" t="s">
        <v>10422</v>
      </c>
      <c r="M194" s="470"/>
      <c r="N194" s="470"/>
      <c r="O194" s="470" t="s">
        <v>2887</v>
      </c>
      <c r="P194" s="412" t="s">
        <v>5415</v>
      </c>
      <c r="Q194" s="412" t="s">
        <v>5461</v>
      </c>
      <c r="R194" s="470" t="s">
        <v>2399</v>
      </c>
      <c r="S194" s="470" t="s">
        <v>3961</v>
      </c>
      <c r="T194" s="470"/>
      <c r="U194" s="463">
        <v>40764</v>
      </c>
      <c r="V194" s="470" t="s">
        <v>10423</v>
      </c>
      <c r="W194" s="412" t="s">
        <v>10424</v>
      </c>
      <c r="X194" s="470" t="s">
        <v>10425</v>
      </c>
      <c r="Y194" s="470" t="s">
        <v>5772</v>
      </c>
      <c r="Z194" s="463" t="s">
        <v>5442</v>
      </c>
      <c r="AA194" s="470" t="s">
        <v>5846</v>
      </c>
      <c r="AB194" s="412" t="s">
        <v>10426</v>
      </c>
      <c r="AC194" s="470" t="s">
        <v>10427</v>
      </c>
      <c r="AD194" s="470" t="s">
        <v>9721</v>
      </c>
      <c r="AE194" s="470" t="s">
        <v>5412</v>
      </c>
      <c r="AF194" s="470" t="s">
        <v>3552</v>
      </c>
      <c r="AG194" s="470"/>
      <c r="AH194" s="470">
        <v>3</v>
      </c>
      <c r="AI194" s="470"/>
    </row>
    <row r="195" spans="1:35" x14ac:dyDescent="0.3">
      <c r="A195" s="398">
        <v>193</v>
      </c>
      <c r="B195" s="399" t="s">
        <v>7759</v>
      </c>
      <c r="C195" s="399" t="s">
        <v>1616</v>
      </c>
      <c r="D195" s="463" t="s">
        <v>8367</v>
      </c>
      <c r="E195" s="410" t="s">
        <v>10428</v>
      </c>
      <c r="F195" s="412" t="s">
        <v>2377</v>
      </c>
      <c r="G195" s="480">
        <v>41215</v>
      </c>
      <c r="H195" s="477" t="s">
        <v>53</v>
      </c>
      <c r="I195" s="398" t="s">
        <v>5396</v>
      </c>
      <c r="J195" s="470"/>
      <c r="K195" s="412"/>
      <c r="L195" s="412" t="s">
        <v>10429</v>
      </c>
      <c r="M195" s="470"/>
      <c r="N195" s="470"/>
      <c r="O195" s="470" t="s">
        <v>2733</v>
      </c>
      <c r="P195" s="412" t="s">
        <v>5432</v>
      </c>
      <c r="Q195" s="412" t="s">
        <v>5394</v>
      </c>
      <c r="R195" s="412" t="s">
        <v>2399</v>
      </c>
      <c r="S195" s="470" t="s">
        <v>3961</v>
      </c>
      <c r="T195" s="470"/>
      <c r="U195" s="470"/>
      <c r="V195" s="412" t="s">
        <v>10430</v>
      </c>
      <c r="W195" s="470"/>
      <c r="X195" s="412"/>
      <c r="Y195" s="470"/>
      <c r="Z195" s="470"/>
      <c r="AA195" s="470" t="s">
        <v>10431</v>
      </c>
      <c r="AB195" s="470"/>
      <c r="AC195" s="412"/>
      <c r="AD195" s="470"/>
      <c r="AE195" s="470"/>
      <c r="AF195" s="470" t="s">
        <v>3552</v>
      </c>
      <c r="AG195" s="470"/>
      <c r="AH195" s="412">
        <v>3</v>
      </c>
      <c r="AI195" s="470"/>
    </row>
    <row r="196" spans="1:35" x14ac:dyDescent="0.3">
      <c r="A196" s="242">
        <v>194</v>
      </c>
      <c r="B196" s="255" t="s">
        <v>7772</v>
      </c>
      <c r="C196" s="255" t="s">
        <v>1615</v>
      </c>
      <c r="D196" s="246" t="s">
        <v>8338</v>
      </c>
      <c r="E196" s="242">
        <v>3134264305</v>
      </c>
      <c r="F196" s="254" t="s">
        <v>2377</v>
      </c>
      <c r="G196" s="482">
        <v>41404</v>
      </c>
      <c r="H196" s="351" t="s">
        <v>53</v>
      </c>
      <c r="I196" s="242" t="s">
        <v>5396</v>
      </c>
      <c r="J196" s="254" t="s">
        <v>10432</v>
      </c>
      <c r="K196" s="254" t="s">
        <v>10433</v>
      </c>
      <c r="L196" s="254" t="s">
        <v>10434</v>
      </c>
      <c r="M196" s="460"/>
      <c r="N196" s="460"/>
      <c r="O196" s="460" t="s">
        <v>10435</v>
      </c>
      <c r="P196" s="254" t="s">
        <v>5461</v>
      </c>
      <c r="Q196" s="254" t="s">
        <v>5432</v>
      </c>
      <c r="R196" s="254" t="s">
        <v>2485</v>
      </c>
      <c r="S196" s="460" t="s">
        <v>5422</v>
      </c>
      <c r="T196" s="460"/>
      <c r="U196" s="460">
        <v>40562</v>
      </c>
      <c r="V196" s="254" t="s">
        <v>10436</v>
      </c>
      <c r="W196" s="254" t="s">
        <v>10437</v>
      </c>
      <c r="X196" s="254" t="s">
        <v>10438</v>
      </c>
      <c r="Y196" s="460" t="s">
        <v>5785</v>
      </c>
      <c r="Z196" s="246" t="s">
        <v>5442</v>
      </c>
      <c r="AA196" s="460" t="s">
        <v>10214</v>
      </c>
      <c r="AB196" s="254" t="s">
        <v>10439</v>
      </c>
      <c r="AC196" s="254" t="s">
        <v>10440</v>
      </c>
      <c r="AD196" s="460" t="s">
        <v>5772</v>
      </c>
      <c r="AE196" s="460" t="s">
        <v>5412</v>
      </c>
      <c r="AF196" s="460" t="s">
        <v>10441</v>
      </c>
      <c r="AG196" s="460"/>
      <c r="AH196" s="460">
        <v>3</v>
      </c>
      <c r="AI196" s="460"/>
    </row>
    <row r="197" spans="1:35" x14ac:dyDescent="0.3">
      <c r="A197" s="242">
        <v>195</v>
      </c>
      <c r="B197" s="255" t="s">
        <v>7784</v>
      </c>
      <c r="C197" s="255" t="s">
        <v>1615</v>
      </c>
      <c r="D197" s="246" t="s">
        <v>8339</v>
      </c>
      <c r="E197" s="242">
        <v>3122124954</v>
      </c>
      <c r="F197" s="254" t="s">
        <v>2377</v>
      </c>
      <c r="G197" s="482">
        <v>41135</v>
      </c>
      <c r="H197" s="351" t="s">
        <v>53</v>
      </c>
      <c r="I197" s="242" t="s">
        <v>5396</v>
      </c>
      <c r="J197" s="254" t="s">
        <v>10442</v>
      </c>
      <c r="K197" s="254" t="s">
        <v>10443</v>
      </c>
      <c r="L197" s="254" t="s">
        <v>10444</v>
      </c>
      <c r="M197" s="460"/>
      <c r="N197" s="460"/>
      <c r="O197" s="460" t="s">
        <v>2845</v>
      </c>
      <c r="P197" s="254" t="s">
        <v>5415</v>
      </c>
      <c r="Q197" s="254" t="s">
        <v>5157</v>
      </c>
      <c r="R197" s="254" t="s">
        <v>3581</v>
      </c>
      <c r="S197" s="460" t="s">
        <v>5422</v>
      </c>
      <c r="T197" s="460"/>
      <c r="U197" s="460">
        <v>40562</v>
      </c>
      <c r="V197" s="254" t="s">
        <v>3397</v>
      </c>
      <c r="W197" s="254" t="s">
        <v>10445</v>
      </c>
      <c r="X197" s="254" t="s">
        <v>10446</v>
      </c>
      <c r="Y197" s="460" t="s">
        <v>5904</v>
      </c>
      <c r="Z197" s="246" t="s">
        <v>5442</v>
      </c>
      <c r="AA197" s="460" t="s">
        <v>10447</v>
      </c>
      <c r="AB197" s="254" t="s">
        <v>10448</v>
      </c>
      <c r="AC197" s="254" t="s">
        <v>10449</v>
      </c>
      <c r="AD197" s="460" t="s">
        <v>5772</v>
      </c>
      <c r="AE197" s="460" t="s">
        <v>5412</v>
      </c>
      <c r="AF197" s="460" t="s">
        <v>2697</v>
      </c>
      <c r="AG197" s="460"/>
      <c r="AH197" s="460">
        <v>2</v>
      </c>
      <c r="AI197" s="460"/>
    </row>
    <row r="198" spans="1:35" x14ac:dyDescent="0.3">
      <c r="A198" s="398">
        <v>196</v>
      </c>
      <c r="B198" s="399" t="s">
        <v>7796</v>
      </c>
      <c r="C198" s="399" t="s">
        <v>1614</v>
      </c>
      <c r="D198" s="463" t="s">
        <v>8306</v>
      </c>
      <c r="E198" s="410" t="s">
        <v>10450</v>
      </c>
      <c r="F198" s="412" t="s">
        <v>2352</v>
      </c>
      <c r="G198" s="480">
        <v>41083</v>
      </c>
      <c r="H198" s="477" t="s">
        <v>52</v>
      </c>
      <c r="I198" s="398" t="s">
        <v>5396</v>
      </c>
      <c r="J198" s="412" t="s">
        <v>10451</v>
      </c>
      <c r="K198" s="412" t="s">
        <v>10452</v>
      </c>
      <c r="L198" s="412" t="s">
        <v>10453</v>
      </c>
      <c r="M198" s="470"/>
      <c r="N198" s="470"/>
      <c r="O198" s="470" t="s">
        <v>10454</v>
      </c>
      <c r="P198" s="412" t="s">
        <v>5415</v>
      </c>
      <c r="Q198" s="412" t="s">
        <v>5520</v>
      </c>
      <c r="R198" s="412" t="s">
        <v>10455</v>
      </c>
      <c r="S198" s="470" t="s">
        <v>5422</v>
      </c>
      <c r="T198" s="470"/>
      <c r="U198" s="470">
        <v>40562</v>
      </c>
      <c r="V198" s="412" t="s">
        <v>10456</v>
      </c>
      <c r="W198" s="412" t="s">
        <v>10457</v>
      </c>
      <c r="X198" s="412" t="s">
        <v>10458</v>
      </c>
      <c r="Y198" s="470" t="s">
        <v>5772</v>
      </c>
      <c r="Z198" s="470" t="s">
        <v>5551</v>
      </c>
      <c r="AA198" s="470" t="s">
        <v>9992</v>
      </c>
      <c r="AB198" s="412" t="s">
        <v>10459</v>
      </c>
      <c r="AC198" s="412" t="s">
        <v>6495</v>
      </c>
      <c r="AD198" s="470" t="s">
        <v>5772</v>
      </c>
      <c r="AE198" s="470" t="s">
        <v>5412</v>
      </c>
      <c r="AF198" s="470" t="s">
        <v>10460</v>
      </c>
      <c r="AG198" s="470" t="s">
        <v>10461</v>
      </c>
      <c r="AH198" s="470">
        <v>2</v>
      </c>
      <c r="AI198" s="470"/>
    </row>
    <row r="199" spans="1:35" x14ac:dyDescent="0.3">
      <c r="A199" s="242">
        <v>197</v>
      </c>
      <c r="B199" s="255" t="s">
        <v>7808</v>
      </c>
      <c r="C199" s="255" t="s">
        <v>13</v>
      </c>
      <c r="D199" s="421" t="s">
        <v>8226</v>
      </c>
      <c r="E199" s="242">
        <v>3135942572</v>
      </c>
      <c r="F199" s="254" t="s">
        <v>2377</v>
      </c>
      <c r="G199" s="482">
        <v>41336</v>
      </c>
      <c r="H199" s="351" t="s">
        <v>52</v>
      </c>
      <c r="I199" s="242" t="s">
        <v>5396</v>
      </c>
      <c r="J199" s="254" t="s">
        <v>10462</v>
      </c>
      <c r="K199" s="254" t="s">
        <v>10463</v>
      </c>
      <c r="L199" s="254" t="s">
        <v>10464</v>
      </c>
      <c r="M199" s="460"/>
      <c r="N199" s="460"/>
      <c r="O199" s="460" t="s">
        <v>10465</v>
      </c>
      <c r="P199" s="254" t="s">
        <v>5415</v>
      </c>
      <c r="Q199" s="254" t="s">
        <v>5432</v>
      </c>
      <c r="R199" s="254" t="s">
        <v>10455</v>
      </c>
      <c r="S199" s="460" t="s">
        <v>5422</v>
      </c>
      <c r="T199" s="460"/>
      <c r="U199" s="460">
        <v>40562</v>
      </c>
      <c r="V199" s="254" t="s">
        <v>10466</v>
      </c>
      <c r="W199" s="254" t="s">
        <v>10467</v>
      </c>
      <c r="X199" s="254" t="s">
        <v>10468</v>
      </c>
      <c r="Y199" s="460" t="s">
        <v>5904</v>
      </c>
      <c r="Z199" s="246" t="s">
        <v>5442</v>
      </c>
      <c r="AA199" s="460" t="s">
        <v>10469</v>
      </c>
      <c r="AB199" s="254" t="s">
        <v>10470</v>
      </c>
      <c r="AC199" s="254" t="s">
        <v>10471</v>
      </c>
      <c r="AD199" s="460" t="s">
        <v>5785</v>
      </c>
      <c r="AE199" s="460" t="s">
        <v>5412</v>
      </c>
      <c r="AF199" s="460" t="s">
        <v>10441</v>
      </c>
      <c r="AG199" s="460"/>
      <c r="AH199" s="460">
        <v>2</v>
      </c>
      <c r="AI199" s="460"/>
    </row>
    <row r="200" spans="1:35" x14ac:dyDescent="0.3">
      <c r="A200" s="242">
        <v>198</v>
      </c>
      <c r="B200" s="255" t="s">
        <v>7819</v>
      </c>
      <c r="C200" s="255" t="s">
        <v>1615</v>
      </c>
      <c r="D200" s="246" t="s">
        <v>8340</v>
      </c>
      <c r="E200" s="242">
        <v>3130975608</v>
      </c>
      <c r="F200" s="460" t="s">
        <v>2352</v>
      </c>
      <c r="G200" s="460"/>
      <c r="H200" s="242" t="s">
        <v>53</v>
      </c>
      <c r="I200" s="460"/>
      <c r="J200" s="460"/>
      <c r="K200" s="460"/>
      <c r="L200" s="460"/>
      <c r="M200" s="460"/>
      <c r="N200" s="460"/>
      <c r="O200" s="460"/>
      <c r="P200" s="460"/>
      <c r="Q200" s="460"/>
      <c r="R200" s="460"/>
      <c r="S200" s="460"/>
      <c r="T200" s="460"/>
      <c r="U200" s="460"/>
      <c r="V200" s="460"/>
      <c r="W200" s="460"/>
      <c r="X200" s="460"/>
      <c r="Y200" s="460"/>
      <c r="Z200" s="460"/>
      <c r="AA200" s="460"/>
      <c r="AB200" s="460"/>
      <c r="AC200" s="460"/>
      <c r="AD200" s="460"/>
      <c r="AE200" s="460"/>
      <c r="AF200" s="460" t="s">
        <v>10472</v>
      </c>
      <c r="AG200" s="460"/>
      <c r="AH200" s="254"/>
      <c r="AI200" s="460"/>
    </row>
    <row r="201" spans="1:35" x14ac:dyDescent="0.3">
      <c r="A201" s="242">
        <v>199</v>
      </c>
      <c r="B201" s="255" t="s">
        <v>7832</v>
      </c>
      <c r="C201" s="255" t="s">
        <v>1615</v>
      </c>
      <c r="D201" s="246" t="s">
        <v>8341</v>
      </c>
      <c r="E201" s="242">
        <v>3129076728</v>
      </c>
      <c r="F201" s="254" t="s">
        <v>2377</v>
      </c>
      <c r="G201" s="482">
        <v>41190</v>
      </c>
      <c r="H201" s="351" t="s">
        <v>53</v>
      </c>
      <c r="I201" s="242" t="s">
        <v>5396</v>
      </c>
      <c r="J201" s="254" t="s">
        <v>10473</v>
      </c>
      <c r="K201" s="254" t="s">
        <v>10474</v>
      </c>
      <c r="L201" s="254" t="s">
        <v>10475</v>
      </c>
      <c r="M201" s="460" t="s">
        <v>10476</v>
      </c>
      <c r="N201" s="460"/>
      <c r="O201" s="460" t="s">
        <v>10477</v>
      </c>
      <c r="P201" s="254" t="s">
        <v>5448</v>
      </c>
      <c r="Q201" s="254" t="s">
        <v>5502</v>
      </c>
      <c r="R201" s="254" t="s">
        <v>2399</v>
      </c>
      <c r="S201" s="460" t="s">
        <v>3961</v>
      </c>
      <c r="T201" s="460"/>
      <c r="U201" s="460">
        <v>40564</v>
      </c>
      <c r="V201" s="254" t="s">
        <v>10478</v>
      </c>
      <c r="W201" s="254" t="s">
        <v>10479</v>
      </c>
      <c r="X201" s="254" t="s">
        <v>10480</v>
      </c>
      <c r="Y201" s="460" t="s">
        <v>5785</v>
      </c>
      <c r="Z201" s="460" t="s">
        <v>5427</v>
      </c>
      <c r="AA201" s="460" t="s">
        <v>10481</v>
      </c>
      <c r="AB201" s="254" t="s">
        <v>10482</v>
      </c>
      <c r="AC201" s="254" t="s">
        <v>9254</v>
      </c>
      <c r="AD201" s="460" t="s">
        <v>5772</v>
      </c>
      <c r="AE201" s="460" t="s">
        <v>5412</v>
      </c>
      <c r="AF201" s="460" t="s">
        <v>10483</v>
      </c>
      <c r="AG201" s="460"/>
      <c r="AH201" s="254">
        <v>1</v>
      </c>
      <c r="AI201" s="460"/>
    </row>
    <row r="202" spans="1:35" x14ac:dyDescent="0.3">
      <c r="A202" s="242">
        <v>200</v>
      </c>
      <c r="B202" s="255" t="s">
        <v>7840</v>
      </c>
      <c r="C202" s="242" t="s">
        <v>1615</v>
      </c>
      <c r="D202" s="460" t="s">
        <v>8342</v>
      </c>
      <c r="E202" s="252" t="s">
        <v>10484</v>
      </c>
      <c r="F202" s="460" t="s">
        <v>2377</v>
      </c>
      <c r="G202" s="482">
        <v>41295</v>
      </c>
      <c r="H202" s="242" t="s">
        <v>53</v>
      </c>
      <c r="I202" s="460" t="s">
        <v>5396</v>
      </c>
      <c r="J202" s="254" t="s">
        <v>10485</v>
      </c>
      <c r="K202" s="254" t="s">
        <v>10486</v>
      </c>
      <c r="L202" s="460" t="s">
        <v>10487</v>
      </c>
      <c r="M202" s="460"/>
      <c r="N202" s="460" t="s">
        <v>10488</v>
      </c>
      <c r="O202" s="460" t="s">
        <v>3147</v>
      </c>
      <c r="P202" s="254" t="s">
        <v>8704</v>
      </c>
      <c r="Q202" s="254" t="s">
        <v>8768</v>
      </c>
      <c r="R202" s="460" t="s">
        <v>3581</v>
      </c>
      <c r="S202" s="460" t="s">
        <v>5422</v>
      </c>
      <c r="T202" s="460"/>
      <c r="U202" s="254" t="s">
        <v>5657</v>
      </c>
      <c r="V202" s="460" t="s">
        <v>10489</v>
      </c>
      <c r="W202" s="254" t="s">
        <v>10490</v>
      </c>
      <c r="X202" s="460" t="s">
        <v>10491</v>
      </c>
      <c r="Y202" s="460" t="s">
        <v>5785</v>
      </c>
      <c r="Z202" s="246" t="s">
        <v>5551</v>
      </c>
      <c r="AA202" s="460" t="s">
        <v>10492</v>
      </c>
      <c r="AB202" s="254" t="s">
        <v>10493</v>
      </c>
      <c r="AC202" s="460" t="s">
        <v>10494</v>
      </c>
      <c r="AD202" s="460" t="s">
        <v>5772</v>
      </c>
      <c r="AE202" s="460" t="s">
        <v>5412</v>
      </c>
      <c r="AF202" s="460" t="s">
        <v>3137</v>
      </c>
      <c r="AG202" s="460"/>
      <c r="AH202" s="254" t="s">
        <v>10495</v>
      </c>
      <c r="AI202" s="254" t="s">
        <v>10496</v>
      </c>
    </row>
    <row r="203" spans="1:35" x14ac:dyDescent="0.3">
      <c r="A203" s="242">
        <v>201</v>
      </c>
      <c r="B203" s="255" t="s">
        <v>7853</v>
      </c>
      <c r="C203" s="242" t="s">
        <v>1615</v>
      </c>
      <c r="D203" s="460" t="s">
        <v>8343</v>
      </c>
      <c r="E203" s="252" t="s">
        <v>10497</v>
      </c>
      <c r="F203" s="460" t="s">
        <v>2377</v>
      </c>
      <c r="G203" s="482">
        <v>41016</v>
      </c>
      <c r="H203" s="242" t="s">
        <v>53</v>
      </c>
      <c r="I203" s="460" t="s">
        <v>5396</v>
      </c>
      <c r="J203" s="254" t="s">
        <v>10498</v>
      </c>
      <c r="K203" s="254" t="s">
        <v>10499</v>
      </c>
      <c r="L203" s="460" t="s">
        <v>10500</v>
      </c>
      <c r="M203" s="460"/>
      <c r="N203" s="460" t="s">
        <v>10501</v>
      </c>
      <c r="O203" s="254" t="s">
        <v>3147</v>
      </c>
      <c r="P203" s="254" t="s">
        <v>8704</v>
      </c>
      <c r="Q203" s="254" t="s">
        <v>8768</v>
      </c>
      <c r="R203" s="460" t="s">
        <v>3581</v>
      </c>
      <c r="S203" s="460" t="s">
        <v>5422</v>
      </c>
      <c r="T203" s="460"/>
      <c r="U203" s="254" t="s">
        <v>5657</v>
      </c>
      <c r="V203" s="460" t="s">
        <v>10502</v>
      </c>
      <c r="W203" s="254" t="s">
        <v>10503</v>
      </c>
      <c r="X203" s="460" t="s">
        <v>10504</v>
      </c>
      <c r="Y203" s="460" t="s">
        <v>5904</v>
      </c>
      <c r="Z203" s="460" t="s">
        <v>5442</v>
      </c>
      <c r="AA203" s="460" t="s">
        <v>5717</v>
      </c>
      <c r="AB203" s="254" t="s">
        <v>10505</v>
      </c>
      <c r="AC203" s="460" t="s">
        <v>10506</v>
      </c>
      <c r="AD203" s="460" t="s">
        <v>5904</v>
      </c>
      <c r="AE203" s="460" t="s">
        <v>5412</v>
      </c>
      <c r="AF203" s="460" t="s">
        <v>3137</v>
      </c>
      <c r="AG203" s="460"/>
      <c r="AH203" s="254" t="s">
        <v>10507</v>
      </c>
      <c r="AI203" s="254"/>
    </row>
    <row r="204" spans="1:35" x14ac:dyDescent="0.3">
      <c r="A204" s="50">
        <v>202</v>
      </c>
      <c r="B204" s="222" t="s">
        <v>7864</v>
      </c>
      <c r="C204" s="50" t="s">
        <v>1614</v>
      </c>
      <c r="D204" s="49" t="s">
        <v>10508</v>
      </c>
      <c r="E204" s="232" t="s">
        <v>10509</v>
      </c>
      <c r="F204" s="49" t="s">
        <v>2377</v>
      </c>
      <c r="G204" s="483">
        <v>41081</v>
      </c>
      <c r="H204" s="50"/>
      <c r="I204" s="49" t="s">
        <v>5396</v>
      </c>
      <c r="J204" s="234" t="s">
        <v>10510</v>
      </c>
      <c r="K204" s="234" t="s">
        <v>10511</v>
      </c>
      <c r="L204" s="49" t="s">
        <v>10512</v>
      </c>
      <c r="M204" s="49"/>
      <c r="N204" s="49" t="s">
        <v>5994</v>
      </c>
      <c r="O204" s="49" t="s">
        <v>10183</v>
      </c>
      <c r="P204" s="234" t="s">
        <v>5156</v>
      </c>
      <c r="Q204" s="234" t="s">
        <v>8704</v>
      </c>
      <c r="R204" s="49" t="s">
        <v>5560</v>
      </c>
      <c r="S204" s="49" t="s">
        <v>3961</v>
      </c>
      <c r="T204" s="49"/>
      <c r="U204" s="234" t="s">
        <v>5547</v>
      </c>
      <c r="V204" s="49" t="s">
        <v>6114</v>
      </c>
      <c r="W204" s="234" t="s">
        <v>10513</v>
      </c>
      <c r="X204" s="49" t="s">
        <v>10514</v>
      </c>
      <c r="Y204" s="49" t="s">
        <v>5904</v>
      </c>
      <c r="Z204" s="49" t="s">
        <v>5442</v>
      </c>
      <c r="AA204" s="49" t="s">
        <v>10515</v>
      </c>
      <c r="AB204" s="234" t="s">
        <v>10516</v>
      </c>
      <c r="AC204" s="49" t="s">
        <v>10517</v>
      </c>
      <c r="AD204" s="49" t="s">
        <v>5772</v>
      </c>
      <c r="AE204" s="49" t="s">
        <v>5412</v>
      </c>
      <c r="AF204" s="49" t="s">
        <v>5988</v>
      </c>
      <c r="AG204" s="234"/>
      <c r="AH204" s="234" t="s">
        <v>10518</v>
      </c>
      <c r="AI204" s="234" t="s">
        <v>10519</v>
      </c>
    </row>
    <row r="205" spans="1:35" x14ac:dyDescent="0.3">
      <c r="A205" s="242">
        <v>203</v>
      </c>
      <c r="B205" s="255" t="s">
        <v>7879</v>
      </c>
      <c r="C205" s="255" t="s">
        <v>1616</v>
      </c>
      <c r="D205" s="246" t="s">
        <v>8368</v>
      </c>
      <c r="E205" s="252" t="s">
        <v>10520</v>
      </c>
      <c r="F205" s="254" t="s">
        <v>2377</v>
      </c>
      <c r="G205" s="482">
        <v>41296</v>
      </c>
      <c r="H205" s="351" t="s">
        <v>53</v>
      </c>
      <c r="I205" s="242" t="s">
        <v>5396</v>
      </c>
      <c r="J205" s="254" t="s">
        <v>10521</v>
      </c>
      <c r="K205" s="254" t="s">
        <v>10522</v>
      </c>
      <c r="L205" s="254" t="s">
        <v>10523</v>
      </c>
      <c r="M205" s="460"/>
      <c r="N205" s="460"/>
      <c r="O205" s="460" t="s">
        <v>6775</v>
      </c>
      <c r="P205" s="254" t="s">
        <v>5432</v>
      </c>
      <c r="Q205" s="254" t="s">
        <v>5514</v>
      </c>
      <c r="R205" s="254" t="s">
        <v>3581</v>
      </c>
      <c r="S205" s="460" t="s">
        <v>5422</v>
      </c>
      <c r="T205" s="460"/>
      <c r="U205" s="460">
        <v>40562</v>
      </c>
      <c r="V205" s="254" t="s">
        <v>10524</v>
      </c>
      <c r="W205" s="460"/>
      <c r="X205" s="254"/>
      <c r="Y205" s="460"/>
      <c r="Z205" s="246"/>
      <c r="AA205" s="460" t="s">
        <v>4059</v>
      </c>
      <c r="AB205" s="254" t="s">
        <v>10525</v>
      </c>
      <c r="AC205" s="254" t="s">
        <v>10526</v>
      </c>
      <c r="AD205" s="460" t="s">
        <v>5904</v>
      </c>
      <c r="AE205" s="460" t="s">
        <v>5412</v>
      </c>
      <c r="AF205" s="460" t="s">
        <v>2697</v>
      </c>
      <c r="AG205" s="460"/>
      <c r="AH205" s="460">
        <v>2</v>
      </c>
      <c r="AI205" s="460"/>
    </row>
    <row r="206" spans="1:35" x14ac:dyDescent="0.3">
      <c r="A206" s="242">
        <v>204</v>
      </c>
      <c r="B206" s="255" t="s">
        <v>7894</v>
      </c>
      <c r="C206" s="255" t="s">
        <v>1613</v>
      </c>
      <c r="D206" s="246" t="s">
        <v>8266</v>
      </c>
      <c r="E206" s="252" t="s">
        <v>10527</v>
      </c>
      <c r="F206" s="254" t="s">
        <v>2377</v>
      </c>
      <c r="G206" s="482">
        <v>41235</v>
      </c>
      <c r="H206" s="351" t="s">
        <v>52</v>
      </c>
      <c r="I206" s="242" t="s">
        <v>5396</v>
      </c>
      <c r="J206" s="254" t="s">
        <v>10528</v>
      </c>
      <c r="K206" s="254" t="s">
        <v>10529</v>
      </c>
      <c r="L206" s="254" t="s">
        <v>10530</v>
      </c>
      <c r="M206" s="460"/>
      <c r="N206" s="460"/>
      <c r="O206" s="460" t="s">
        <v>2986</v>
      </c>
      <c r="P206" s="254" t="s">
        <v>5432</v>
      </c>
      <c r="Q206" s="254" t="s">
        <v>5556</v>
      </c>
      <c r="R206" s="254" t="s">
        <v>3581</v>
      </c>
      <c r="S206" s="460" t="s">
        <v>5422</v>
      </c>
      <c r="T206" s="460"/>
      <c r="U206" s="460">
        <v>40562</v>
      </c>
      <c r="V206" s="254" t="s">
        <v>10531</v>
      </c>
      <c r="W206" s="254" t="s">
        <v>10532</v>
      </c>
      <c r="X206" s="254" t="s">
        <v>10533</v>
      </c>
      <c r="Y206" s="460" t="s">
        <v>5772</v>
      </c>
      <c r="Z206" s="246" t="s">
        <v>5442</v>
      </c>
      <c r="AA206" s="460" t="s">
        <v>10534</v>
      </c>
      <c r="AB206" s="254" t="s">
        <v>10535</v>
      </c>
      <c r="AC206" s="254" t="s">
        <v>10536</v>
      </c>
      <c r="AD206" s="460" t="s">
        <v>5785</v>
      </c>
      <c r="AE206" s="460" t="s">
        <v>5412</v>
      </c>
      <c r="AF206" s="460" t="s">
        <v>2697</v>
      </c>
      <c r="AG206" s="460"/>
      <c r="AH206" s="460">
        <v>1</v>
      </c>
      <c r="AI206" s="460"/>
    </row>
    <row r="207" spans="1:35" x14ac:dyDescent="0.3">
      <c r="A207" s="242">
        <v>205</v>
      </c>
      <c r="B207" s="484" t="s">
        <v>7902</v>
      </c>
      <c r="C207" s="484" t="s">
        <v>1613</v>
      </c>
      <c r="D207" s="485" t="s">
        <v>8267</v>
      </c>
      <c r="E207" s="486" t="s">
        <v>10537</v>
      </c>
      <c r="F207" s="487" t="s">
        <v>2377</v>
      </c>
      <c r="G207" s="488">
        <v>41235</v>
      </c>
      <c r="H207" s="489" t="s">
        <v>52</v>
      </c>
      <c r="I207" s="490" t="s">
        <v>5396</v>
      </c>
      <c r="J207" s="254" t="s">
        <v>10528</v>
      </c>
      <c r="K207" s="487" t="s">
        <v>10538</v>
      </c>
      <c r="L207" s="487" t="s">
        <v>10539</v>
      </c>
      <c r="M207" s="491"/>
      <c r="N207" s="491"/>
      <c r="O207" s="460" t="s">
        <v>2986</v>
      </c>
      <c r="P207" s="254" t="s">
        <v>5432</v>
      </c>
      <c r="Q207" s="254" t="s">
        <v>5556</v>
      </c>
      <c r="R207" s="254" t="s">
        <v>3581</v>
      </c>
      <c r="S207" s="460" t="s">
        <v>5422</v>
      </c>
      <c r="T207" s="460"/>
      <c r="U207" s="460">
        <v>40562</v>
      </c>
      <c r="V207" s="254" t="s">
        <v>10531</v>
      </c>
      <c r="W207" s="254" t="s">
        <v>10532</v>
      </c>
      <c r="X207" s="254" t="s">
        <v>10533</v>
      </c>
      <c r="Y207" s="460" t="s">
        <v>5772</v>
      </c>
      <c r="Z207" s="246" t="s">
        <v>5442</v>
      </c>
      <c r="AA207" s="460" t="s">
        <v>10534</v>
      </c>
      <c r="AB207" s="254" t="s">
        <v>10535</v>
      </c>
      <c r="AC207" s="254" t="s">
        <v>10536</v>
      </c>
      <c r="AD207" s="460" t="s">
        <v>5785</v>
      </c>
      <c r="AE207" s="460" t="s">
        <v>5412</v>
      </c>
      <c r="AF207" s="460" t="s">
        <v>2697</v>
      </c>
      <c r="AG207" s="491"/>
      <c r="AH207" s="491">
        <v>2</v>
      </c>
      <c r="AI207" s="491"/>
    </row>
    <row r="208" spans="1:35" x14ac:dyDescent="0.3">
      <c r="A208" s="242">
        <v>206</v>
      </c>
      <c r="B208" s="255" t="s">
        <v>7916</v>
      </c>
      <c r="C208" s="255" t="s">
        <v>1616</v>
      </c>
      <c r="D208" s="246" t="s">
        <v>8369</v>
      </c>
      <c r="E208" s="252" t="s">
        <v>10540</v>
      </c>
      <c r="F208" s="254" t="s">
        <v>2377</v>
      </c>
      <c r="G208" s="482">
        <v>41262</v>
      </c>
      <c r="H208" s="351" t="s">
        <v>53</v>
      </c>
      <c r="I208" s="242" t="s">
        <v>5396</v>
      </c>
      <c r="J208" s="254" t="s">
        <v>10541</v>
      </c>
      <c r="K208" s="254" t="s">
        <v>9393</v>
      </c>
      <c r="L208" s="254" t="s">
        <v>10542</v>
      </c>
      <c r="M208" s="460"/>
      <c r="N208" s="460"/>
      <c r="O208" s="460" t="s">
        <v>2845</v>
      </c>
      <c r="P208" s="254" t="s">
        <v>5448</v>
      </c>
      <c r="Q208" s="254" t="s">
        <v>5157</v>
      </c>
      <c r="R208" s="254" t="s">
        <v>3581</v>
      </c>
      <c r="S208" s="460" t="s">
        <v>5422</v>
      </c>
      <c r="T208" s="460"/>
      <c r="U208" s="460">
        <v>40562</v>
      </c>
      <c r="V208" s="254" t="s">
        <v>10543</v>
      </c>
      <c r="W208" s="254" t="s">
        <v>10544</v>
      </c>
      <c r="X208" s="254" t="s">
        <v>10545</v>
      </c>
      <c r="Y208" s="460" t="s">
        <v>5785</v>
      </c>
      <c r="Z208" s="460" t="s">
        <v>5442</v>
      </c>
      <c r="AA208" s="460" t="s">
        <v>10546</v>
      </c>
      <c r="AB208" s="254" t="s">
        <v>10547</v>
      </c>
      <c r="AC208" s="254" t="s">
        <v>10548</v>
      </c>
      <c r="AD208" s="460" t="s">
        <v>5772</v>
      </c>
      <c r="AE208" s="460" t="s">
        <v>5412</v>
      </c>
      <c r="AF208" s="460" t="s">
        <v>2697</v>
      </c>
      <c r="AG208" s="460"/>
      <c r="AH208" s="460">
        <v>1</v>
      </c>
      <c r="AI208" s="460"/>
    </row>
    <row r="209" spans="1:35" x14ac:dyDescent="0.3">
      <c r="A209" s="242">
        <v>207</v>
      </c>
      <c r="B209" s="255" t="s">
        <v>10549</v>
      </c>
      <c r="C209" s="242" t="s">
        <v>1615</v>
      </c>
      <c r="D209" s="246" t="s">
        <v>8344</v>
      </c>
      <c r="E209" s="252" t="s">
        <v>10550</v>
      </c>
      <c r="F209" s="460" t="s">
        <v>2377</v>
      </c>
      <c r="G209" s="482">
        <v>41299</v>
      </c>
      <c r="H209" s="242" t="s">
        <v>52</v>
      </c>
      <c r="I209" s="460" t="s">
        <v>5396</v>
      </c>
      <c r="J209" s="254" t="s">
        <v>10551</v>
      </c>
      <c r="K209" s="254" t="s">
        <v>10552</v>
      </c>
      <c r="L209" s="460" t="s">
        <v>10553</v>
      </c>
      <c r="M209" s="460"/>
      <c r="N209" s="460"/>
      <c r="O209" s="460" t="s">
        <v>2986</v>
      </c>
      <c r="P209" s="254" t="s">
        <v>5432</v>
      </c>
      <c r="Q209" s="254" t="s">
        <v>5556</v>
      </c>
      <c r="R209" s="460" t="s">
        <v>3581</v>
      </c>
      <c r="S209" s="460" t="s">
        <v>5422</v>
      </c>
      <c r="T209" s="460"/>
      <c r="U209" s="460">
        <v>40562</v>
      </c>
      <c r="V209" s="460" t="s">
        <v>4192</v>
      </c>
      <c r="W209" s="254" t="s">
        <v>10554</v>
      </c>
      <c r="X209" s="460" t="s">
        <v>10555</v>
      </c>
      <c r="Y209" s="460" t="s">
        <v>5785</v>
      </c>
      <c r="Z209" s="460" t="s">
        <v>5551</v>
      </c>
      <c r="AA209" s="460" t="s">
        <v>10556</v>
      </c>
      <c r="AB209" s="254" t="s">
        <v>10557</v>
      </c>
      <c r="AC209" s="460" t="s">
        <v>7626</v>
      </c>
      <c r="AD209" s="460" t="s">
        <v>5785</v>
      </c>
      <c r="AE209" s="460" t="s">
        <v>5412</v>
      </c>
      <c r="AF209" s="460" t="s">
        <v>2697</v>
      </c>
      <c r="AG209" s="460"/>
      <c r="AH209" s="460">
        <v>3</v>
      </c>
      <c r="AI209" s="254"/>
    </row>
    <row r="210" spans="1:35" x14ac:dyDescent="0.3">
      <c r="A210" s="242">
        <v>208</v>
      </c>
      <c r="B210" s="255" t="s">
        <v>10558</v>
      </c>
      <c r="C210" s="350" t="s">
        <v>1617</v>
      </c>
      <c r="D210" s="241" t="s">
        <v>8424</v>
      </c>
      <c r="E210" s="242">
        <v>3122473910</v>
      </c>
      <c r="F210" s="460" t="s">
        <v>2377</v>
      </c>
      <c r="G210" s="482">
        <v>41190</v>
      </c>
      <c r="H210" s="242" t="s">
        <v>52</v>
      </c>
      <c r="I210" s="460" t="s">
        <v>5396</v>
      </c>
      <c r="J210" s="254" t="s">
        <v>10559</v>
      </c>
      <c r="K210" s="254" t="s">
        <v>10560</v>
      </c>
      <c r="L210" s="460" t="s">
        <v>10561</v>
      </c>
      <c r="M210" s="460"/>
      <c r="N210" s="460"/>
      <c r="O210" s="460" t="s">
        <v>6775</v>
      </c>
      <c r="P210" s="254" t="s">
        <v>5394</v>
      </c>
      <c r="Q210" s="254" t="s">
        <v>5514</v>
      </c>
      <c r="R210" s="460" t="s">
        <v>3581</v>
      </c>
      <c r="S210" s="460" t="s">
        <v>5422</v>
      </c>
      <c r="T210" s="460"/>
      <c r="U210" s="460">
        <v>40562</v>
      </c>
      <c r="V210" s="460" t="s">
        <v>10562</v>
      </c>
      <c r="W210" s="254" t="s">
        <v>10563</v>
      </c>
      <c r="X210" s="460" t="s">
        <v>10564</v>
      </c>
      <c r="Y210" s="460" t="s">
        <v>5772</v>
      </c>
      <c r="Z210" s="460" t="s">
        <v>5442</v>
      </c>
      <c r="AA210" s="460" t="s">
        <v>10565</v>
      </c>
      <c r="AB210" s="254" t="s">
        <v>10566</v>
      </c>
      <c r="AC210" s="460" t="s">
        <v>10567</v>
      </c>
      <c r="AD210" s="460" t="s">
        <v>5785</v>
      </c>
      <c r="AE210" s="460" t="s">
        <v>5412</v>
      </c>
      <c r="AF210" s="460" t="s">
        <v>2697</v>
      </c>
      <c r="AG210" s="460"/>
      <c r="AH210" s="460">
        <v>1</v>
      </c>
      <c r="AI210" s="460"/>
    </row>
    <row r="211" spans="1:35" x14ac:dyDescent="0.3">
      <c r="A211" s="242">
        <v>209</v>
      </c>
      <c r="B211" s="255" t="s">
        <v>10568</v>
      </c>
      <c r="C211" s="242" t="s">
        <v>1615</v>
      </c>
      <c r="D211" s="246" t="s">
        <v>8345</v>
      </c>
      <c r="E211" s="242">
        <v>3125272247</v>
      </c>
      <c r="F211" s="460" t="s">
        <v>2377</v>
      </c>
      <c r="G211" s="482">
        <v>41168</v>
      </c>
      <c r="H211" s="242" t="s">
        <v>52</v>
      </c>
      <c r="I211" s="460" t="s">
        <v>5396</v>
      </c>
      <c r="J211" s="254" t="s">
        <v>10569</v>
      </c>
      <c r="K211" s="254" t="s">
        <v>10570</v>
      </c>
      <c r="L211" s="460" t="s">
        <v>10571</v>
      </c>
      <c r="M211" s="460"/>
      <c r="N211" s="460"/>
      <c r="O211" s="460" t="s">
        <v>2845</v>
      </c>
      <c r="P211" s="254" t="s">
        <v>5415</v>
      </c>
      <c r="Q211" s="254" t="s">
        <v>5157</v>
      </c>
      <c r="R211" s="460" t="s">
        <v>3581</v>
      </c>
      <c r="S211" s="460" t="s">
        <v>5422</v>
      </c>
      <c r="T211" s="460"/>
      <c r="U211" s="460">
        <v>40562</v>
      </c>
      <c r="V211" s="460" t="s">
        <v>10572</v>
      </c>
      <c r="W211" s="254" t="s">
        <v>10573</v>
      </c>
      <c r="X211" s="460" t="s">
        <v>10574</v>
      </c>
      <c r="Y211" s="460" t="s">
        <v>5785</v>
      </c>
      <c r="Z211" s="460" t="s">
        <v>5442</v>
      </c>
      <c r="AA211" s="460" t="s">
        <v>10575</v>
      </c>
      <c r="AB211" s="254" t="s">
        <v>10576</v>
      </c>
      <c r="AC211" s="460" t="s">
        <v>10577</v>
      </c>
      <c r="AD211" s="460" t="s">
        <v>5785</v>
      </c>
      <c r="AE211" s="460" t="s">
        <v>5412</v>
      </c>
      <c r="AF211" s="460" t="s">
        <v>2697</v>
      </c>
      <c r="AG211" s="460"/>
      <c r="AH211" s="460">
        <v>1</v>
      </c>
      <c r="AI211" s="460"/>
    </row>
    <row r="212" spans="1:35" x14ac:dyDescent="0.3">
      <c r="A212" s="242">
        <v>210</v>
      </c>
      <c r="B212" s="255" t="s">
        <v>10578</v>
      </c>
      <c r="C212" s="242" t="s">
        <v>1616</v>
      </c>
      <c r="D212" s="246" t="s">
        <v>8370</v>
      </c>
      <c r="E212" s="242">
        <v>3121046707</v>
      </c>
      <c r="F212" s="460" t="s">
        <v>2377</v>
      </c>
      <c r="G212" s="482">
        <v>41028</v>
      </c>
      <c r="H212" s="242" t="s">
        <v>52</v>
      </c>
      <c r="I212" s="460" t="s">
        <v>5396</v>
      </c>
      <c r="J212" s="254" t="s">
        <v>10579</v>
      </c>
      <c r="K212" s="254" t="s">
        <v>10580</v>
      </c>
      <c r="L212" s="460" t="s">
        <v>10581</v>
      </c>
      <c r="M212" s="460"/>
      <c r="N212" s="460"/>
      <c r="O212" s="460" t="s">
        <v>10582</v>
      </c>
      <c r="P212" s="254" t="s">
        <v>5415</v>
      </c>
      <c r="Q212" s="254" t="s">
        <v>5394</v>
      </c>
      <c r="R212" s="460" t="s">
        <v>10583</v>
      </c>
      <c r="S212" s="460" t="s">
        <v>10584</v>
      </c>
      <c r="T212" s="460"/>
      <c r="U212" s="460">
        <v>45363</v>
      </c>
      <c r="V212" s="460" t="s">
        <v>10585</v>
      </c>
      <c r="W212" s="254" t="s">
        <v>10586</v>
      </c>
      <c r="X212" s="460" t="s">
        <v>10587</v>
      </c>
      <c r="Y212" s="460" t="s">
        <v>5785</v>
      </c>
      <c r="Z212" s="460" t="s">
        <v>5427</v>
      </c>
      <c r="AA212" s="460" t="s">
        <v>3963</v>
      </c>
      <c r="AB212" s="254" t="s">
        <v>10588</v>
      </c>
      <c r="AC212" s="460" t="s">
        <v>10589</v>
      </c>
      <c r="AD212" s="460" t="s">
        <v>5785</v>
      </c>
      <c r="AE212" s="460" t="s">
        <v>5412</v>
      </c>
      <c r="AF212" s="460" t="s">
        <v>2697</v>
      </c>
      <c r="AG212" s="460"/>
      <c r="AH212" s="460">
        <v>2</v>
      </c>
      <c r="AI212" s="460"/>
    </row>
    <row r="213" spans="1:35" x14ac:dyDescent="0.3">
      <c r="A213" s="242">
        <v>211</v>
      </c>
      <c r="B213" s="255" t="s">
        <v>10590</v>
      </c>
      <c r="C213" s="350" t="s">
        <v>1617</v>
      </c>
      <c r="D213" s="241" t="s">
        <v>8425</v>
      </c>
      <c r="E213" s="252" t="s">
        <v>10591</v>
      </c>
      <c r="F213" s="460" t="s">
        <v>2377</v>
      </c>
      <c r="G213" s="482">
        <v>41153</v>
      </c>
      <c r="H213" s="242" t="s">
        <v>52</v>
      </c>
      <c r="I213" s="460" t="s">
        <v>5396</v>
      </c>
      <c r="J213" s="254" t="s">
        <v>10592</v>
      </c>
      <c r="K213" s="254" t="s">
        <v>10593</v>
      </c>
      <c r="L213" s="460" t="s">
        <v>10594</v>
      </c>
      <c r="M213" s="460"/>
      <c r="N213" s="460"/>
      <c r="O213" s="460" t="s">
        <v>3147</v>
      </c>
      <c r="P213" s="254" t="s">
        <v>5394</v>
      </c>
      <c r="Q213" s="254" t="s">
        <v>5461</v>
      </c>
      <c r="R213" s="460" t="s">
        <v>3581</v>
      </c>
      <c r="S213" s="460" t="s">
        <v>5422</v>
      </c>
      <c r="T213" s="460"/>
      <c r="U213" s="460">
        <v>40562</v>
      </c>
      <c r="V213" s="460" t="s">
        <v>10595</v>
      </c>
      <c r="W213" s="254" t="s">
        <v>10596</v>
      </c>
      <c r="X213" s="460" t="s">
        <v>10597</v>
      </c>
      <c r="Y213" s="460" t="s">
        <v>5785</v>
      </c>
      <c r="Z213" s="460" t="s">
        <v>5442</v>
      </c>
      <c r="AA213" s="460" t="s">
        <v>10598</v>
      </c>
      <c r="AB213" s="254" t="s">
        <v>10599</v>
      </c>
      <c r="AC213" s="460" t="s">
        <v>10600</v>
      </c>
      <c r="AD213" s="460" t="s">
        <v>5772</v>
      </c>
      <c r="AE213" s="460" t="s">
        <v>5412</v>
      </c>
      <c r="AF213" s="460" t="s">
        <v>2697</v>
      </c>
      <c r="AG213" s="460"/>
      <c r="AH213" s="460">
        <v>2</v>
      </c>
      <c r="AI213" s="460"/>
    </row>
    <row r="214" spans="1:35" x14ac:dyDescent="0.3">
      <c r="A214" s="242">
        <v>212</v>
      </c>
      <c r="B214" s="255" t="s">
        <v>10601</v>
      </c>
      <c r="C214" s="242" t="s">
        <v>1616</v>
      </c>
      <c r="D214" s="246" t="s">
        <v>8371</v>
      </c>
      <c r="E214" s="242">
        <v>3124207336</v>
      </c>
      <c r="F214" s="460" t="s">
        <v>2377</v>
      </c>
      <c r="G214" s="482">
        <v>41154</v>
      </c>
      <c r="H214" s="242" t="s">
        <v>52</v>
      </c>
      <c r="I214" s="460" t="s">
        <v>5396</v>
      </c>
      <c r="J214" s="254" t="s">
        <v>10602</v>
      </c>
      <c r="K214" s="254" t="s">
        <v>10603</v>
      </c>
      <c r="L214" s="460" t="s">
        <v>10604</v>
      </c>
      <c r="M214" s="460"/>
      <c r="N214" s="460"/>
      <c r="O214" s="460" t="s">
        <v>2986</v>
      </c>
      <c r="P214" s="254" t="s">
        <v>5448</v>
      </c>
      <c r="Q214" s="254" t="s">
        <v>5556</v>
      </c>
      <c r="R214" s="460" t="s">
        <v>3581</v>
      </c>
      <c r="S214" s="460" t="s">
        <v>5422</v>
      </c>
      <c r="T214" s="460"/>
      <c r="U214" s="460">
        <v>40562</v>
      </c>
      <c r="V214" s="460" t="s">
        <v>10605</v>
      </c>
      <c r="W214" s="254" t="s">
        <v>10606</v>
      </c>
      <c r="X214" s="460" t="s">
        <v>10607</v>
      </c>
      <c r="Y214" s="460" t="s">
        <v>5785</v>
      </c>
      <c r="Z214" s="460" t="s">
        <v>5442</v>
      </c>
      <c r="AA214" s="460" t="s">
        <v>10608</v>
      </c>
      <c r="AB214" s="254" t="s">
        <v>10609</v>
      </c>
      <c r="AC214" s="460" t="s">
        <v>10610</v>
      </c>
      <c r="AD214" s="460" t="s">
        <v>5772</v>
      </c>
      <c r="AE214" s="460" t="s">
        <v>5412</v>
      </c>
      <c r="AF214" s="460" t="s">
        <v>2697</v>
      </c>
      <c r="AG214" s="460"/>
      <c r="AH214" s="460">
        <v>2</v>
      </c>
      <c r="AI214" s="460"/>
    </row>
    <row r="215" spans="1:35" x14ac:dyDescent="0.3">
      <c r="A215" s="242">
        <v>213</v>
      </c>
      <c r="B215" s="255" t="s">
        <v>10611</v>
      </c>
      <c r="C215" s="350" t="s">
        <v>1617</v>
      </c>
      <c r="D215" s="241" t="s">
        <v>8426</v>
      </c>
      <c r="E215" s="242">
        <v>3124877564</v>
      </c>
      <c r="F215" s="460" t="s">
        <v>2352</v>
      </c>
      <c r="G215" s="482">
        <v>41139</v>
      </c>
      <c r="H215" s="242" t="s">
        <v>52</v>
      </c>
      <c r="I215" s="460" t="s">
        <v>5396</v>
      </c>
      <c r="J215" s="254" t="s">
        <v>10612</v>
      </c>
      <c r="K215" s="254" t="s">
        <v>10613</v>
      </c>
      <c r="L215" s="460" t="s">
        <v>10614</v>
      </c>
      <c r="M215" s="460"/>
      <c r="N215" s="460"/>
      <c r="O215" s="460" t="s">
        <v>6211</v>
      </c>
      <c r="P215" s="254" t="s">
        <v>5394</v>
      </c>
      <c r="Q215" s="254" t="s">
        <v>5401</v>
      </c>
      <c r="R215" s="460" t="s">
        <v>3581</v>
      </c>
      <c r="S215" s="460" t="s">
        <v>5422</v>
      </c>
      <c r="T215" s="460"/>
      <c r="U215" s="460">
        <v>40562</v>
      </c>
      <c r="V215" s="460" t="s">
        <v>10615</v>
      </c>
      <c r="W215" s="254" t="s">
        <v>10616</v>
      </c>
      <c r="X215" s="460" t="s">
        <v>10617</v>
      </c>
      <c r="Y215" s="460" t="s">
        <v>5785</v>
      </c>
      <c r="Z215" s="460" t="s">
        <v>5427</v>
      </c>
      <c r="AA215" s="460" t="s">
        <v>10618</v>
      </c>
      <c r="AB215" s="254" t="s">
        <v>10619</v>
      </c>
      <c r="AC215" s="460" t="s">
        <v>10620</v>
      </c>
      <c r="AD215" s="460" t="s">
        <v>5785</v>
      </c>
      <c r="AE215" s="460" t="s">
        <v>5412</v>
      </c>
      <c r="AF215" s="460" t="s">
        <v>2697</v>
      </c>
      <c r="AG215" s="460"/>
      <c r="AH215" s="460">
        <v>2</v>
      </c>
      <c r="AI215" s="460"/>
    </row>
    <row r="216" spans="1:35" x14ac:dyDescent="0.3">
      <c r="A216" s="242">
        <v>214</v>
      </c>
      <c r="B216" s="255" t="s">
        <v>10621</v>
      </c>
      <c r="C216" s="350" t="s">
        <v>1617</v>
      </c>
      <c r="D216" s="241" t="s">
        <v>8427</v>
      </c>
      <c r="E216" s="242">
        <v>3129763504</v>
      </c>
      <c r="F216" s="460" t="s">
        <v>2377</v>
      </c>
      <c r="G216" s="482">
        <v>41114</v>
      </c>
      <c r="H216" s="242" t="s">
        <v>52</v>
      </c>
      <c r="I216" s="460" t="s">
        <v>5396</v>
      </c>
      <c r="J216" s="254" t="s">
        <v>10622</v>
      </c>
      <c r="K216" s="254" t="s">
        <v>10623</v>
      </c>
      <c r="L216" s="460" t="s">
        <v>10624</v>
      </c>
      <c r="M216" s="460"/>
      <c r="N216" s="460"/>
      <c r="O216" s="460" t="s">
        <v>10625</v>
      </c>
      <c r="P216" s="254" t="s">
        <v>5432</v>
      </c>
      <c r="Q216" s="254" t="s">
        <v>5461</v>
      </c>
      <c r="R216" s="460" t="s">
        <v>3581</v>
      </c>
      <c r="S216" s="460" t="s">
        <v>5422</v>
      </c>
      <c r="T216" s="460"/>
      <c r="U216" s="460">
        <v>40562</v>
      </c>
      <c r="V216" s="460" t="s">
        <v>10626</v>
      </c>
      <c r="W216" s="254" t="s">
        <v>10627</v>
      </c>
      <c r="X216" s="460" t="s">
        <v>10628</v>
      </c>
      <c r="Y216" s="460" t="s">
        <v>5772</v>
      </c>
      <c r="Z216" s="460" t="s">
        <v>5442</v>
      </c>
      <c r="AA216" s="460" t="s">
        <v>10629</v>
      </c>
      <c r="AB216" s="254" t="s">
        <v>10630</v>
      </c>
      <c r="AC216" s="460" t="s">
        <v>10002</v>
      </c>
      <c r="AD216" s="460" t="s">
        <v>5772</v>
      </c>
      <c r="AE216" s="460" t="s">
        <v>5412</v>
      </c>
      <c r="AF216" s="460" t="s">
        <v>2697</v>
      </c>
      <c r="AG216" s="460"/>
      <c r="AH216" s="460">
        <v>1</v>
      </c>
      <c r="AI216" s="460"/>
    </row>
    <row r="217" spans="1:35" x14ac:dyDescent="0.3">
      <c r="A217" s="242">
        <v>215</v>
      </c>
      <c r="B217" s="255" t="s">
        <v>10631</v>
      </c>
      <c r="C217" s="242" t="s">
        <v>1616</v>
      </c>
      <c r="D217" s="246" t="s">
        <v>8372</v>
      </c>
      <c r="E217" s="242">
        <v>3124002547</v>
      </c>
      <c r="F217" s="460" t="s">
        <v>2377</v>
      </c>
      <c r="G217" s="482">
        <v>41233</v>
      </c>
      <c r="H217" s="242" t="s">
        <v>53</v>
      </c>
      <c r="I217" s="460" t="s">
        <v>5396</v>
      </c>
      <c r="J217" s="254" t="s">
        <v>10632</v>
      </c>
      <c r="K217" s="254" t="s">
        <v>10633</v>
      </c>
      <c r="L217" s="460" t="s">
        <v>10634</v>
      </c>
      <c r="M217" s="460"/>
      <c r="N217" s="460"/>
      <c r="O217" s="460" t="s">
        <v>7233</v>
      </c>
      <c r="P217" s="254" t="s">
        <v>5448</v>
      </c>
      <c r="Q217" s="254" t="s">
        <v>5584</v>
      </c>
      <c r="R217" s="460" t="s">
        <v>3581</v>
      </c>
      <c r="S217" s="460" t="s">
        <v>5422</v>
      </c>
      <c r="T217" s="460"/>
      <c r="U217" s="460">
        <v>40562</v>
      </c>
      <c r="V217" s="460" t="s">
        <v>10635</v>
      </c>
      <c r="W217" s="460"/>
      <c r="X217" s="460"/>
      <c r="Y217" s="460"/>
      <c r="Z217" s="460"/>
      <c r="AA217" s="460" t="s">
        <v>10636</v>
      </c>
      <c r="AB217" s="254" t="s">
        <v>10637</v>
      </c>
      <c r="AC217" s="460" t="s">
        <v>10638</v>
      </c>
      <c r="AD217" s="460" t="s">
        <v>5785</v>
      </c>
      <c r="AE217" s="460" t="s">
        <v>5412</v>
      </c>
      <c r="AF217" s="460" t="s">
        <v>2697</v>
      </c>
      <c r="AG217" s="460"/>
      <c r="AH217" s="460">
        <v>3</v>
      </c>
      <c r="AI217" s="460"/>
    </row>
    <row r="218" spans="1:35" x14ac:dyDescent="0.3">
      <c r="A218" s="242">
        <v>216</v>
      </c>
      <c r="B218" s="255" t="s">
        <v>10639</v>
      </c>
      <c r="C218" s="242" t="s">
        <v>1616</v>
      </c>
      <c r="D218" s="246" t="s">
        <v>8373</v>
      </c>
      <c r="E218" s="242">
        <v>3131635548</v>
      </c>
      <c r="F218" s="460" t="s">
        <v>2377</v>
      </c>
      <c r="G218" s="482">
        <v>41281</v>
      </c>
      <c r="H218" s="242" t="s">
        <v>53</v>
      </c>
      <c r="I218" s="460" t="s">
        <v>5396</v>
      </c>
      <c r="J218" s="254" t="s">
        <v>10640</v>
      </c>
      <c r="K218" s="254" t="s">
        <v>10641</v>
      </c>
      <c r="L218" s="460" t="s">
        <v>10642</v>
      </c>
      <c r="M218" s="460"/>
      <c r="N218" s="460"/>
      <c r="O218" s="460" t="s">
        <v>10643</v>
      </c>
      <c r="P218" s="254" t="s">
        <v>5432</v>
      </c>
      <c r="Q218" s="254" t="s">
        <v>5401</v>
      </c>
      <c r="R218" s="460" t="s">
        <v>3581</v>
      </c>
      <c r="S218" s="460" t="s">
        <v>5422</v>
      </c>
      <c r="T218" s="460"/>
      <c r="U218" s="460">
        <v>40562</v>
      </c>
      <c r="V218" s="460" t="s">
        <v>10644</v>
      </c>
      <c r="W218" s="254" t="s">
        <v>10645</v>
      </c>
      <c r="X218" s="460" t="s">
        <v>10646</v>
      </c>
      <c r="Y218" s="460" t="s">
        <v>5772</v>
      </c>
      <c r="Z218" s="460" t="s">
        <v>5442</v>
      </c>
      <c r="AA218" s="460" t="s">
        <v>10647</v>
      </c>
      <c r="AB218" s="254" t="s">
        <v>10648</v>
      </c>
      <c r="AC218" s="460" t="s">
        <v>10649</v>
      </c>
      <c r="AD218" s="460" t="s">
        <v>5785</v>
      </c>
      <c r="AE218" s="460" t="s">
        <v>5412</v>
      </c>
      <c r="AF218" s="460" t="s">
        <v>2697</v>
      </c>
      <c r="AG218" s="460"/>
      <c r="AH218" s="460">
        <v>1</v>
      </c>
      <c r="AI218" s="460"/>
    </row>
    <row r="219" spans="1:35" x14ac:dyDescent="0.3">
      <c r="A219" s="242">
        <v>217</v>
      </c>
      <c r="B219" s="255" t="s">
        <v>10650</v>
      </c>
      <c r="C219" s="242" t="s">
        <v>1616</v>
      </c>
      <c r="D219" s="246" t="s">
        <v>8374</v>
      </c>
      <c r="E219" s="242">
        <v>3137101277</v>
      </c>
      <c r="F219" s="460" t="s">
        <v>2377</v>
      </c>
      <c r="G219" s="482">
        <v>41317</v>
      </c>
      <c r="H219" s="242" t="s">
        <v>53</v>
      </c>
      <c r="I219" s="460" t="s">
        <v>5396</v>
      </c>
      <c r="J219" s="460"/>
      <c r="K219" s="460"/>
      <c r="L219" s="460"/>
      <c r="M219" s="460" t="s">
        <v>10651</v>
      </c>
      <c r="N219" s="460"/>
      <c r="O219" s="460" t="s">
        <v>6365</v>
      </c>
      <c r="P219" s="254" t="s">
        <v>5448</v>
      </c>
      <c r="Q219" s="254" t="s">
        <v>5502</v>
      </c>
      <c r="R219" s="460" t="s">
        <v>3581</v>
      </c>
      <c r="S219" s="460" t="s">
        <v>5422</v>
      </c>
      <c r="T219" s="460"/>
      <c r="U219" s="460"/>
      <c r="V219" s="460"/>
      <c r="W219" s="460"/>
      <c r="X219" s="460"/>
      <c r="Y219" s="460"/>
      <c r="Z219" s="460"/>
      <c r="AA219" s="460"/>
      <c r="AB219" s="460"/>
      <c r="AC219" s="460"/>
      <c r="AD219" s="460"/>
      <c r="AE219" s="460"/>
      <c r="AF219" s="460" t="s">
        <v>10652</v>
      </c>
      <c r="AG219" s="460"/>
      <c r="AH219" s="460"/>
      <c r="AI219" s="460"/>
    </row>
    <row r="220" spans="1:35" x14ac:dyDescent="0.3">
      <c r="A220" s="242">
        <v>218</v>
      </c>
      <c r="B220" s="255" t="s">
        <v>10653</v>
      </c>
      <c r="C220" s="350" t="s">
        <v>1617</v>
      </c>
      <c r="D220" s="68" t="s">
        <v>8428</v>
      </c>
      <c r="E220" s="252" t="s">
        <v>10654</v>
      </c>
      <c r="F220" s="460" t="s">
        <v>5586</v>
      </c>
      <c r="G220" s="460" t="s">
        <v>10655</v>
      </c>
      <c r="H220" s="242" t="s">
        <v>52</v>
      </c>
      <c r="I220" s="460" t="s">
        <v>5569</v>
      </c>
      <c r="J220" s="254" t="s">
        <v>10656</v>
      </c>
      <c r="K220" s="254" t="s">
        <v>10657</v>
      </c>
      <c r="L220" s="460" t="s">
        <v>10658</v>
      </c>
      <c r="M220" s="460" t="s">
        <v>10659</v>
      </c>
      <c r="N220" s="460"/>
      <c r="O220" s="460" t="s">
        <v>6211</v>
      </c>
      <c r="P220" s="254" t="s">
        <v>5156</v>
      </c>
      <c r="Q220" s="254" t="s">
        <v>5577</v>
      </c>
      <c r="R220" s="460" t="s">
        <v>10660</v>
      </c>
      <c r="S220" s="460" t="s">
        <v>10661</v>
      </c>
      <c r="T220" s="460"/>
      <c r="U220" s="254" t="s">
        <v>5657</v>
      </c>
      <c r="V220" s="460" t="s">
        <v>10662</v>
      </c>
      <c r="W220" s="254" t="s">
        <v>10663</v>
      </c>
      <c r="X220" s="460" t="s">
        <v>10664</v>
      </c>
      <c r="Y220" s="460" t="s">
        <v>10665</v>
      </c>
      <c r="Z220" s="460" t="s">
        <v>10666</v>
      </c>
      <c r="AA220" s="460" t="s">
        <v>10667</v>
      </c>
      <c r="AB220" s="254" t="s">
        <v>10668</v>
      </c>
      <c r="AC220" s="460" t="s">
        <v>10669</v>
      </c>
      <c r="AD220" s="460" t="s">
        <v>10665</v>
      </c>
      <c r="AE220" s="460" t="s">
        <v>5412</v>
      </c>
      <c r="AF220" s="460" t="s">
        <v>10652</v>
      </c>
      <c r="AG220" s="460"/>
      <c r="AH220" s="460">
        <v>1</v>
      </c>
      <c r="AI220" s="254" t="s">
        <v>10670</v>
      </c>
    </row>
    <row r="221" spans="1:35" x14ac:dyDescent="0.3">
      <c r="A221" s="242">
        <v>219</v>
      </c>
      <c r="B221" s="492" t="s">
        <v>10671</v>
      </c>
      <c r="C221" s="242" t="s">
        <v>1616</v>
      </c>
      <c r="D221" s="460" t="s">
        <v>8375</v>
      </c>
      <c r="E221" s="252" t="s">
        <v>10672</v>
      </c>
      <c r="F221" s="460" t="s">
        <v>8743</v>
      </c>
      <c r="G221" s="482">
        <v>41446</v>
      </c>
      <c r="H221" s="242" t="s">
        <v>53</v>
      </c>
      <c r="I221" s="460" t="s">
        <v>5569</v>
      </c>
      <c r="J221" s="254" t="s">
        <v>10673</v>
      </c>
      <c r="K221" s="254" t="s">
        <v>10674</v>
      </c>
      <c r="L221" s="460" t="s">
        <v>10675</v>
      </c>
      <c r="M221" s="460" t="s">
        <v>10676</v>
      </c>
      <c r="N221" s="460" t="s">
        <v>10677</v>
      </c>
      <c r="O221" s="460" t="s">
        <v>10678</v>
      </c>
      <c r="P221" s="254" t="s">
        <v>5156</v>
      </c>
      <c r="Q221" s="254" t="s">
        <v>10679</v>
      </c>
      <c r="R221" s="460" t="s">
        <v>3581</v>
      </c>
      <c r="S221" s="460" t="s">
        <v>5422</v>
      </c>
      <c r="T221" s="460"/>
      <c r="U221" s="254" t="s">
        <v>5657</v>
      </c>
      <c r="V221" s="460" t="s">
        <v>10680</v>
      </c>
      <c r="W221" s="254" t="s">
        <v>10681</v>
      </c>
      <c r="X221" s="460" t="s">
        <v>10682</v>
      </c>
      <c r="Y221" s="460" t="s">
        <v>5904</v>
      </c>
      <c r="Z221" s="460" t="s">
        <v>10683</v>
      </c>
      <c r="AA221" s="460" t="s">
        <v>3253</v>
      </c>
      <c r="AB221" s="254" t="s">
        <v>10684</v>
      </c>
      <c r="AC221" s="460" t="s">
        <v>10685</v>
      </c>
      <c r="AD221" s="460" t="s">
        <v>5772</v>
      </c>
      <c r="AE221" s="460" t="s">
        <v>5412</v>
      </c>
      <c r="AF221" s="460" t="s">
        <v>10652</v>
      </c>
      <c r="AG221" s="460"/>
      <c r="AH221" s="254" t="s">
        <v>10495</v>
      </c>
      <c r="AI221" s="254" t="s">
        <v>10686</v>
      </c>
    </row>
    <row r="222" spans="1:35" x14ac:dyDescent="0.3">
      <c r="A222" s="242">
        <v>220</v>
      </c>
      <c r="B222" s="492" t="s">
        <v>10687</v>
      </c>
      <c r="C222" s="242" t="s">
        <v>1616</v>
      </c>
      <c r="D222" s="460" t="s">
        <v>8376</v>
      </c>
      <c r="E222" s="252" t="s">
        <v>10688</v>
      </c>
      <c r="F222" s="460" t="s">
        <v>2377</v>
      </c>
      <c r="G222" s="482">
        <v>41376</v>
      </c>
      <c r="H222" s="242" t="s">
        <v>52</v>
      </c>
      <c r="I222" s="460" t="s">
        <v>5569</v>
      </c>
      <c r="J222" s="254" t="s">
        <v>10689</v>
      </c>
      <c r="K222" s="254" t="s">
        <v>10690</v>
      </c>
      <c r="L222" s="460" t="s">
        <v>10691</v>
      </c>
      <c r="M222" s="460" t="s">
        <v>10692</v>
      </c>
      <c r="N222" s="460"/>
      <c r="O222" s="460" t="s">
        <v>6365</v>
      </c>
      <c r="P222" s="254" t="s">
        <v>5156</v>
      </c>
      <c r="Q222" s="254" t="s">
        <v>10679</v>
      </c>
      <c r="R222" s="460" t="s">
        <v>10660</v>
      </c>
      <c r="S222" s="460" t="s">
        <v>10661</v>
      </c>
      <c r="T222" s="460"/>
      <c r="U222" s="254" t="s">
        <v>5657</v>
      </c>
      <c r="V222" s="460" t="s">
        <v>10693</v>
      </c>
      <c r="W222" s="254" t="s">
        <v>10694</v>
      </c>
      <c r="X222" s="460" t="s">
        <v>10695</v>
      </c>
      <c r="Y222" s="460" t="s">
        <v>10696</v>
      </c>
      <c r="Z222" s="460" t="s">
        <v>10697</v>
      </c>
      <c r="AA222" s="460" t="s">
        <v>10698</v>
      </c>
      <c r="AB222" s="254" t="s">
        <v>10694</v>
      </c>
      <c r="AC222" s="460" t="s">
        <v>10699</v>
      </c>
      <c r="AD222" s="460" t="s">
        <v>5772</v>
      </c>
      <c r="AE222" s="460" t="s">
        <v>5412</v>
      </c>
      <c r="AF222" s="460" t="s">
        <v>10652</v>
      </c>
      <c r="AG222" s="254" t="s">
        <v>10700</v>
      </c>
      <c r="AH222" s="254" t="s">
        <v>10701</v>
      </c>
      <c r="AI222" s="254" t="s">
        <v>10702</v>
      </c>
    </row>
    <row r="223" spans="1:35" x14ac:dyDescent="0.3">
      <c r="A223" s="242">
        <v>221</v>
      </c>
      <c r="B223" s="255" t="s">
        <v>10703</v>
      </c>
      <c r="C223" s="242" t="s">
        <v>1616</v>
      </c>
      <c r="D223" s="460" t="s">
        <v>8377</v>
      </c>
      <c r="E223" s="252" t="s">
        <v>10704</v>
      </c>
      <c r="F223" s="460" t="s">
        <v>2377</v>
      </c>
      <c r="G223" s="482">
        <v>41507</v>
      </c>
      <c r="H223" s="242" t="s">
        <v>52</v>
      </c>
      <c r="I223" s="460" t="s">
        <v>5569</v>
      </c>
      <c r="J223" s="254" t="s">
        <v>10705</v>
      </c>
      <c r="K223" s="254" t="s">
        <v>10706</v>
      </c>
      <c r="L223" s="460" t="s">
        <v>10707</v>
      </c>
      <c r="M223" s="460" t="s">
        <v>10708</v>
      </c>
      <c r="N223" s="460"/>
      <c r="O223" s="460" t="s">
        <v>6211</v>
      </c>
      <c r="P223" s="254" t="s">
        <v>5156</v>
      </c>
      <c r="Q223" s="254" t="s">
        <v>5577</v>
      </c>
      <c r="R223" s="460" t="s">
        <v>10660</v>
      </c>
      <c r="S223" s="460" t="s">
        <v>10661</v>
      </c>
      <c r="T223" s="460"/>
      <c r="U223" s="254" t="s">
        <v>5657</v>
      </c>
      <c r="V223" s="460" t="s">
        <v>10709</v>
      </c>
      <c r="W223" s="254" t="s">
        <v>10710</v>
      </c>
      <c r="X223" s="460" t="s">
        <v>10711</v>
      </c>
      <c r="Y223" s="460" t="s">
        <v>10696</v>
      </c>
      <c r="Z223" s="460" t="s">
        <v>10697</v>
      </c>
      <c r="AA223" s="460" t="s">
        <v>10712</v>
      </c>
      <c r="AB223" s="254" t="s">
        <v>10713</v>
      </c>
      <c r="AC223" s="460" t="s">
        <v>10714</v>
      </c>
      <c r="AD223" s="460" t="s">
        <v>10715</v>
      </c>
      <c r="AE223" s="460" t="s">
        <v>5412</v>
      </c>
      <c r="AF223" s="460" t="s">
        <v>10652</v>
      </c>
      <c r="AG223" s="460"/>
      <c r="AH223" s="460" t="s">
        <v>12</v>
      </c>
      <c r="AI223" s="254"/>
    </row>
    <row r="224" spans="1:35" x14ac:dyDescent="0.3">
      <c r="A224" s="242">
        <v>222</v>
      </c>
      <c r="B224" s="492" t="s">
        <v>10716</v>
      </c>
      <c r="C224" s="242" t="s">
        <v>1616</v>
      </c>
      <c r="D224" s="460" t="s">
        <v>8378</v>
      </c>
      <c r="E224" s="252" t="s">
        <v>10717</v>
      </c>
      <c r="F224" s="460" t="s">
        <v>2377</v>
      </c>
      <c r="G224" s="482">
        <v>41392</v>
      </c>
      <c r="H224" s="242" t="s">
        <v>53</v>
      </c>
      <c r="I224" s="460" t="s">
        <v>5569</v>
      </c>
      <c r="J224" s="254" t="s">
        <v>10718</v>
      </c>
      <c r="K224" s="254" t="s">
        <v>10719</v>
      </c>
      <c r="L224" s="460" t="s">
        <v>10720</v>
      </c>
      <c r="M224" s="460" t="s">
        <v>10721</v>
      </c>
      <c r="N224" s="460" t="s">
        <v>10722</v>
      </c>
      <c r="O224" s="460" t="s">
        <v>6211</v>
      </c>
      <c r="P224" s="254" t="s">
        <v>5156</v>
      </c>
      <c r="Q224" s="254" t="s">
        <v>5577</v>
      </c>
      <c r="R224" s="460" t="s">
        <v>3581</v>
      </c>
      <c r="S224" s="460" t="s">
        <v>10661</v>
      </c>
      <c r="T224" s="460"/>
      <c r="U224" s="254" t="s">
        <v>5657</v>
      </c>
      <c r="V224" s="460" t="s">
        <v>10723</v>
      </c>
      <c r="W224" s="254" t="s">
        <v>10724</v>
      </c>
      <c r="X224" s="460" t="s">
        <v>10725</v>
      </c>
      <c r="Y224" s="460" t="s">
        <v>5785</v>
      </c>
      <c r="Z224" s="460" t="s">
        <v>10697</v>
      </c>
      <c r="AA224" s="460" t="s">
        <v>10726</v>
      </c>
      <c r="AB224" s="254" t="s">
        <v>10727</v>
      </c>
      <c r="AC224" s="460" t="s">
        <v>10728</v>
      </c>
      <c r="AD224" s="460" t="s">
        <v>5785</v>
      </c>
      <c r="AE224" s="460" t="s">
        <v>5412</v>
      </c>
      <c r="AF224" s="460" t="s">
        <v>10652</v>
      </c>
      <c r="AG224" s="460"/>
      <c r="AH224" s="254" t="s">
        <v>10729</v>
      </c>
      <c r="AI224" s="254" t="s">
        <v>10730</v>
      </c>
    </row>
    <row r="225" spans="1:35" x14ac:dyDescent="0.3">
      <c r="A225" s="242">
        <v>223</v>
      </c>
      <c r="B225" s="492" t="s">
        <v>10731</v>
      </c>
      <c r="C225" s="242" t="s">
        <v>1617</v>
      </c>
      <c r="D225" s="460" t="s">
        <v>8429</v>
      </c>
      <c r="E225" s="252" t="s">
        <v>10732</v>
      </c>
      <c r="F225" s="460" t="s">
        <v>2352</v>
      </c>
      <c r="G225" s="482">
        <v>41532</v>
      </c>
      <c r="H225" s="242" t="s">
        <v>52</v>
      </c>
      <c r="I225" s="460" t="s">
        <v>5569</v>
      </c>
      <c r="J225" s="254" t="s">
        <v>10733</v>
      </c>
      <c r="K225" s="254" t="s">
        <v>10734</v>
      </c>
      <c r="L225" s="460" t="s">
        <v>10735</v>
      </c>
      <c r="M225" s="460" t="s">
        <v>10736</v>
      </c>
      <c r="N225" s="460"/>
      <c r="O225" s="460" t="s">
        <v>6365</v>
      </c>
      <c r="P225" s="254" t="s">
        <v>8779</v>
      </c>
      <c r="Q225" s="254" t="s">
        <v>5577</v>
      </c>
      <c r="R225" s="460" t="s">
        <v>3581</v>
      </c>
      <c r="S225" s="460" t="s">
        <v>5422</v>
      </c>
      <c r="T225" s="460"/>
      <c r="U225" s="254" t="s">
        <v>10737</v>
      </c>
      <c r="V225" s="460" t="s">
        <v>10738</v>
      </c>
      <c r="W225" s="254" t="s">
        <v>10739</v>
      </c>
      <c r="X225" s="460" t="s">
        <v>10740</v>
      </c>
      <c r="Y225" s="460" t="s">
        <v>5772</v>
      </c>
      <c r="Z225" s="460" t="s">
        <v>10697</v>
      </c>
      <c r="AA225" s="460" t="s">
        <v>10741</v>
      </c>
      <c r="AB225" s="254" t="s">
        <v>10742</v>
      </c>
      <c r="AC225" s="460" t="s">
        <v>10743</v>
      </c>
      <c r="AD225" s="460" t="s">
        <v>5772</v>
      </c>
      <c r="AE225" s="460" t="s">
        <v>5412</v>
      </c>
      <c r="AF225" s="460" t="s">
        <v>10652</v>
      </c>
      <c r="AG225" s="460"/>
      <c r="AH225" s="254" t="s">
        <v>10729</v>
      </c>
      <c r="AI225" s="254" t="s">
        <v>10744</v>
      </c>
    </row>
    <row r="226" spans="1:35" x14ac:dyDescent="0.3">
      <c r="A226" s="242">
        <v>224</v>
      </c>
      <c r="B226" s="255" t="s">
        <v>10745</v>
      </c>
      <c r="C226" s="242" t="s">
        <v>1616</v>
      </c>
      <c r="D226" s="460" t="s">
        <v>8379</v>
      </c>
      <c r="E226" s="252" t="s">
        <v>10746</v>
      </c>
      <c r="F226" s="460" t="s">
        <v>2352</v>
      </c>
      <c r="G226" s="482">
        <v>41458</v>
      </c>
      <c r="H226" s="242" t="s">
        <v>53</v>
      </c>
      <c r="I226" s="460" t="s">
        <v>5569</v>
      </c>
      <c r="J226" s="254" t="s">
        <v>7317</v>
      </c>
      <c r="K226" s="254" t="s">
        <v>10747</v>
      </c>
      <c r="L226" s="460" t="s">
        <v>10748</v>
      </c>
      <c r="M226" s="460"/>
      <c r="N226" s="460" t="s">
        <v>10749</v>
      </c>
      <c r="O226" s="460" t="s">
        <v>7233</v>
      </c>
      <c r="P226" s="254" t="s">
        <v>8779</v>
      </c>
      <c r="Q226" s="254" t="s">
        <v>10679</v>
      </c>
      <c r="R226" s="460" t="s">
        <v>10660</v>
      </c>
      <c r="S226" s="460" t="s">
        <v>5422</v>
      </c>
      <c r="T226" s="460"/>
      <c r="U226" s="254" t="s">
        <v>5657</v>
      </c>
      <c r="V226" s="460" t="s">
        <v>7322</v>
      </c>
      <c r="W226" s="254" t="s">
        <v>7323</v>
      </c>
      <c r="X226" s="460" t="s">
        <v>10750</v>
      </c>
      <c r="Y226" s="460" t="s">
        <v>10751</v>
      </c>
      <c r="Z226" s="460" t="s">
        <v>10697</v>
      </c>
      <c r="AA226" s="460" t="s">
        <v>7325</v>
      </c>
      <c r="AB226" s="254" t="s">
        <v>7326</v>
      </c>
      <c r="AC226" s="460" t="s">
        <v>10752</v>
      </c>
      <c r="AD226" s="460" t="s">
        <v>10715</v>
      </c>
      <c r="AE226" s="460" t="s">
        <v>5412</v>
      </c>
      <c r="AF226" s="460" t="s">
        <v>10652</v>
      </c>
      <c r="AG226" s="254" t="s">
        <v>10753</v>
      </c>
      <c r="AH226" s="254" t="s">
        <v>10701</v>
      </c>
      <c r="AI226" s="254" t="s">
        <v>10754</v>
      </c>
    </row>
    <row r="227" spans="1:35" x14ac:dyDescent="0.3">
      <c r="A227" s="242">
        <v>225</v>
      </c>
      <c r="B227" s="492" t="s">
        <v>10755</v>
      </c>
      <c r="C227" s="350" t="s">
        <v>1614</v>
      </c>
      <c r="D227" s="493" t="s">
        <v>8307</v>
      </c>
      <c r="E227" s="252" t="s">
        <v>10756</v>
      </c>
      <c r="F227" s="460" t="s">
        <v>2352</v>
      </c>
      <c r="G227" s="482">
        <v>41082</v>
      </c>
      <c r="H227" s="242" t="s">
        <v>52</v>
      </c>
      <c r="I227" s="460" t="s">
        <v>5569</v>
      </c>
      <c r="J227" s="254" t="s">
        <v>10757</v>
      </c>
      <c r="K227" s="254" t="s">
        <v>10758</v>
      </c>
      <c r="L227" s="460" t="s">
        <v>10759</v>
      </c>
      <c r="M227" s="460" t="s">
        <v>10760</v>
      </c>
      <c r="N227" s="460" t="s">
        <v>10761</v>
      </c>
      <c r="O227" s="460" t="s">
        <v>5420</v>
      </c>
      <c r="P227" s="254" t="s">
        <v>10495</v>
      </c>
      <c r="Q227" s="254" t="s">
        <v>10762</v>
      </c>
      <c r="R227" s="460" t="s">
        <v>3581</v>
      </c>
      <c r="S227" s="460" t="s">
        <v>5422</v>
      </c>
      <c r="T227" s="460"/>
      <c r="U227" s="254" t="s">
        <v>10737</v>
      </c>
      <c r="V227" s="460" t="s">
        <v>10763</v>
      </c>
      <c r="W227" s="460" t="s">
        <v>10764</v>
      </c>
      <c r="X227" s="460" t="s">
        <v>10765</v>
      </c>
      <c r="Y227" s="460" t="s">
        <v>5785</v>
      </c>
      <c r="Z227" s="460" t="s">
        <v>10697</v>
      </c>
      <c r="AA227" s="460" t="s">
        <v>10764</v>
      </c>
      <c r="AB227" s="254" t="s">
        <v>10766</v>
      </c>
      <c r="AC227" s="460" t="s">
        <v>10767</v>
      </c>
      <c r="AD227" s="460" t="s">
        <v>5785</v>
      </c>
      <c r="AE227" s="460" t="s">
        <v>5412</v>
      </c>
      <c r="AF227" s="460" t="s">
        <v>10652</v>
      </c>
      <c r="AG227" s="460" t="s">
        <v>10768</v>
      </c>
      <c r="AH227" s="254" t="s">
        <v>10495</v>
      </c>
      <c r="AI227" s="254" t="s">
        <v>10769</v>
      </c>
    </row>
    <row r="228" spans="1:35" x14ac:dyDescent="0.3">
      <c r="A228" s="242">
        <v>226</v>
      </c>
      <c r="B228" s="492" t="s">
        <v>10770</v>
      </c>
      <c r="C228" s="242" t="s">
        <v>1616</v>
      </c>
      <c r="D228" s="460" t="s">
        <v>8380</v>
      </c>
      <c r="E228" s="252" t="s">
        <v>10771</v>
      </c>
      <c r="F228" s="460" t="s">
        <v>10772</v>
      </c>
      <c r="G228" s="482">
        <v>41225</v>
      </c>
      <c r="H228" s="242" t="s">
        <v>53</v>
      </c>
      <c r="I228" s="460" t="s">
        <v>5569</v>
      </c>
      <c r="J228" s="254" t="s">
        <v>10773</v>
      </c>
      <c r="K228" s="254" t="s">
        <v>10774</v>
      </c>
      <c r="L228" s="460" t="s">
        <v>10775</v>
      </c>
      <c r="M228" s="460"/>
      <c r="N228" s="460" t="s">
        <v>10776</v>
      </c>
      <c r="O228" s="460" t="s">
        <v>6211</v>
      </c>
      <c r="P228" s="254" t="s">
        <v>10701</v>
      </c>
      <c r="Q228" s="254" t="s">
        <v>10777</v>
      </c>
      <c r="R228" s="460" t="s">
        <v>3581</v>
      </c>
      <c r="S228" s="460" t="s">
        <v>5422</v>
      </c>
      <c r="T228" s="460"/>
      <c r="U228" s="254" t="s">
        <v>10737</v>
      </c>
      <c r="V228" s="460"/>
      <c r="W228" s="460"/>
      <c r="X228" s="460"/>
      <c r="Y228" s="460"/>
      <c r="Z228" s="460"/>
      <c r="AA228" s="460" t="s">
        <v>10636</v>
      </c>
      <c r="AB228" s="254" t="s">
        <v>10778</v>
      </c>
      <c r="AC228" s="460" t="s">
        <v>10779</v>
      </c>
      <c r="AD228" s="460" t="s">
        <v>5772</v>
      </c>
      <c r="AE228" s="460" t="s">
        <v>5412</v>
      </c>
      <c r="AF228" s="460" t="s">
        <v>10652</v>
      </c>
      <c r="AG228" s="460"/>
      <c r="AH228" s="254" t="s">
        <v>10495</v>
      </c>
      <c r="AI228" s="460">
        <v>83121273772</v>
      </c>
    </row>
    <row r="229" spans="1:35" x14ac:dyDescent="0.3">
      <c r="A229" s="242">
        <v>227</v>
      </c>
      <c r="B229" s="255" t="s">
        <v>10780</v>
      </c>
      <c r="C229" s="242" t="s">
        <v>1617</v>
      </c>
      <c r="D229" s="68" t="s">
        <v>8430</v>
      </c>
      <c r="E229" s="252" t="s">
        <v>10781</v>
      </c>
      <c r="F229" s="460" t="s">
        <v>2377</v>
      </c>
      <c r="G229" s="482">
        <v>41006</v>
      </c>
      <c r="H229" s="242" t="s">
        <v>52</v>
      </c>
      <c r="I229" s="460" t="s">
        <v>5569</v>
      </c>
      <c r="J229" s="254" t="s">
        <v>10782</v>
      </c>
      <c r="K229" s="254" t="s">
        <v>10783</v>
      </c>
      <c r="L229" s="460" t="s">
        <v>10784</v>
      </c>
      <c r="M229" s="460" t="s">
        <v>10785</v>
      </c>
      <c r="N229" s="460" t="s">
        <v>10786</v>
      </c>
      <c r="O229" s="460" t="s">
        <v>5420</v>
      </c>
      <c r="P229" s="254" t="s">
        <v>10495</v>
      </c>
      <c r="Q229" s="254" t="s">
        <v>10762</v>
      </c>
      <c r="R229" s="460" t="s">
        <v>3581</v>
      </c>
      <c r="S229" s="460" t="s">
        <v>5422</v>
      </c>
      <c r="T229" s="460"/>
      <c r="U229" s="254" t="s">
        <v>10737</v>
      </c>
      <c r="V229" s="460" t="s">
        <v>10787</v>
      </c>
      <c r="W229" s="254" t="s">
        <v>10788</v>
      </c>
      <c r="X229" s="460" t="s">
        <v>10789</v>
      </c>
      <c r="Y229" s="460" t="s">
        <v>5785</v>
      </c>
      <c r="Z229" s="460" t="s">
        <v>10697</v>
      </c>
      <c r="AA229" s="460" t="s">
        <v>3230</v>
      </c>
      <c r="AB229" s="254" t="s">
        <v>10790</v>
      </c>
      <c r="AC229" s="460" t="s">
        <v>10791</v>
      </c>
      <c r="AD229" s="460" t="s">
        <v>5772</v>
      </c>
      <c r="AE229" s="460" t="s">
        <v>5412</v>
      </c>
      <c r="AF229" s="460" t="s">
        <v>10652</v>
      </c>
      <c r="AG229" s="460"/>
      <c r="AH229" s="254" t="s">
        <v>10495</v>
      </c>
      <c r="AI229" s="460">
        <v>82116205719</v>
      </c>
    </row>
    <row r="230" spans="1:35" x14ac:dyDescent="0.3">
      <c r="A230" s="242">
        <v>228</v>
      </c>
      <c r="B230" s="492" t="s">
        <v>10792</v>
      </c>
      <c r="C230" s="242" t="s">
        <v>1617</v>
      </c>
      <c r="D230" s="460" t="s">
        <v>8431</v>
      </c>
      <c r="E230" s="252" t="s">
        <v>10793</v>
      </c>
      <c r="F230" s="460" t="s">
        <v>2377</v>
      </c>
      <c r="G230" s="482">
        <v>41284</v>
      </c>
      <c r="H230" s="242" t="s">
        <v>52</v>
      </c>
      <c r="I230" s="460" t="s">
        <v>5569</v>
      </c>
      <c r="J230" s="254" t="s">
        <v>10794</v>
      </c>
      <c r="K230" s="254" t="s">
        <v>10795</v>
      </c>
      <c r="L230" s="254" t="s">
        <v>10796</v>
      </c>
      <c r="M230" s="460" t="s">
        <v>10797</v>
      </c>
      <c r="N230" s="460" t="s">
        <v>10798</v>
      </c>
      <c r="O230" s="460" t="s">
        <v>6211</v>
      </c>
      <c r="P230" s="254" t="s">
        <v>8704</v>
      </c>
      <c r="Q230" s="254" t="s">
        <v>8694</v>
      </c>
      <c r="R230" s="460" t="s">
        <v>3581</v>
      </c>
      <c r="S230" s="460" t="s">
        <v>5422</v>
      </c>
      <c r="T230" s="460"/>
      <c r="U230" s="254" t="s">
        <v>5657</v>
      </c>
      <c r="V230" s="460"/>
      <c r="W230" s="460"/>
      <c r="X230" s="460"/>
      <c r="Y230" s="460"/>
      <c r="Z230" s="460"/>
      <c r="AA230" s="460" t="s">
        <v>3302</v>
      </c>
      <c r="AB230" s="254" t="s">
        <v>10799</v>
      </c>
      <c r="AC230" s="460" t="s">
        <v>10800</v>
      </c>
      <c r="AD230" s="460" t="s">
        <v>6240</v>
      </c>
      <c r="AE230" s="460" t="s">
        <v>5412</v>
      </c>
      <c r="AF230" s="460" t="s">
        <v>10652</v>
      </c>
      <c r="AG230" s="460"/>
      <c r="AH230" s="254" t="s">
        <v>10729</v>
      </c>
      <c r="AI230" s="460"/>
    </row>
    <row r="231" spans="1:35" x14ac:dyDescent="0.3">
      <c r="A231" s="242">
        <v>229</v>
      </c>
      <c r="B231" s="492" t="s">
        <v>10801</v>
      </c>
      <c r="C231" s="242" t="s">
        <v>1615</v>
      </c>
      <c r="D231" s="493" t="s">
        <v>10802</v>
      </c>
      <c r="E231" s="252" t="s">
        <v>10803</v>
      </c>
      <c r="F231" s="460" t="s">
        <v>2377</v>
      </c>
      <c r="G231" s="482">
        <v>40969</v>
      </c>
      <c r="H231" s="242" t="s">
        <v>53</v>
      </c>
      <c r="I231" s="460" t="s">
        <v>5569</v>
      </c>
      <c r="J231" s="254" t="s">
        <v>10804</v>
      </c>
      <c r="K231" s="254" t="s">
        <v>10805</v>
      </c>
      <c r="L231" s="460" t="s">
        <v>10806</v>
      </c>
      <c r="M231" s="460" t="s">
        <v>10807</v>
      </c>
      <c r="N231" s="460" t="s">
        <v>10808</v>
      </c>
      <c r="O231" s="460" t="s">
        <v>6211</v>
      </c>
      <c r="P231" s="254" t="s">
        <v>8704</v>
      </c>
      <c r="Q231" s="254" t="s">
        <v>10762</v>
      </c>
      <c r="R231" s="460" t="s">
        <v>3581</v>
      </c>
      <c r="S231" s="460" t="s">
        <v>5422</v>
      </c>
      <c r="T231" s="460"/>
      <c r="U231" s="254" t="s">
        <v>5657</v>
      </c>
      <c r="V231" s="460" t="s">
        <v>10809</v>
      </c>
      <c r="W231" s="460"/>
      <c r="X231" s="460"/>
      <c r="Y231" s="460"/>
      <c r="Z231" s="460"/>
      <c r="AA231" s="460" t="s">
        <v>10810</v>
      </c>
      <c r="AB231" s="254" t="s">
        <v>10811</v>
      </c>
      <c r="AC231" s="460" t="s">
        <v>2352</v>
      </c>
      <c r="AD231" s="460" t="s">
        <v>5772</v>
      </c>
      <c r="AE231" s="460" t="s">
        <v>5412</v>
      </c>
      <c r="AF231" s="460" t="s">
        <v>10652</v>
      </c>
      <c r="AG231" s="460"/>
      <c r="AH231" s="254" t="s">
        <v>10518</v>
      </c>
      <c r="AI231" s="460">
        <v>83188025136</v>
      </c>
    </row>
    <row r="232" spans="1:35" x14ac:dyDescent="0.3">
      <c r="A232" s="242">
        <v>230</v>
      </c>
      <c r="B232" s="255" t="s">
        <v>10812</v>
      </c>
      <c r="C232" s="242" t="s">
        <v>1616</v>
      </c>
      <c r="D232" s="460" t="s">
        <v>8381</v>
      </c>
      <c r="E232" s="252" t="s">
        <v>10813</v>
      </c>
      <c r="F232" s="460" t="s">
        <v>2377</v>
      </c>
      <c r="G232" s="482">
        <v>41425</v>
      </c>
      <c r="H232" s="242" t="s">
        <v>53</v>
      </c>
      <c r="I232" s="460" t="s">
        <v>5569</v>
      </c>
      <c r="J232" s="254" t="s">
        <v>10814</v>
      </c>
      <c r="K232" s="254" t="s">
        <v>10815</v>
      </c>
      <c r="L232" s="460" t="s">
        <v>10816</v>
      </c>
      <c r="M232" s="460" t="s">
        <v>10817</v>
      </c>
      <c r="N232" s="460" t="s">
        <v>10818</v>
      </c>
      <c r="O232" s="460" t="s">
        <v>7233</v>
      </c>
      <c r="P232" s="254" t="s">
        <v>8779</v>
      </c>
      <c r="Q232" s="254" t="s">
        <v>10679</v>
      </c>
      <c r="R232" s="460" t="s">
        <v>3581</v>
      </c>
      <c r="S232" s="460" t="s">
        <v>5422</v>
      </c>
      <c r="T232" s="460"/>
      <c r="U232" s="254" t="s">
        <v>10737</v>
      </c>
      <c r="V232" s="460"/>
      <c r="W232" s="460"/>
      <c r="X232" s="460"/>
      <c r="Y232" s="460"/>
      <c r="Z232" s="460"/>
      <c r="AA232" s="460"/>
      <c r="AB232" s="460"/>
      <c r="AC232" s="460"/>
      <c r="AD232" s="460" t="s">
        <v>10819</v>
      </c>
      <c r="AE232" s="460" t="s">
        <v>5412</v>
      </c>
      <c r="AF232" s="460" t="s">
        <v>10652</v>
      </c>
      <c r="AG232" s="460"/>
      <c r="AH232" s="460"/>
      <c r="AI232" s="460"/>
    </row>
    <row r="233" spans="1:35" x14ac:dyDescent="0.3">
      <c r="A233" s="242">
        <v>231</v>
      </c>
      <c r="B233" s="492" t="s">
        <v>10820</v>
      </c>
      <c r="C233" s="242" t="s">
        <v>1616</v>
      </c>
      <c r="D233" s="460" t="s">
        <v>8382</v>
      </c>
      <c r="E233" s="252" t="s">
        <v>10821</v>
      </c>
      <c r="F233" s="460" t="s">
        <v>2377</v>
      </c>
      <c r="G233" s="482">
        <v>41263</v>
      </c>
      <c r="H233" s="242" t="s">
        <v>53</v>
      </c>
      <c r="I233" s="460" t="s">
        <v>5569</v>
      </c>
      <c r="J233" s="254" t="s">
        <v>10822</v>
      </c>
      <c r="K233" s="254" t="s">
        <v>10823</v>
      </c>
      <c r="L233" s="460" t="s">
        <v>10824</v>
      </c>
      <c r="M233" s="460" t="s">
        <v>10825</v>
      </c>
      <c r="N233" s="460" t="s">
        <v>10826</v>
      </c>
      <c r="O233" s="460" t="s">
        <v>5626</v>
      </c>
      <c r="P233" s="254" t="s">
        <v>5576</v>
      </c>
      <c r="Q233" s="254" t="s">
        <v>8704</v>
      </c>
      <c r="R233" s="460" t="s">
        <v>3105</v>
      </c>
      <c r="S233" s="460" t="s">
        <v>5422</v>
      </c>
      <c r="T233" s="460"/>
      <c r="U233" s="254" t="s">
        <v>5657</v>
      </c>
      <c r="V233" s="460"/>
      <c r="W233" s="460"/>
      <c r="X233" s="460"/>
      <c r="Y233" s="460"/>
      <c r="Z233" s="460"/>
      <c r="AA233" s="460"/>
      <c r="AB233" s="460"/>
      <c r="AC233" s="460"/>
      <c r="AD233" s="460"/>
      <c r="AE233" s="460"/>
      <c r="AF233" s="460" t="s">
        <v>10652</v>
      </c>
      <c r="AG233" s="460"/>
      <c r="AH233" s="460"/>
      <c r="AI233" s="460"/>
    </row>
    <row r="234" spans="1:35" x14ac:dyDescent="0.3">
      <c r="A234" s="242">
        <v>232</v>
      </c>
      <c r="B234" s="492" t="s">
        <v>10827</v>
      </c>
      <c r="C234" s="242" t="s">
        <v>1616</v>
      </c>
      <c r="D234" s="460" t="s">
        <v>8383</v>
      </c>
      <c r="E234" s="252" t="s">
        <v>10828</v>
      </c>
      <c r="F234" s="460" t="s">
        <v>2352</v>
      </c>
      <c r="G234" s="482">
        <v>41322</v>
      </c>
      <c r="H234" s="242" t="s">
        <v>53</v>
      </c>
      <c r="I234" s="460" t="s">
        <v>5569</v>
      </c>
      <c r="J234" s="254" t="s">
        <v>10829</v>
      </c>
      <c r="K234" s="254" t="s">
        <v>10830</v>
      </c>
      <c r="L234" s="460"/>
      <c r="M234" s="460" t="s">
        <v>10831</v>
      </c>
      <c r="N234" s="460" t="s">
        <v>10832</v>
      </c>
      <c r="O234" s="460" t="s">
        <v>5420</v>
      </c>
      <c r="P234" s="254" t="s">
        <v>5576</v>
      </c>
      <c r="Q234" s="254" t="s">
        <v>10762</v>
      </c>
      <c r="R234" s="460" t="s">
        <v>3581</v>
      </c>
      <c r="S234" s="460" t="s">
        <v>5422</v>
      </c>
      <c r="T234" s="460"/>
      <c r="U234" s="254" t="s">
        <v>5657</v>
      </c>
      <c r="V234" s="460"/>
      <c r="W234" s="460"/>
      <c r="X234" s="460"/>
      <c r="Y234" s="460"/>
      <c r="Z234" s="460"/>
      <c r="AA234" s="460"/>
      <c r="AB234" s="460"/>
      <c r="AC234" s="460"/>
      <c r="AD234" s="460"/>
      <c r="AE234" s="460"/>
      <c r="AF234" s="460" t="s">
        <v>10652</v>
      </c>
      <c r="AG234" s="460"/>
      <c r="AH234" s="460"/>
      <c r="AI234" s="460"/>
    </row>
    <row r="235" spans="1:35" x14ac:dyDescent="0.3">
      <c r="A235" s="242">
        <v>233</v>
      </c>
      <c r="B235" s="255" t="s">
        <v>10833</v>
      </c>
      <c r="C235" s="242" t="s">
        <v>1616</v>
      </c>
      <c r="D235" s="460" t="s">
        <v>8384</v>
      </c>
      <c r="E235" s="252" t="s">
        <v>10834</v>
      </c>
      <c r="F235" s="460" t="s">
        <v>2377</v>
      </c>
      <c r="G235" s="482">
        <v>41396</v>
      </c>
      <c r="H235" s="242" t="s">
        <v>53</v>
      </c>
      <c r="I235" s="460" t="s">
        <v>5569</v>
      </c>
      <c r="J235" s="254" t="s">
        <v>10835</v>
      </c>
      <c r="K235" s="254" t="s">
        <v>10836</v>
      </c>
      <c r="L235" s="460" t="s">
        <v>10837</v>
      </c>
      <c r="M235" s="460" t="s">
        <v>10838</v>
      </c>
      <c r="N235" s="460" t="s">
        <v>10839</v>
      </c>
      <c r="O235" s="460" t="s">
        <v>6365</v>
      </c>
      <c r="P235" s="254" t="s">
        <v>8779</v>
      </c>
      <c r="Q235" s="254" t="s">
        <v>5577</v>
      </c>
      <c r="R235" s="460" t="s">
        <v>3581</v>
      </c>
      <c r="S235" s="460" t="s">
        <v>10661</v>
      </c>
      <c r="T235" s="460"/>
      <c r="U235" s="254" t="s">
        <v>5657</v>
      </c>
      <c r="V235" s="460" t="s">
        <v>10840</v>
      </c>
      <c r="W235" s="254" t="s">
        <v>10841</v>
      </c>
      <c r="X235" s="460" t="s">
        <v>10842</v>
      </c>
      <c r="Y235" s="460" t="s">
        <v>5772</v>
      </c>
      <c r="Z235" s="460" t="s">
        <v>10697</v>
      </c>
      <c r="AA235" s="460" t="s">
        <v>10843</v>
      </c>
      <c r="AB235" s="254" t="s">
        <v>10844</v>
      </c>
      <c r="AC235" s="460" t="s">
        <v>10845</v>
      </c>
      <c r="AD235" s="460" t="s">
        <v>5772</v>
      </c>
      <c r="AE235" s="460" t="s">
        <v>5412</v>
      </c>
      <c r="AF235" s="460" t="s">
        <v>10652</v>
      </c>
      <c r="AG235" s="460"/>
      <c r="AH235" s="460">
        <v>1</v>
      </c>
      <c r="AI235" s="254" t="s">
        <v>10846</v>
      </c>
    </row>
    <row r="236" spans="1:35" x14ac:dyDescent="0.3">
      <c r="A236" s="398">
        <v>234</v>
      </c>
      <c r="B236" s="494" t="s">
        <v>10847</v>
      </c>
      <c r="C236" s="106" t="s">
        <v>1615</v>
      </c>
      <c r="D236" s="54" t="s">
        <v>8346</v>
      </c>
      <c r="E236" s="198" t="s">
        <v>10848</v>
      </c>
      <c r="F236" s="54" t="s">
        <v>8743</v>
      </c>
      <c r="G236" s="108">
        <v>41230</v>
      </c>
      <c r="H236" s="106" t="s">
        <v>52</v>
      </c>
      <c r="I236" s="54" t="s">
        <v>5569</v>
      </c>
      <c r="J236" s="200" t="s">
        <v>10849</v>
      </c>
      <c r="K236" s="200" t="s">
        <v>10850</v>
      </c>
      <c r="L236" s="54" t="s">
        <v>10851</v>
      </c>
      <c r="M236" s="54"/>
      <c r="N236" s="54"/>
      <c r="O236" s="54" t="s">
        <v>2399</v>
      </c>
      <c r="P236" s="200" t="s">
        <v>5576</v>
      </c>
      <c r="Q236" s="200" t="s">
        <v>8715</v>
      </c>
      <c r="R236" s="54" t="s">
        <v>10852</v>
      </c>
      <c r="S236" s="54" t="s">
        <v>3961</v>
      </c>
      <c r="T236" s="54"/>
      <c r="U236" s="200" t="s">
        <v>5547</v>
      </c>
      <c r="V236" s="54" t="s">
        <v>10853</v>
      </c>
      <c r="W236" s="200" t="s">
        <v>10854</v>
      </c>
      <c r="X236" s="54" t="s">
        <v>10855</v>
      </c>
      <c r="Y236" s="54" t="s">
        <v>5772</v>
      </c>
      <c r="Z236" s="54" t="s">
        <v>10666</v>
      </c>
      <c r="AA236" s="54" t="s">
        <v>10856</v>
      </c>
      <c r="AB236" s="200" t="s">
        <v>10857</v>
      </c>
      <c r="AC236" s="54" t="s">
        <v>10858</v>
      </c>
      <c r="AD236" s="54" t="s">
        <v>10715</v>
      </c>
      <c r="AE236" s="54" t="s">
        <v>5412</v>
      </c>
      <c r="AF236" s="54" t="s">
        <v>3552</v>
      </c>
      <c r="AG236" s="54"/>
      <c r="AH236" s="54">
        <v>1</v>
      </c>
      <c r="AI236" s="200" t="s">
        <v>10859</v>
      </c>
    </row>
    <row r="237" spans="1:35" x14ac:dyDescent="0.3">
      <c r="A237" s="398">
        <v>235</v>
      </c>
      <c r="B237" s="494" t="s">
        <v>10860</v>
      </c>
      <c r="C237" s="106" t="s">
        <v>1615</v>
      </c>
      <c r="D237" s="54" t="s">
        <v>8347</v>
      </c>
      <c r="E237" s="198" t="s">
        <v>10861</v>
      </c>
      <c r="F237" s="54" t="s">
        <v>5586</v>
      </c>
      <c r="G237" s="108">
        <v>41253</v>
      </c>
      <c r="H237" s="106" t="s">
        <v>52</v>
      </c>
      <c r="I237" s="54" t="s">
        <v>5569</v>
      </c>
      <c r="J237" s="200" t="s">
        <v>10862</v>
      </c>
      <c r="K237" s="200" t="s">
        <v>10863</v>
      </c>
      <c r="L237" s="54" t="s">
        <v>10864</v>
      </c>
      <c r="M237" s="54"/>
      <c r="N237" s="54"/>
      <c r="O237" s="54" t="s">
        <v>2887</v>
      </c>
      <c r="P237" s="200" t="s">
        <v>8704</v>
      </c>
      <c r="Q237" s="200" t="s">
        <v>8768</v>
      </c>
      <c r="R237" s="54" t="s">
        <v>10852</v>
      </c>
      <c r="S237" s="54" t="s">
        <v>3961</v>
      </c>
      <c r="T237" s="54"/>
      <c r="U237" s="200" t="s">
        <v>5521</v>
      </c>
      <c r="V237" s="54"/>
      <c r="W237" s="54"/>
      <c r="X237" s="54"/>
      <c r="Y237" s="54"/>
      <c r="Z237" s="54"/>
      <c r="AA237" s="54" t="s">
        <v>10865</v>
      </c>
      <c r="AB237" s="200" t="s">
        <v>10866</v>
      </c>
      <c r="AC237" s="54" t="s">
        <v>10867</v>
      </c>
      <c r="AD237" s="54" t="s">
        <v>10715</v>
      </c>
      <c r="AE237" s="54" t="s">
        <v>5412</v>
      </c>
      <c r="AF237" s="54" t="s">
        <v>3552</v>
      </c>
      <c r="AG237" s="54"/>
      <c r="AH237" s="54">
        <v>1</v>
      </c>
      <c r="AI237" s="200" t="s">
        <v>10868</v>
      </c>
    </row>
    <row r="238" spans="1:35" x14ac:dyDescent="0.3">
      <c r="A238" s="398">
        <v>236</v>
      </c>
      <c r="B238" s="399" t="s">
        <v>10869</v>
      </c>
      <c r="C238" s="398" t="s">
        <v>1616</v>
      </c>
      <c r="D238" s="469" t="s">
        <v>8385</v>
      </c>
      <c r="E238" s="495" t="s">
        <v>10870</v>
      </c>
      <c r="F238" s="469" t="s">
        <v>2377</v>
      </c>
      <c r="G238" s="464">
        <v>41337</v>
      </c>
      <c r="H238" s="465" t="s">
        <v>53</v>
      </c>
      <c r="I238" s="469" t="s">
        <v>5396</v>
      </c>
      <c r="J238" s="471" t="s">
        <v>10871</v>
      </c>
      <c r="K238" s="471" t="s">
        <v>10872</v>
      </c>
      <c r="L238" s="469" t="s">
        <v>10873</v>
      </c>
      <c r="M238" s="469"/>
      <c r="N238" s="469"/>
      <c r="O238" s="469" t="s">
        <v>10874</v>
      </c>
      <c r="P238" s="471" t="s">
        <v>5157</v>
      </c>
      <c r="Q238" s="471" t="s">
        <v>5448</v>
      </c>
      <c r="R238" s="469" t="s">
        <v>10875</v>
      </c>
      <c r="S238" s="469" t="s">
        <v>10876</v>
      </c>
      <c r="T238" s="469"/>
      <c r="U238" s="469">
        <v>40274</v>
      </c>
      <c r="V238" s="469" t="s">
        <v>4014</v>
      </c>
      <c r="W238" s="471" t="s">
        <v>10877</v>
      </c>
      <c r="X238" s="469" t="s">
        <v>10878</v>
      </c>
      <c r="Y238" s="469" t="s">
        <v>5772</v>
      </c>
      <c r="Z238" s="470" t="s">
        <v>10666</v>
      </c>
      <c r="AA238" s="469" t="s">
        <v>10879</v>
      </c>
      <c r="AB238" s="471" t="s">
        <v>10880</v>
      </c>
      <c r="AC238" s="469" t="s">
        <v>10881</v>
      </c>
      <c r="AD238" s="470" t="s">
        <v>10715</v>
      </c>
      <c r="AE238" s="469" t="s">
        <v>5412</v>
      </c>
      <c r="AF238" s="469" t="s">
        <v>10882</v>
      </c>
      <c r="AG238" s="469"/>
      <c r="AH238" s="469">
        <v>1</v>
      </c>
      <c r="AI238" s="469"/>
    </row>
    <row r="239" spans="1:35" x14ac:dyDescent="0.3">
      <c r="A239" s="242">
        <v>237</v>
      </c>
      <c r="B239" s="255" t="s">
        <v>10883</v>
      </c>
      <c r="C239" s="242" t="s">
        <v>1616</v>
      </c>
      <c r="D239" s="246" t="s">
        <v>8386</v>
      </c>
      <c r="E239" s="242">
        <v>3120399460</v>
      </c>
      <c r="F239" s="460" t="s">
        <v>2377</v>
      </c>
      <c r="G239" s="482">
        <v>41088</v>
      </c>
      <c r="H239" s="242" t="s">
        <v>53</v>
      </c>
      <c r="I239" s="460" t="s">
        <v>5396</v>
      </c>
      <c r="J239" s="254" t="s">
        <v>10884</v>
      </c>
      <c r="K239" s="254" t="s">
        <v>10885</v>
      </c>
      <c r="L239" s="460" t="s">
        <v>10886</v>
      </c>
      <c r="M239" s="460" t="s">
        <v>10887</v>
      </c>
      <c r="N239" s="460"/>
      <c r="O239" s="460" t="s">
        <v>5956</v>
      </c>
      <c r="P239" s="254" t="s">
        <v>5432</v>
      </c>
      <c r="Q239" s="254" t="s">
        <v>5394</v>
      </c>
      <c r="R239" s="460" t="s">
        <v>3189</v>
      </c>
      <c r="S239" s="460" t="s">
        <v>3961</v>
      </c>
      <c r="T239" s="460"/>
      <c r="U239" s="460">
        <v>40562</v>
      </c>
      <c r="V239" s="460" t="s">
        <v>10888</v>
      </c>
      <c r="W239" s="254" t="s">
        <v>10889</v>
      </c>
      <c r="X239" s="460" t="s">
        <v>10890</v>
      </c>
      <c r="Y239" s="460" t="s">
        <v>9721</v>
      </c>
      <c r="Z239" s="460" t="s">
        <v>10666</v>
      </c>
      <c r="AA239" s="460" t="s">
        <v>10891</v>
      </c>
      <c r="AB239" s="254" t="s">
        <v>10892</v>
      </c>
      <c r="AC239" s="460" t="s">
        <v>10893</v>
      </c>
      <c r="AD239" s="460" t="s">
        <v>5785</v>
      </c>
      <c r="AE239" s="460" t="s">
        <v>5412</v>
      </c>
      <c r="AF239" s="460" t="s">
        <v>4682</v>
      </c>
      <c r="AG239" s="460"/>
      <c r="AH239" s="460">
        <v>1</v>
      </c>
      <c r="AI239" s="460"/>
    </row>
    <row r="240" spans="1:35" x14ac:dyDescent="0.3">
      <c r="A240" s="398">
        <v>238</v>
      </c>
      <c r="B240" s="399" t="s">
        <v>10894</v>
      </c>
      <c r="C240" s="398" t="s">
        <v>1616</v>
      </c>
      <c r="D240" s="470" t="s">
        <v>8387</v>
      </c>
      <c r="E240" s="398">
        <v>3136952262</v>
      </c>
      <c r="F240" s="470" t="s">
        <v>2377</v>
      </c>
      <c r="G240" s="480">
        <v>41319</v>
      </c>
      <c r="H240" s="398" t="s">
        <v>52</v>
      </c>
      <c r="I240" s="470" t="s">
        <v>5396</v>
      </c>
      <c r="J240" s="412" t="s">
        <v>10895</v>
      </c>
      <c r="K240" s="470" t="s">
        <v>10896</v>
      </c>
      <c r="L240" s="470" t="s">
        <v>10897</v>
      </c>
      <c r="M240" s="470"/>
      <c r="N240" s="470"/>
      <c r="O240" s="470" t="s">
        <v>10898</v>
      </c>
      <c r="P240" s="412" t="s">
        <v>5461</v>
      </c>
      <c r="Q240" s="412" t="s">
        <v>5415</v>
      </c>
      <c r="R240" s="470" t="s">
        <v>10898</v>
      </c>
      <c r="S240" s="470" t="s">
        <v>5950</v>
      </c>
      <c r="T240" s="470"/>
      <c r="U240" s="470">
        <v>41167</v>
      </c>
      <c r="V240" s="470" t="s">
        <v>10899</v>
      </c>
      <c r="W240" s="412" t="s">
        <v>10900</v>
      </c>
      <c r="X240" s="470" t="s">
        <v>10901</v>
      </c>
      <c r="Y240" s="470" t="s">
        <v>5785</v>
      </c>
      <c r="Z240" s="470" t="s">
        <v>5442</v>
      </c>
      <c r="AA240" s="470" t="s">
        <v>10902</v>
      </c>
      <c r="AB240" s="412" t="s">
        <v>10903</v>
      </c>
      <c r="AC240" s="470" t="s">
        <v>10904</v>
      </c>
      <c r="AD240" s="470" t="s">
        <v>5904</v>
      </c>
      <c r="AE240" s="470" t="s">
        <v>5412</v>
      </c>
      <c r="AF240" s="470" t="s">
        <v>10905</v>
      </c>
      <c r="AG240" s="470"/>
      <c r="AH240" s="470">
        <v>1</v>
      </c>
      <c r="AI240" s="470"/>
    </row>
    <row r="241" spans="1:35" x14ac:dyDescent="0.3">
      <c r="A241" s="242">
        <v>239</v>
      </c>
      <c r="B241" s="255" t="s">
        <v>10906</v>
      </c>
      <c r="C241" s="242" t="s">
        <v>1615</v>
      </c>
      <c r="D241" s="246" t="s">
        <v>8348</v>
      </c>
      <c r="E241" s="242">
        <v>3121850219</v>
      </c>
      <c r="F241" s="460" t="s">
        <v>2468</v>
      </c>
      <c r="G241" s="482">
        <v>41252</v>
      </c>
      <c r="H241" s="242" t="s">
        <v>52</v>
      </c>
      <c r="I241" s="460" t="s">
        <v>5396</v>
      </c>
      <c r="J241" s="254" t="s">
        <v>10907</v>
      </c>
      <c r="K241" s="254" t="s">
        <v>10908</v>
      </c>
      <c r="L241" s="460"/>
      <c r="M241" s="460"/>
      <c r="N241" s="460"/>
      <c r="O241" s="460" t="s">
        <v>10909</v>
      </c>
      <c r="P241" s="254" t="s">
        <v>5542</v>
      </c>
      <c r="Q241" s="254" t="s">
        <v>5448</v>
      </c>
      <c r="R241" s="460" t="s">
        <v>10625</v>
      </c>
      <c r="S241" s="460" t="s">
        <v>7088</v>
      </c>
      <c r="T241" s="460"/>
      <c r="U241" s="460"/>
      <c r="V241" s="460" t="s">
        <v>4005</v>
      </c>
      <c r="W241" s="254" t="s">
        <v>10910</v>
      </c>
      <c r="X241" s="460" t="s">
        <v>10911</v>
      </c>
      <c r="Y241" s="460" t="s">
        <v>5785</v>
      </c>
      <c r="Z241" s="460" t="s">
        <v>10912</v>
      </c>
      <c r="AA241" s="460" t="s">
        <v>2861</v>
      </c>
      <c r="AB241" s="254" t="s">
        <v>10913</v>
      </c>
      <c r="AC241" s="460" t="s">
        <v>10914</v>
      </c>
      <c r="AD241" s="460" t="s">
        <v>5785</v>
      </c>
      <c r="AE241" s="460" t="s">
        <v>5412</v>
      </c>
      <c r="AF241" s="460" t="s">
        <v>10915</v>
      </c>
      <c r="AG241" s="460"/>
      <c r="AH241" s="460">
        <v>3</v>
      </c>
      <c r="AI241" s="460"/>
    </row>
    <row r="242" spans="1:35" x14ac:dyDescent="0.3">
      <c r="A242" s="398">
        <v>240</v>
      </c>
      <c r="B242" s="399" t="s">
        <v>10916</v>
      </c>
      <c r="C242" s="398" t="s">
        <v>13</v>
      </c>
      <c r="D242" s="421" t="s">
        <v>8227</v>
      </c>
      <c r="E242" s="398"/>
      <c r="F242" s="470" t="s">
        <v>2377</v>
      </c>
      <c r="G242" s="480">
        <v>41252</v>
      </c>
      <c r="H242" s="398" t="s">
        <v>52</v>
      </c>
      <c r="I242" s="470" t="s">
        <v>5396</v>
      </c>
      <c r="J242" s="412" t="s">
        <v>10917</v>
      </c>
      <c r="K242" s="412" t="s">
        <v>10918</v>
      </c>
      <c r="L242" s="470" t="s">
        <v>10919</v>
      </c>
      <c r="M242" s="470"/>
      <c r="N242" s="470"/>
      <c r="O242" s="470"/>
      <c r="P242" s="470"/>
      <c r="Q242" s="470"/>
      <c r="R242" s="470"/>
      <c r="S242" s="470"/>
      <c r="T242" s="470"/>
      <c r="U242" s="470"/>
      <c r="V242" s="470" t="s">
        <v>10920</v>
      </c>
      <c r="W242" s="412" t="s">
        <v>10921</v>
      </c>
      <c r="X242" s="470" t="s">
        <v>10922</v>
      </c>
      <c r="Y242" s="470" t="s">
        <v>5904</v>
      </c>
      <c r="Z242" s="470" t="s">
        <v>5442</v>
      </c>
      <c r="AA242" s="470" t="s">
        <v>10923</v>
      </c>
      <c r="AB242" s="412" t="s">
        <v>10924</v>
      </c>
      <c r="AC242" s="470" t="s">
        <v>10925</v>
      </c>
      <c r="AD242" s="470" t="s">
        <v>5904</v>
      </c>
      <c r="AE242" s="470" t="s">
        <v>5412</v>
      </c>
      <c r="AF242" s="470" t="s">
        <v>5487</v>
      </c>
      <c r="AG242" s="470"/>
      <c r="AH242" s="470">
        <v>4</v>
      </c>
      <c r="AI242" s="470"/>
    </row>
    <row r="243" spans="1:35" x14ac:dyDescent="0.3">
      <c r="A243" s="398">
        <v>241</v>
      </c>
      <c r="B243" s="399" t="s">
        <v>10926</v>
      </c>
      <c r="C243" s="398" t="s">
        <v>1617</v>
      </c>
      <c r="D243" s="463" t="s">
        <v>8432</v>
      </c>
      <c r="E243" s="398">
        <v>3135185861</v>
      </c>
      <c r="F243" s="470" t="s">
        <v>2377</v>
      </c>
      <c r="G243" s="480">
        <v>41353</v>
      </c>
      <c r="H243" s="398" t="s">
        <v>53</v>
      </c>
      <c r="I243" s="470" t="s">
        <v>5396</v>
      </c>
      <c r="J243" s="412" t="s">
        <v>10927</v>
      </c>
      <c r="K243" s="412" t="s">
        <v>10928</v>
      </c>
      <c r="L243" s="470" t="s">
        <v>10929</v>
      </c>
      <c r="M243" s="412" t="s">
        <v>10930</v>
      </c>
      <c r="N243" s="470"/>
      <c r="O243" s="470" t="s">
        <v>2712</v>
      </c>
      <c r="P243" s="412" t="s">
        <v>5432</v>
      </c>
      <c r="Q243" s="412" t="s">
        <v>5415</v>
      </c>
      <c r="R243" s="470" t="s">
        <v>2845</v>
      </c>
      <c r="S243" s="470" t="s">
        <v>3961</v>
      </c>
      <c r="T243" s="470"/>
      <c r="U243" s="470">
        <v>40764</v>
      </c>
      <c r="V243" s="470" t="s">
        <v>10931</v>
      </c>
      <c r="W243" s="412" t="s">
        <v>10932</v>
      </c>
      <c r="X243" s="470" t="s">
        <v>10933</v>
      </c>
      <c r="Y243" s="470" t="s">
        <v>5785</v>
      </c>
      <c r="Z243" s="470" t="s">
        <v>5551</v>
      </c>
      <c r="AA243" s="470" t="s">
        <v>10934</v>
      </c>
      <c r="AB243" s="412" t="s">
        <v>10935</v>
      </c>
      <c r="AC243" s="470" t="s">
        <v>10936</v>
      </c>
      <c r="AD243" s="470" t="s">
        <v>9721</v>
      </c>
      <c r="AE243" s="470" t="s">
        <v>5412</v>
      </c>
      <c r="AF243" s="470" t="s">
        <v>3552</v>
      </c>
      <c r="AG243" s="470"/>
      <c r="AH243" s="470">
        <v>1</v>
      </c>
      <c r="AI243" s="470"/>
    </row>
    <row r="244" spans="1:35" x14ac:dyDescent="0.3">
      <c r="A244" s="398">
        <v>242</v>
      </c>
      <c r="B244" s="496" t="s">
        <v>10937</v>
      </c>
      <c r="C244" s="398" t="s">
        <v>1616</v>
      </c>
      <c r="D244" s="497" t="s">
        <v>8388</v>
      </c>
      <c r="E244" s="410" t="s">
        <v>10938</v>
      </c>
      <c r="F244" s="470" t="s">
        <v>2352</v>
      </c>
      <c r="G244" s="480">
        <v>40931</v>
      </c>
      <c r="H244" s="398" t="s">
        <v>52</v>
      </c>
      <c r="I244" s="470" t="s">
        <v>5396</v>
      </c>
      <c r="J244" s="412" t="s">
        <v>10939</v>
      </c>
      <c r="K244" s="412" t="s">
        <v>10940</v>
      </c>
      <c r="L244" s="470"/>
      <c r="M244" s="470" t="s">
        <v>10941</v>
      </c>
      <c r="N244" s="470"/>
      <c r="O244" s="470" t="s">
        <v>5626</v>
      </c>
      <c r="P244" s="412" t="s">
        <v>5394</v>
      </c>
      <c r="Q244" s="412" t="s">
        <v>5432</v>
      </c>
      <c r="R244" s="470" t="s">
        <v>3105</v>
      </c>
      <c r="S244" s="470" t="s">
        <v>5422</v>
      </c>
      <c r="T244" s="470"/>
      <c r="U244" s="470">
        <v>40562</v>
      </c>
      <c r="V244" s="470" t="s">
        <v>10942</v>
      </c>
      <c r="W244" s="412" t="s">
        <v>10943</v>
      </c>
      <c r="X244" s="470" t="s">
        <v>10944</v>
      </c>
      <c r="Y244" s="470" t="s">
        <v>5772</v>
      </c>
      <c r="Z244" s="470" t="s">
        <v>5442</v>
      </c>
      <c r="AA244" s="470" t="s">
        <v>10945</v>
      </c>
      <c r="AB244" s="412" t="s">
        <v>10946</v>
      </c>
      <c r="AC244" s="470" t="s">
        <v>10947</v>
      </c>
      <c r="AD244" s="470" t="s">
        <v>5904</v>
      </c>
      <c r="AE244" s="470" t="s">
        <v>5412</v>
      </c>
      <c r="AF244" s="470" t="s">
        <v>6021</v>
      </c>
      <c r="AG244" s="470"/>
      <c r="AH244" s="470">
        <v>1</v>
      </c>
      <c r="AI244" s="470"/>
    </row>
    <row r="245" spans="1:35" x14ac:dyDescent="0.3">
      <c r="A245" s="398">
        <v>243</v>
      </c>
      <c r="B245" s="399" t="s">
        <v>10948</v>
      </c>
      <c r="C245" s="398" t="s">
        <v>1616</v>
      </c>
      <c r="D245" s="463" t="s">
        <v>8389</v>
      </c>
      <c r="E245" s="410" t="s">
        <v>10949</v>
      </c>
      <c r="F245" s="470" t="s">
        <v>2377</v>
      </c>
      <c r="G245" s="480">
        <v>40812</v>
      </c>
      <c r="H245" s="398" t="s">
        <v>52</v>
      </c>
      <c r="I245" s="470" t="s">
        <v>5396</v>
      </c>
      <c r="J245" s="412" t="s">
        <v>10950</v>
      </c>
      <c r="K245" s="412" t="s">
        <v>10951</v>
      </c>
      <c r="L245" s="470" t="s">
        <v>10952</v>
      </c>
      <c r="M245" s="470"/>
      <c r="N245" s="470"/>
      <c r="O245" s="470" t="s">
        <v>10953</v>
      </c>
      <c r="P245" s="412" t="s">
        <v>5461</v>
      </c>
      <c r="Q245" s="412" t="s">
        <v>5461</v>
      </c>
      <c r="R245" s="470" t="s">
        <v>2399</v>
      </c>
      <c r="S245" s="470" t="s">
        <v>3961</v>
      </c>
      <c r="T245" s="470"/>
      <c r="U245" s="470">
        <v>40764</v>
      </c>
      <c r="V245" s="470" t="s">
        <v>3209</v>
      </c>
      <c r="W245" s="412"/>
      <c r="X245" s="470"/>
      <c r="Y245" s="470"/>
      <c r="Z245" s="470"/>
      <c r="AA245" s="470" t="s">
        <v>10954</v>
      </c>
      <c r="AB245" s="412" t="s">
        <v>10955</v>
      </c>
      <c r="AC245" s="470" t="s">
        <v>10956</v>
      </c>
      <c r="AD245" s="470" t="s">
        <v>5785</v>
      </c>
      <c r="AE245" s="470" t="s">
        <v>5412</v>
      </c>
      <c r="AF245" s="470" t="s">
        <v>3552</v>
      </c>
      <c r="AG245" s="470"/>
      <c r="AH245" s="470">
        <v>1</v>
      </c>
      <c r="AI245" s="470"/>
    </row>
    <row r="246" spans="1:35" x14ac:dyDescent="0.3">
      <c r="A246" s="398">
        <v>244</v>
      </c>
      <c r="B246" s="399" t="s">
        <v>10957</v>
      </c>
      <c r="C246" s="398" t="s">
        <v>1617</v>
      </c>
      <c r="D246" s="463" t="s">
        <v>8433</v>
      </c>
      <c r="E246" s="398">
        <v>3137247250</v>
      </c>
      <c r="F246" s="470" t="s">
        <v>2377</v>
      </c>
      <c r="G246" s="480">
        <v>41331</v>
      </c>
      <c r="H246" s="398" t="s">
        <v>53</v>
      </c>
      <c r="I246" s="470" t="s">
        <v>5396</v>
      </c>
      <c r="J246" s="412" t="s">
        <v>10958</v>
      </c>
      <c r="K246" s="412" t="s">
        <v>10959</v>
      </c>
      <c r="L246" s="470" t="s">
        <v>10960</v>
      </c>
      <c r="M246" s="412" t="s">
        <v>10961</v>
      </c>
      <c r="N246" s="470"/>
      <c r="O246" s="470" t="s">
        <v>9213</v>
      </c>
      <c r="P246" s="412" t="s">
        <v>5448</v>
      </c>
      <c r="Q246" s="412" t="s">
        <v>5461</v>
      </c>
      <c r="R246" s="470" t="s">
        <v>2399</v>
      </c>
      <c r="S246" s="470" t="s">
        <v>3961</v>
      </c>
      <c r="T246" s="470"/>
      <c r="U246" s="470">
        <v>40562</v>
      </c>
      <c r="V246" s="470" t="s">
        <v>10962</v>
      </c>
      <c r="W246" s="412" t="s">
        <v>10963</v>
      </c>
      <c r="X246" s="470" t="s">
        <v>10964</v>
      </c>
      <c r="Y246" s="470" t="s">
        <v>5785</v>
      </c>
      <c r="Z246" s="470" t="s">
        <v>5551</v>
      </c>
      <c r="AA246" s="470" t="s">
        <v>3571</v>
      </c>
      <c r="AB246" s="412" t="s">
        <v>10965</v>
      </c>
      <c r="AC246" s="470" t="s">
        <v>10234</v>
      </c>
      <c r="AD246" s="470" t="s">
        <v>5772</v>
      </c>
      <c r="AE246" s="470" t="s">
        <v>5412</v>
      </c>
      <c r="AF246" s="470" t="s">
        <v>3552</v>
      </c>
      <c r="AG246" s="470"/>
      <c r="AH246" s="470">
        <v>1</v>
      </c>
      <c r="AI246" s="470"/>
    </row>
    <row r="247" spans="1:35" x14ac:dyDescent="0.3">
      <c r="A247" s="106">
        <v>245</v>
      </c>
      <c r="B247" s="188" t="s">
        <v>10966</v>
      </c>
      <c r="C247" s="106" t="s">
        <v>1614</v>
      </c>
      <c r="D247" s="101" t="s">
        <v>8434</v>
      </c>
      <c r="E247" s="198" t="s">
        <v>10967</v>
      </c>
      <c r="F247" s="54" t="s">
        <v>2352</v>
      </c>
      <c r="G247" s="108">
        <v>40907</v>
      </c>
      <c r="H247" s="106" t="s">
        <v>52</v>
      </c>
      <c r="I247" s="54" t="s">
        <v>5396</v>
      </c>
      <c r="J247" s="54"/>
      <c r="K247" s="54"/>
      <c r="L247" s="54"/>
      <c r="M247" s="54" t="s">
        <v>10968</v>
      </c>
      <c r="N247" s="54"/>
      <c r="O247" s="54" t="s">
        <v>5810</v>
      </c>
      <c r="P247" s="200" t="s">
        <v>5415</v>
      </c>
      <c r="Q247" s="200" t="s">
        <v>5415</v>
      </c>
      <c r="R247" s="54" t="s">
        <v>2399</v>
      </c>
      <c r="S247" s="54" t="s">
        <v>3961</v>
      </c>
      <c r="T247" s="54"/>
      <c r="U247" s="54">
        <v>40764</v>
      </c>
      <c r="V247" s="54" t="s">
        <v>10969</v>
      </c>
      <c r="W247" s="200" t="s">
        <v>10970</v>
      </c>
      <c r="X247" s="54" t="s">
        <v>10971</v>
      </c>
      <c r="Y247" s="54" t="s">
        <v>5785</v>
      </c>
      <c r="Z247" s="54" t="s">
        <v>5551</v>
      </c>
      <c r="AA247" s="54" t="s">
        <v>10972</v>
      </c>
      <c r="AB247" s="200" t="s">
        <v>10973</v>
      </c>
      <c r="AC247" s="54" t="s">
        <v>9372</v>
      </c>
      <c r="AD247" s="54" t="s">
        <v>5785</v>
      </c>
      <c r="AE247" s="54" t="s">
        <v>5412</v>
      </c>
      <c r="AF247" s="54" t="s">
        <v>8907</v>
      </c>
      <c r="AG247" s="54"/>
      <c r="AH247" s="54">
        <v>3</v>
      </c>
      <c r="AI247" s="54"/>
    </row>
    <row r="248" spans="1:35" x14ac:dyDescent="0.3">
      <c r="A248" s="398">
        <v>246</v>
      </c>
      <c r="B248" s="399" t="s">
        <v>10974</v>
      </c>
      <c r="C248" s="106" t="s">
        <v>1614</v>
      </c>
      <c r="D248" s="101" t="s">
        <v>8440</v>
      </c>
      <c r="E248" s="198" t="s">
        <v>10975</v>
      </c>
      <c r="F248" s="54" t="s">
        <v>2352</v>
      </c>
      <c r="G248" s="108">
        <v>41339</v>
      </c>
      <c r="H248" s="106" t="s">
        <v>52</v>
      </c>
      <c r="I248" s="54" t="s">
        <v>5396</v>
      </c>
      <c r="J248" s="200" t="s">
        <v>10976</v>
      </c>
      <c r="K248" s="200" t="s">
        <v>10977</v>
      </c>
      <c r="L248" s="54" t="s">
        <v>10978</v>
      </c>
      <c r="M248" s="54"/>
      <c r="N248" s="54"/>
      <c r="O248" s="54" t="s">
        <v>10979</v>
      </c>
      <c r="P248" s="200" t="s">
        <v>5432</v>
      </c>
      <c r="Q248" s="200" t="s">
        <v>5514</v>
      </c>
      <c r="R248" s="54" t="s">
        <v>2485</v>
      </c>
      <c r="S248" s="54" t="s">
        <v>5422</v>
      </c>
      <c r="T248" s="54"/>
      <c r="U248" s="54">
        <v>40562</v>
      </c>
      <c r="V248" s="54" t="s">
        <v>10098</v>
      </c>
      <c r="W248" s="200" t="s">
        <v>10980</v>
      </c>
      <c r="X248" s="54" t="s">
        <v>10981</v>
      </c>
      <c r="Y248" s="54" t="s">
        <v>5904</v>
      </c>
      <c r="Z248" s="470" t="s">
        <v>5442</v>
      </c>
      <c r="AA248" s="54" t="s">
        <v>10982</v>
      </c>
      <c r="AB248" s="200" t="s">
        <v>10983</v>
      </c>
      <c r="AC248" s="54" t="s">
        <v>10984</v>
      </c>
      <c r="AD248" s="470" t="s">
        <v>5904</v>
      </c>
      <c r="AE248" s="54" t="s">
        <v>5412</v>
      </c>
      <c r="AF248" s="54" t="s">
        <v>5458</v>
      </c>
      <c r="AG248" s="54"/>
      <c r="AH248" s="54">
        <v>1</v>
      </c>
      <c r="AI248" s="54"/>
    </row>
    <row r="249" spans="1:35" x14ac:dyDescent="0.3">
      <c r="A249" s="398"/>
      <c r="B249" s="399"/>
      <c r="C249" s="106" t="s">
        <v>1616</v>
      </c>
      <c r="D249" s="101" t="s">
        <v>8689</v>
      </c>
      <c r="E249" s="198" t="s">
        <v>10985</v>
      </c>
      <c r="F249" s="54" t="s">
        <v>2377</v>
      </c>
      <c r="G249" s="108">
        <v>41049</v>
      </c>
      <c r="H249" s="106" t="s">
        <v>53</v>
      </c>
      <c r="I249" s="54" t="s">
        <v>5396</v>
      </c>
      <c r="J249" s="412" t="s">
        <v>10987</v>
      </c>
      <c r="K249" s="200" t="s">
        <v>10986</v>
      </c>
      <c r="L249" s="54" t="s">
        <v>10988</v>
      </c>
      <c r="M249" s="54" t="s">
        <v>10989</v>
      </c>
      <c r="N249" s="54"/>
      <c r="O249" s="54" t="s">
        <v>5420</v>
      </c>
      <c r="P249" s="200" t="s">
        <v>5415</v>
      </c>
      <c r="Q249" s="200" t="s">
        <v>5421</v>
      </c>
      <c r="R249" s="54" t="s">
        <v>3581</v>
      </c>
      <c r="S249" s="54" t="s">
        <v>5422</v>
      </c>
      <c r="T249" s="54"/>
      <c r="U249" s="54">
        <v>40562</v>
      </c>
      <c r="V249" s="54" t="s">
        <v>10990</v>
      </c>
      <c r="W249" s="200" t="s">
        <v>10991</v>
      </c>
      <c r="X249" s="54" t="s">
        <v>10992</v>
      </c>
      <c r="Y249" s="54" t="s">
        <v>5785</v>
      </c>
      <c r="Z249" s="470" t="s">
        <v>5442</v>
      </c>
      <c r="AA249" s="54" t="s">
        <v>10993</v>
      </c>
      <c r="AB249" s="200" t="s">
        <v>10994</v>
      </c>
      <c r="AC249" s="54" t="s">
        <v>10995</v>
      </c>
      <c r="AD249" s="470" t="s">
        <v>5904</v>
      </c>
      <c r="AE249" s="54" t="s">
        <v>5412</v>
      </c>
      <c r="AF249" s="54" t="s">
        <v>10652</v>
      </c>
      <c r="AG249" s="54"/>
      <c r="AH249" s="54">
        <v>2</v>
      </c>
      <c r="AI249" s="54"/>
    </row>
    <row r="250" spans="1:35" x14ac:dyDescent="0.3">
      <c r="A250" s="398"/>
      <c r="B250" s="399"/>
      <c r="C250" s="106" t="s">
        <v>1616</v>
      </c>
      <c r="D250" s="101" t="s">
        <v>10996</v>
      </c>
      <c r="E250" s="198" t="s">
        <v>10997</v>
      </c>
      <c r="F250" s="54" t="s">
        <v>2377</v>
      </c>
      <c r="G250" s="108">
        <v>41173</v>
      </c>
      <c r="H250" s="106" t="s">
        <v>53</v>
      </c>
      <c r="I250" s="54" t="s">
        <v>5396</v>
      </c>
      <c r="J250" s="200" t="s">
        <v>10998</v>
      </c>
      <c r="K250" s="200" t="s">
        <v>10999</v>
      </c>
      <c r="L250" s="54" t="s">
        <v>11000</v>
      </c>
      <c r="M250" s="54"/>
      <c r="N250" s="54"/>
      <c r="O250" s="54" t="s">
        <v>11003</v>
      </c>
      <c r="P250" s="200" t="s">
        <v>5432</v>
      </c>
      <c r="Q250" s="200" t="s">
        <v>5448</v>
      </c>
      <c r="R250" s="54" t="s">
        <v>7870</v>
      </c>
      <c r="S250" s="54" t="s">
        <v>3961</v>
      </c>
      <c r="T250" s="54"/>
      <c r="U250" s="54">
        <v>40764</v>
      </c>
      <c r="V250" s="54" t="s">
        <v>11001</v>
      </c>
      <c r="W250" s="200" t="s">
        <v>11004</v>
      </c>
      <c r="X250" s="54" t="s">
        <v>11005</v>
      </c>
      <c r="Y250" s="54" t="s">
        <v>5785</v>
      </c>
      <c r="Z250" s="470" t="s">
        <v>5551</v>
      </c>
      <c r="AA250" s="54" t="s">
        <v>2960</v>
      </c>
      <c r="AB250" s="200" t="s">
        <v>11006</v>
      </c>
      <c r="AC250" s="54" t="s">
        <v>11007</v>
      </c>
      <c r="AD250" s="470" t="s">
        <v>5772</v>
      </c>
      <c r="AE250" s="54" t="s">
        <v>5412</v>
      </c>
      <c r="AF250" s="54" t="s">
        <v>11002</v>
      </c>
      <c r="AG250" s="54"/>
      <c r="AH250" s="54"/>
      <c r="AI250" s="54">
        <v>1</v>
      </c>
    </row>
    <row r="251" spans="1:35" x14ac:dyDescent="0.3">
      <c r="A251" s="465"/>
      <c r="B251" s="499"/>
      <c r="C251" s="341"/>
      <c r="D251" s="339"/>
      <c r="E251" s="420"/>
      <c r="F251" s="219"/>
      <c r="G251" s="340"/>
      <c r="H251" s="341"/>
      <c r="I251" s="219"/>
      <c r="J251" s="329"/>
      <c r="K251" s="329"/>
      <c r="L251" s="219"/>
      <c r="M251" s="219"/>
      <c r="N251" s="219"/>
      <c r="O251" s="219"/>
      <c r="P251" s="329"/>
      <c r="Q251" s="329"/>
      <c r="R251" s="219"/>
      <c r="S251" s="219"/>
      <c r="T251" s="219"/>
      <c r="U251" s="219"/>
      <c r="V251" s="219"/>
      <c r="W251" s="329"/>
      <c r="X251" s="219"/>
      <c r="Y251" s="219"/>
      <c r="Z251" s="469"/>
      <c r="AA251" s="219"/>
      <c r="AB251" s="329"/>
      <c r="AC251" s="219"/>
      <c r="AD251" s="469"/>
      <c r="AE251" s="219"/>
      <c r="AF251" s="219"/>
      <c r="AG251" s="219"/>
      <c r="AH251" s="219"/>
      <c r="AI251" s="219"/>
    </row>
    <row r="252" spans="1:35" x14ac:dyDescent="0.3">
      <c r="D252" s="3" t="s">
        <v>7925</v>
      </c>
      <c r="E252" s="51">
        <f>COUNTIF(H3:H249,"L")</f>
        <v>122</v>
      </c>
    </row>
    <row r="253" spans="1:35" x14ac:dyDescent="0.3">
      <c r="A253"/>
      <c r="C253"/>
      <c r="D253" t="s">
        <v>7926</v>
      </c>
      <c r="E253" s="397">
        <f>COUNTIF(H3:H250,"P")</f>
        <v>125</v>
      </c>
      <c r="K253" s="498"/>
    </row>
    <row r="254" spans="1:35" x14ac:dyDescent="0.3">
      <c r="A254"/>
      <c r="C254"/>
      <c r="D254" t="s">
        <v>363</v>
      </c>
      <c r="E254" s="397">
        <f>SUM(E252:E253)</f>
        <v>247</v>
      </c>
      <c r="K254" s="498"/>
    </row>
    <row r="255" spans="1:35" x14ac:dyDescent="0.3">
      <c r="A255"/>
      <c r="C255"/>
      <c r="K255" s="498"/>
    </row>
    <row r="256" spans="1:35" x14ac:dyDescent="0.3">
      <c r="A256"/>
      <c r="C256"/>
      <c r="K256" s="498"/>
    </row>
    <row r="257" spans="1:11" x14ac:dyDescent="0.3">
      <c r="A257"/>
      <c r="C257"/>
      <c r="K257" s="498"/>
    </row>
    <row r="258" spans="1:11" x14ac:dyDescent="0.3">
      <c r="A258"/>
      <c r="C258"/>
      <c r="K258" s="498"/>
    </row>
    <row r="259" spans="1:11" x14ac:dyDescent="0.3">
      <c r="A259"/>
      <c r="C259"/>
      <c r="K259" s="498"/>
    </row>
    <row r="260" spans="1:11" x14ac:dyDescent="0.3">
      <c r="A260"/>
      <c r="C260"/>
      <c r="K260" s="498"/>
    </row>
    <row r="261" spans="1:11" x14ac:dyDescent="0.3">
      <c r="A261"/>
      <c r="C261"/>
      <c r="K261" s="498"/>
    </row>
    <row r="262" spans="1:11" x14ac:dyDescent="0.3">
      <c r="A262"/>
      <c r="C262"/>
      <c r="K262" s="498"/>
    </row>
    <row r="263" spans="1:11" x14ac:dyDescent="0.3">
      <c r="A263"/>
      <c r="C263"/>
      <c r="K263" s="498"/>
    </row>
    <row r="264" spans="1:11" x14ac:dyDescent="0.3">
      <c r="A264"/>
      <c r="C264"/>
      <c r="K264" s="498"/>
    </row>
    <row r="265" spans="1:11" x14ac:dyDescent="0.3">
      <c r="A265"/>
      <c r="C265"/>
      <c r="K265" s="498"/>
    </row>
    <row r="266" spans="1:11" x14ac:dyDescent="0.3">
      <c r="A266"/>
      <c r="C266"/>
      <c r="K266" s="498"/>
    </row>
    <row r="267" spans="1:11" x14ac:dyDescent="0.3">
      <c r="A267"/>
      <c r="C267"/>
      <c r="K267" s="498"/>
    </row>
    <row r="268" spans="1:11" x14ac:dyDescent="0.3">
      <c r="A268"/>
      <c r="C268"/>
      <c r="K268" s="498"/>
    </row>
    <row r="269" spans="1:11" x14ac:dyDescent="0.3">
      <c r="A269"/>
      <c r="C269"/>
      <c r="K269" s="498"/>
    </row>
    <row r="270" spans="1:11" x14ac:dyDescent="0.3">
      <c r="A270"/>
      <c r="C270"/>
      <c r="K270" s="498"/>
    </row>
    <row r="271" spans="1:11" x14ac:dyDescent="0.3">
      <c r="A271"/>
      <c r="C271"/>
      <c r="K271" s="498"/>
    </row>
    <row r="272" spans="1:11" x14ac:dyDescent="0.3">
      <c r="A272"/>
      <c r="C272"/>
      <c r="K272" s="498"/>
    </row>
    <row r="273" spans="1:11" x14ac:dyDescent="0.3">
      <c r="A273"/>
      <c r="C273"/>
      <c r="K273" s="498"/>
    </row>
    <row r="274" spans="1:11" x14ac:dyDescent="0.3">
      <c r="A274"/>
      <c r="C274"/>
    </row>
    <row r="275" spans="1:11" x14ac:dyDescent="0.3">
      <c r="A275"/>
      <c r="C275"/>
    </row>
    <row r="276" spans="1:11" x14ac:dyDescent="0.3">
      <c r="A276"/>
      <c r="C276"/>
    </row>
    <row r="277" spans="1:11" x14ac:dyDescent="0.3">
      <c r="A277"/>
      <c r="C277"/>
    </row>
    <row r="278" spans="1:11" x14ac:dyDescent="0.3">
      <c r="A278"/>
      <c r="C278"/>
    </row>
    <row r="279" spans="1:11" x14ac:dyDescent="0.3">
      <c r="A279"/>
      <c r="C279"/>
    </row>
    <row r="280" spans="1:11" x14ac:dyDescent="0.3">
      <c r="A280"/>
      <c r="C280"/>
    </row>
    <row r="281" spans="1:11" x14ac:dyDescent="0.3">
      <c r="A281"/>
      <c r="C281"/>
    </row>
    <row r="282" spans="1:11" x14ac:dyDescent="0.3">
      <c r="A282"/>
      <c r="C282"/>
    </row>
    <row r="283" spans="1:11" x14ac:dyDescent="0.3">
      <c r="A283"/>
      <c r="C283"/>
    </row>
    <row r="284" spans="1:11" x14ac:dyDescent="0.3">
      <c r="A284"/>
      <c r="C284"/>
    </row>
    <row r="285" spans="1:11" x14ac:dyDescent="0.3">
      <c r="A285"/>
      <c r="C285"/>
    </row>
    <row r="286" spans="1:11" x14ac:dyDescent="0.3">
      <c r="A286"/>
      <c r="C286"/>
    </row>
    <row r="287" spans="1:11" x14ac:dyDescent="0.3">
      <c r="A287"/>
      <c r="C287"/>
    </row>
    <row r="288" spans="1:11" x14ac:dyDescent="0.3">
      <c r="A288"/>
      <c r="C288"/>
    </row>
    <row r="289" spans="1:3" x14ac:dyDescent="0.3">
      <c r="A289"/>
      <c r="C289"/>
    </row>
    <row r="290" spans="1:3" x14ac:dyDescent="0.3">
      <c r="A290"/>
      <c r="C290"/>
    </row>
    <row r="291" spans="1:3" x14ac:dyDescent="0.3">
      <c r="A291"/>
      <c r="C291"/>
    </row>
    <row r="292" spans="1:3" x14ac:dyDescent="0.3">
      <c r="A292"/>
      <c r="C292"/>
    </row>
    <row r="293" spans="1:3" x14ac:dyDescent="0.3">
      <c r="A293"/>
      <c r="C293"/>
    </row>
    <row r="294" spans="1:3" x14ac:dyDescent="0.3">
      <c r="A294"/>
      <c r="C294"/>
    </row>
    <row r="295" spans="1:3" x14ac:dyDescent="0.3">
      <c r="A295"/>
      <c r="C295"/>
    </row>
    <row r="296" spans="1:3" x14ac:dyDescent="0.3">
      <c r="A296"/>
      <c r="C296"/>
    </row>
    <row r="297" spans="1:3" x14ac:dyDescent="0.3">
      <c r="A297"/>
      <c r="C297"/>
    </row>
    <row r="298" spans="1:3" x14ac:dyDescent="0.3">
      <c r="A298"/>
      <c r="C298"/>
    </row>
    <row r="299" spans="1:3" x14ac:dyDescent="0.3">
      <c r="A299"/>
      <c r="C299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/>
    </row>
    <row r="304" spans="1:3" x14ac:dyDescent="0.3">
      <c r="A304"/>
      <c r="C304"/>
    </row>
    <row r="305" spans="1:3" x14ac:dyDescent="0.3">
      <c r="A305"/>
      <c r="C305"/>
    </row>
    <row r="306" spans="1:3" x14ac:dyDescent="0.3">
      <c r="A306"/>
      <c r="C306"/>
    </row>
    <row r="307" spans="1:3" x14ac:dyDescent="0.3">
      <c r="A307"/>
      <c r="C307"/>
    </row>
    <row r="308" spans="1:3" x14ac:dyDescent="0.3">
      <c r="A308"/>
      <c r="C308"/>
    </row>
    <row r="309" spans="1:3" x14ac:dyDescent="0.3">
      <c r="A309"/>
      <c r="C309"/>
    </row>
    <row r="310" spans="1:3" x14ac:dyDescent="0.3">
      <c r="A310"/>
      <c r="C310"/>
    </row>
    <row r="311" spans="1:3" x14ac:dyDescent="0.3">
      <c r="A311"/>
      <c r="C311"/>
    </row>
    <row r="312" spans="1:3" x14ac:dyDescent="0.3">
      <c r="A312"/>
      <c r="C312"/>
    </row>
    <row r="313" spans="1:3" x14ac:dyDescent="0.3">
      <c r="A313"/>
      <c r="C313"/>
    </row>
    <row r="314" spans="1:3" x14ac:dyDescent="0.3">
      <c r="A314"/>
      <c r="C314"/>
    </row>
    <row r="315" spans="1:3" x14ac:dyDescent="0.3">
      <c r="A315"/>
      <c r="C315"/>
    </row>
    <row r="316" spans="1:3" x14ac:dyDescent="0.3">
      <c r="A316"/>
      <c r="C316"/>
    </row>
    <row r="317" spans="1:3" x14ac:dyDescent="0.3">
      <c r="A317"/>
      <c r="C317"/>
    </row>
    <row r="318" spans="1:3" x14ac:dyDescent="0.3">
      <c r="A318"/>
      <c r="C318"/>
    </row>
    <row r="319" spans="1:3" x14ac:dyDescent="0.3">
      <c r="A319"/>
      <c r="C319"/>
    </row>
    <row r="320" spans="1:3" x14ac:dyDescent="0.3">
      <c r="A320"/>
      <c r="C320"/>
    </row>
    <row r="321" spans="1:3" x14ac:dyDescent="0.3">
      <c r="A321"/>
      <c r="C321"/>
    </row>
    <row r="322" spans="1:3" x14ac:dyDescent="0.3">
      <c r="A322"/>
      <c r="C322"/>
    </row>
    <row r="323" spans="1:3" x14ac:dyDescent="0.3">
      <c r="A323"/>
      <c r="C323"/>
    </row>
    <row r="324" spans="1:3" x14ac:dyDescent="0.3">
      <c r="A324"/>
      <c r="C324"/>
    </row>
    <row r="325" spans="1:3" x14ac:dyDescent="0.3">
      <c r="A325"/>
      <c r="C325"/>
    </row>
    <row r="1048528" spans="21:21" x14ac:dyDescent="0.3">
      <c r="U1048528" s="463">
        <v>40764</v>
      </c>
    </row>
  </sheetData>
  <mergeCells count="21">
    <mergeCell ref="M1:M2"/>
    <mergeCell ref="A1:A2"/>
    <mergeCell ref="B1:B2"/>
    <mergeCell ref="C1:C2"/>
    <mergeCell ref="D1:D2"/>
    <mergeCell ref="E1:E2"/>
    <mergeCell ref="F1:G2"/>
    <mergeCell ref="H1:H2"/>
    <mergeCell ref="I1:I2"/>
    <mergeCell ref="J1:J2"/>
    <mergeCell ref="K1:K2"/>
    <mergeCell ref="L1:L2"/>
    <mergeCell ref="AG1:AG2"/>
    <mergeCell ref="AH1:AH2"/>
    <mergeCell ref="AI1:AI2"/>
    <mergeCell ref="N1:N2"/>
    <mergeCell ref="O1:S1"/>
    <mergeCell ref="T1:T2"/>
    <mergeCell ref="U1:U2"/>
    <mergeCell ref="W1:AE1"/>
    <mergeCell ref="AF1:A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559B-7F25-438A-A98F-655FA334EF2D}">
  <dimension ref="A1:AI212"/>
  <sheetViews>
    <sheetView topLeftCell="A86" workbookViewId="0">
      <selection activeCell="D104" sqref="D104"/>
    </sheetView>
  </sheetViews>
  <sheetFormatPr defaultRowHeight="14.4" x14ac:dyDescent="0.3"/>
  <cols>
    <col min="4" max="4" width="31" customWidth="1"/>
    <col min="5" max="5" width="24.33203125" customWidth="1"/>
    <col min="7" max="7" width="16.88671875" customWidth="1"/>
    <col min="10" max="10" width="23" customWidth="1"/>
    <col min="11" max="11" width="20" customWidth="1"/>
    <col min="12" max="12" width="23.6640625" customWidth="1"/>
    <col min="22" max="22" width="19.44140625" customWidth="1"/>
    <col min="23" max="23" width="25.44140625" customWidth="1"/>
    <col min="24" max="28" width="18.88671875" customWidth="1"/>
    <col min="29" max="29" width="25.6640625" customWidth="1"/>
    <col min="30" max="30" width="18.88671875" customWidth="1"/>
    <col min="32" max="32" width="27.5546875" customWidth="1"/>
  </cols>
  <sheetData>
    <row r="1" spans="1:35" x14ac:dyDescent="0.3">
      <c r="A1" s="520" t="s">
        <v>5</v>
      </c>
      <c r="B1" s="522" t="s">
        <v>5369</v>
      </c>
      <c r="C1" s="524" t="s">
        <v>5370</v>
      </c>
      <c r="D1" s="526" t="s">
        <v>6</v>
      </c>
      <c r="E1" s="526" t="s">
        <v>2305</v>
      </c>
      <c r="F1" s="528" t="s">
        <v>5371</v>
      </c>
      <c r="G1" s="529"/>
      <c r="H1" s="513" t="s">
        <v>5372</v>
      </c>
      <c r="I1" s="513" t="s">
        <v>5373</v>
      </c>
      <c r="J1" s="513" t="s">
        <v>5374</v>
      </c>
      <c r="K1" s="513" t="s">
        <v>2308</v>
      </c>
      <c r="L1" s="513" t="s">
        <v>5375</v>
      </c>
      <c r="M1" s="513" t="s">
        <v>5376</v>
      </c>
      <c r="N1" s="513" t="s">
        <v>5377</v>
      </c>
      <c r="O1" s="515" t="s">
        <v>5378</v>
      </c>
      <c r="P1" s="516"/>
      <c r="Q1" s="516"/>
      <c r="R1" s="516"/>
      <c r="S1" s="517"/>
      <c r="T1" s="507" t="s">
        <v>5379</v>
      </c>
      <c r="U1" s="518" t="s">
        <v>5380</v>
      </c>
      <c r="V1" s="184"/>
      <c r="W1" s="515" t="s">
        <v>5381</v>
      </c>
      <c r="X1" s="516"/>
      <c r="Y1" s="516"/>
      <c r="Z1" s="516"/>
      <c r="AA1" s="516"/>
      <c r="AB1" s="516"/>
      <c r="AC1" s="516"/>
      <c r="AD1" s="516"/>
      <c r="AE1" s="516"/>
      <c r="AF1" s="507" t="s">
        <v>5382</v>
      </c>
      <c r="AG1" s="507" t="s">
        <v>5383</v>
      </c>
      <c r="AH1" s="509" t="s">
        <v>5384</v>
      </c>
      <c r="AI1" s="511" t="s">
        <v>5385</v>
      </c>
    </row>
    <row r="2" spans="1:35" ht="28.8" x14ac:dyDescent="0.3">
      <c r="A2" s="521"/>
      <c r="B2" s="523"/>
      <c r="C2" s="525"/>
      <c r="D2" s="527"/>
      <c r="E2" s="527"/>
      <c r="F2" s="530"/>
      <c r="G2" s="531"/>
      <c r="H2" s="514"/>
      <c r="I2" s="514"/>
      <c r="J2" s="514"/>
      <c r="K2" s="514"/>
      <c r="L2" s="514"/>
      <c r="M2" s="514"/>
      <c r="N2" s="514"/>
      <c r="O2" s="183" t="s">
        <v>5386</v>
      </c>
      <c r="P2" s="183" t="s">
        <v>2311</v>
      </c>
      <c r="Q2" s="183" t="s">
        <v>2312</v>
      </c>
      <c r="R2" s="183" t="s">
        <v>5387</v>
      </c>
      <c r="S2" s="183" t="s">
        <v>5388</v>
      </c>
      <c r="T2" s="508"/>
      <c r="U2" s="519"/>
      <c r="V2" s="183" t="s">
        <v>5389</v>
      </c>
      <c r="W2" s="186" t="s">
        <v>2308</v>
      </c>
      <c r="X2" s="186" t="s">
        <v>5390</v>
      </c>
      <c r="Y2" s="187" t="s">
        <v>5391</v>
      </c>
      <c r="Z2" s="185" t="s">
        <v>5392</v>
      </c>
      <c r="AA2" s="183" t="s">
        <v>5393</v>
      </c>
      <c r="AB2" s="186" t="s">
        <v>2308</v>
      </c>
      <c r="AC2" s="186" t="s">
        <v>5390</v>
      </c>
      <c r="AD2" s="187" t="s">
        <v>5391</v>
      </c>
      <c r="AE2" s="185" t="s">
        <v>5392</v>
      </c>
      <c r="AF2" s="508"/>
      <c r="AG2" s="508"/>
      <c r="AH2" s="510"/>
      <c r="AI2" s="512"/>
    </row>
    <row r="3" spans="1:35" ht="13.5" customHeight="1" x14ac:dyDescent="0.3">
      <c r="A3" s="106">
        <v>1</v>
      </c>
      <c r="B3" s="188" t="s">
        <v>5394</v>
      </c>
      <c r="C3" s="189" t="s">
        <v>1613</v>
      </c>
      <c r="D3" s="169" t="s">
        <v>5167</v>
      </c>
      <c r="E3" s="190" t="s">
        <v>5395</v>
      </c>
      <c r="F3" s="191" t="s">
        <v>2352</v>
      </c>
      <c r="G3" s="192">
        <v>40574</v>
      </c>
      <c r="H3" s="193" t="s">
        <v>52</v>
      </c>
      <c r="I3" s="193" t="s">
        <v>5396</v>
      </c>
      <c r="J3" s="194" t="s">
        <v>5397</v>
      </c>
      <c r="K3" s="194" t="s">
        <v>5398</v>
      </c>
      <c r="L3" s="193" t="s">
        <v>5399</v>
      </c>
      <c r="M3" s="193"/>
      <c r="N3" s="193"/>
      <c r="O3" s="195" t="s">
        <v>5400</v>
      </c>
      <c r="P3" s="196" t="s">
        <v>5401</v>
      </c>
      <c r="Q3" s="196" t="s">
        <v>5394</v>
      </c>
      <c r="R3" s="195" t="s">
        <v>5402</v>
      </c>
      <c r="S3" s="195" t="s">
        <v>5403</v>
      </c>
      <c r="T3" s="197"/>
      <c r="U3" s="197">
        <v>40221</v>
      </c>
      <c r="V3" s="195" t="s">
        <v>5404</v>
      </c>
      <c r="W3" s="198" t="s">
        <v>5405</v>
      </c>
      <c r="X3" s="106" t="s">
        <v>5406</v>
      </c>
      <c r="Y3" s="106" t="s">
        <v>5407</v>
      </c>
      <c r="Z3" s="106" t="s">
        <v>5408</v>
      </c>
      <c r="AA3" s="195" t="s">
        <v>5409</v>
      </c>
      <c r="AB3" s="198" t="s">
        <v>5410</v>
      </c>
      <c r="AC3" s="106" t="s">
        <v>5411</v>
      </c>
      <c r="AD3" s="106" t="s">
        <v>5407</v>
      </c>
      <c r="AE3" s="106" t="s">
        <v>5412</v>
      </c>
      <c r="AF3" s="195" t="s">
        <v>5413</v>
      </c>
      <c r="AG3" s="197"/>
      <c r="AH3" s="199">
        <v>5</v>
      </c>
      <c r="AI3" s="200" t="s">
        <v>5414</v>
      </c>
    </row>
    <row r="4" spans="1:35" ht="13.5" customHeight="1" x14ac:dyDescent="0.3">
      <c r="A4" s="106">
        <v>2</v>
      </c>
      <c r="B4" s="188" t="s">
        <v>5415</v>
      </c>
      <c r="C4" s="189" t="s">
        <v>1616</v>
      </c>
      <c r="D4" s="169" t="s">
        <v>5168</v>
      </c>
      <c r="E4" s="201" t="s">
        <v>5416</v>
      </c>
      <c r="F4" s="191" t="s">
        <v>2352</v>
      </c>
      <c r="G4" s="192">
        <v>40690</v>
      </c>
      <c r="H4" s="193" t="s">
        <v>53</v>
      </c>
      <c r="I4" s="193" t="s">
        <v>5396</v>
      </c>
      <c r="J4" s="194" t="s">
        <v>5417</v>
      </c>
      <c r="K4" s="202" t="s">
        <v>5418</v>
      </c>
      <c r="L4" s="193" t="s">
        <v>5419</v>
      </c>
      <c r="M4" s="193"/>
      <c r="N4" s="193"/>
      <c r="O4" s="195" t="s">
        <v>5420</v>
      </c>
      <c r="P4" s="196" t="s">
        <v>5415</v>
      </c>
      <c r="Q4" s="196" t="s">
        <v>5421</v>
      </c>
      <c r="R4" s="195" t="s">
        <v>3581</v>
      </c>
      <c r="S4" s="195" t="s">
        <v>5422</v>
      </c>
      <c r="T4" s="197"/>
      <c r="U4" s="197">
        <v>40562</v>
      </c>
      <c r="V4" s="195" t="s">
        <v>5423</v>
      </c>
      <c r="W4" s="198" t="s">
        <v>5424</v>
      </c>
      <c r="X4" s="106" t="s">
        <v>5425</v>
      </c>
      <c r="Y4" s="106" t="s">
        <v>5426</v>
      </c>
      <c r="Z4" s="106" t="s">
        <v>5427</v>
      </c>
      <c r="AA4" s="195" t="s">
        <v>5428</v>
      </c>
      <c r="AB4" s="198" t="s">
        <v>5429</v>
      </c>
      <c r="AC4" s="106" t="s">
        <v>5430</v>
      </c>
      <c r="AD4" s="106" t="s">
        <v>5407</v>
      </c>
      <c r="AE4" s="106" t="s">
        <v>5412</v>
      </c>
      <c r="AF4" s="195" t="s">
        <v>5431</v>
      </c>
      <c r="AG4" s="197"/>
      <c r="AH4" s="199">
        <v>2</v>
      </c>
      <c r="AI4" s="200"/>
    </row>
    <row r="5" spans="1:35" ht="13.5" customHeight="1" x14ac:dyDescent="0.3">
      <c r="A5" s="203">
        <v>3</v>
      </c>
      <c r="B5" s="204" t="s">
        <v>5432</v>
      </c>
      <c r="C5" s="205" t="s">
        <v>1617</v>
      </c>
      <c r="D5" s="206" t="s">
        <v>5326</v>
      </c>
      <c r="E5" s="207" t="s">
        <v>5433</v>
      </c>
      <c r="F5" s="208" t="s">
        <v>2377</v>
      </c>
      <c r="G5" s="209">
        <v>40425</v>
      </c>
      <c r="H5" s="210" t="s">
        <v>53</v>
      </c>
      <c r="I5" s="210" t="s">
        <v>5396</v>
      </c>
      <c r="J5" s="211" t="s">
        <v>5434</v>
      </c>
      <c r="K5" s="212" t="s">
        <v>5435</v>
      </c>
      <c r="L5" s="210" t="s">
        <v>5436</v>
      </c>
      <c r="M5" s="210" t="s">
        <v>5437</v>
      </c>
      <c r="N5" s="210" t="s">
        <v>5438</v>
      </c>
      <c r="O5" s="213" t="s">
        <v>5420</v>
      </c>
      <c r="P5" s="214" t="s">
        <v>5432</v>
      </c>
      <c r="Q5" s="214" t="s">
        <v>5421</v>
      </c>
      <c r="R5" s="213" t="s">
        <v>3581</v>
      </c>
      <c r="S5" s="213" t="s">
        <v>5422</v>
      </c>
      <c r="T5" s="215"/>
      <c r="U5" s="215">
        <v>40562</v>
      </c>
      <c r="V5" s="213" t="s">
        <v>5439</v>
      </c>
      <c r="W5" s="216" t="s">
        <v>5440</v>
      </c>
      <c r="X5" s="203" t="s">
        <v>5441</v>
      </c>
      <c r="Y5" s="203" t="s">
        <v>5426</v>
      </c>
      <c r="Z5" s="203" t="s">
        <v>5442</v>
      </c>
      <c r="AA5" s="213" t="s">
        <v>5443</v>
      </c>
      <c r="AB5" s="216" t="s">
        <v>5444</v>
      </c>
      <c r="AC5" s="203" t="s">
        <v>5445</v>
      </c>
      <c r="AD5" s="203" t="s">
        <v>5426</v>
      </c>
      <c r="AE5" s="203" t="s">
        <v>5412</v>
      </c>
      <c r="AF5" s="213" t="s">
        <v>5446</v>
      </c>
      <c r="AG5" s="213"/>
      <c r="AH5" s="217">
        <v>1</v>
      </c>
      <c r="AI5" s="218" t="s">
        <v>5447</v>
      </c>
    </row>
    <row r="6" spans="1:35" ht="13.5" customHeight="1" x14ac:dyDescent="0.3">
      <c r="A6" s="106">
        <v>4</v>
      </c>
      <c r="B6" s="188" t="s">
        <v>5448</v>
      </c>
      <c r="C6" s="189" t="s">
        <v>13</v>
      </c>
      <c r="D6" s="169" t="s">
        <v>5169</v>
      </c>
      <c r="E6" s="201" t="s">
        <v>5449</v>
      </c>
      <c r="F6" s="191" t="s">
        <v>2352</v>
      </c>
      <c r="G6" s="192">
        <v>40743</v>
      </c>
      <c r="H6" s="193" t="s">
        <v>53</v>
      </c>
      <c r="I6" s="193" t="s">
        <v>5396</v>
      </c>
      <c r="J6" s="194" t="s">
        <v>5450</v>
      </c>
      <c r="K6" s="202" t="s">
        <v>5451</v>
      </c>
      <c r="L6" s="193" t="s">
        <v>5452</v>
      </c>
      <c r="M6" s="219"/>
      <c r="N6" s="193"/>
      <c r="O6" s="195" t="s">
        <v>5453</v>
      </c>
      <c r="P6" s="196" t="s">
        <v>5415</v>
      </c>
      <c r="Q6" s="196" t="s">
        <v>5415</v>
      </c>
      <c r="R6" s="195" t="s">
        <v>2485</v>
      </c>
      <c r="S6" s="195" t="s">
        <v>5422</v>
      </c>
      <c r="T6" s="197"/>
      <c r="U6" s="197">
        <v>40562</v>
      </c>
      <c r="V6" s="195" t="s">
        <v>5454</v>
      </c>
      <c r="W6" s="198"/>
      <c r="X6" s="106"/>
      <c r="Y6" s="106"/>
      <c r="Z6" s="106"/>
      <c r="AA6" s="195" t="s">
        <v>5455</v>
      </c>
      <c r="AB6" s="198" t="s">
        <v>5456</v>
      </c>
      <c r="AC6" s="106" t="s">
        <v>5457</v>
      </c>
      <c r="AD6" s="106" t="s">
        <v>5407</v>
      </c>
      <c r="AE6" s="106" t="s">
        <v>5412</v>
      </c>
      <c r="AF6" s="195" t="s">
        <v>5458</v>
      </c>
      <c r="AG6" s="196" t="s">
        <v>5459</v>
      </c>
      <c r="AH6" s="199">
        <v>1</v>
      </c>
      <c r="AI6" s="200" t="s">
        <v>5460</v>
      </c>
    </row>
    <row r="7" spans="1:35" ht="13.5" customHeight="1" x14ac:dyDescent="0.3">
      <c r="A7" s="203">
        <v>5</v>
      </c>
      <c r="B7" s="204" t="s">
        <v>5461</v>
      </c>
      <c r="C7" s="205" t="s">
        <v>1617</v>
      </c>
      <c r="D7" s="206" t="s">
        <v>5327</v>
      </c>
      <c r="E7" s="207">
        <v>3114960834</v>
      </c>
      <c r="F7" s="208" t="s">
        <v>2377</v>
      </c>
      <c r="G7" s="220" t="s">
        <v>5462</v>
      </c>
      <c r="H7" s="210" t="s">
        <v>53</v>
      </c>
      <c r="I7" s="210" t="s">
        <v>5396</v>
      </c>
      <c r="J7" s="211" t="s">
        <v>5463</v>
      </c>
      <c r="K7" s="212" t="s">
        <v>5464</v>
      </c>
      <c r="L7" s="210" t="s">
        <v>5465</v>
      </c>
      <c r="M7" s="210" t="s">
        <v>5466</v>
      </c>
      <c r="N7" s="210" t="s">
        <v>5467</v>
      </c>
      <c r="O7" s="213" t="s">
        <v>5420</v>
      </c>
      <c r="P7" s="214">
        <v>1</v>
      </c>
      <c r="Q7" s="214">
        <v>13</v>
      </c>
      <c r="R7" s="213" t="s">
        <v>3581</v>
      </c>
      <c r="S7" s="213" t="s">
        <v>5422</v>
      </c>
      <c r="T7" s="215"/>
      <c r="U7" s="215">
        <v>40562</v>
      </c>
      <c r="V7" s="213" t="s">
        <v>5468</v>
      </c>
      <c r="W7" s="216" t="s">
        <v>5469</v>
      </c>
      <c r="X7" s="203" t="s">
        <v>5470</v>
      </c>
      <c r="Y7" s="203" t="s">
        <v>5426</v>
      </c>
      <c r="Z7" s="203" t="s">
        <v>5442</v>
      </c>
      <c r="AA7" s="213" t="s">
        <v>5471</v>
      </c>
      <c r="AB7" s="216" t="s">
        <v>5472</v>
      </c>
      <c r="AC7" s="203" t="s">
        <v>5473</v>
      </c>
      <c r="AD7" s="203" t="s">
        <v>5474</v>
      </c>
      <c r="AE7" s="203" t="s">
        <v>5412</v>
      </c>
      <c r="AF7" s="213" t="s">
        <v>5446</v>
      </c>
      <c r="AG7" s="215"/>
      <c r="AH7" s="217">
        <v>1</v>
      </c>
      <c r="AI7" s="218" t="s">
        <v>5475</v>
      </c>
    </row>
    <row r="8" spans="1:35" ht="13.5" customHeight="1" x14ac:dyDescent="0.3">
      <c r="A8" s="106">
        <v>6</v>
      </c>
      <c r="B8" s="188" t="s">
        <v>5157</v>
      </c>
      <c r="C8" s="189" t="s">
        <v>13</v>
      </c>
      <c r="D8" s="169" t="s">
        <v>5170</v>
      </c>
      <c r="E8" s="201" t="s">
        <v>5476</v>
      </c>
      <c r="F8" s="191" t="s">
        <v>2377</v>
      </c>
      <c r="G8" s="192">
        <v>40841</v>
      </c>
      <c r="H8" s="193" t="s">
        <v>52</v>
      </c>
      <c r="I8" s="193" t="s">
        <v>5396</v>
      </c>
      <c r="J8" s="194" t="s">
        <v>5477</v>
      </c>
      <c r="K8" s="202" t="s">
        <v>5478</v>
      </c>
      <c r="L8" s="194" t="s">
        <v>5479</v>
      </c>
      <c r="M8" s="193"/>
      <c r="N8" s="193"/>
      <c r="O8" s="195" t="s">
        <v>5480</v>
      </c>
      <c r="P8" s="196">
        <v>1</v>
      </c>
      <c r="Q8" s="196">
        <v>3</v>
      </c>
      <c r="R8" s="195" t="s">
        <v>2399</v>
      </c>
      <c r="S8" s="195" t="s">
        <v>3961</v>
      </c>
      <c r="T8" s="197"/>
      <c r="U8" s="197"/>
      <c r="V8" s="195" t="s">
        <v>5481</v>
      </c>
      <c r="W8" s="198" t="s">
        <v>5482</v>
      </c>
      <c r="X8" s="106" t="s">
        <v>5483</v>
      </c>
      <c r="Y8" s="106" t="s">
        <v>5426</v>
      </c>
      <c r="Z8" s="106" t="s">
        <v>5442</v>
      </c>
      <c r="AA8" s="195" t="s">
        <v>5484</v>
      </c>
      <c r="AB8" s="198" t="s">
        <v>5485</v>
      </c>
      <c r="AC8" s="106" t="s">
        <v>5486</v>
      </c>
      <c r="AD8" s="106" t="s">
        <v>5407</v>
      </c>
      <c r="AE8" s="106" t="s">
        <v>5412</v>
      </c>
      <c r="AF8" s="195" t="s">
        <v>5487</v>
      </c>
      <c r="AG8" s="195"/>
      <c r="AH8" s="199">
        <v>2</v>
      </c>
      <c r="AI8" s="200" t="s">
        <v>5488</v>
      </c>
    </row>
    <row r="9" spans="1:35" ht="13.5" customHeight="1" x14ac:dyDescent="0.3">
      <c r="A9" s="203">
        <v>7</v>
      </c>
      <c r="B9" s="204" t="s">
        <v>5401</v>
      </c>
      <c r="C9" s="205" t="s">
        <v>13</v>
      </c>
      <c r="D9" s="221" t="s">
        <v>5171</v>
      </c>
      <c r="E9" s="207" t="s">
        <v>5489</v>
      </c>
      <c r="F9" s="208" t="s">
        <v>2377</v>
      </c>
      <c r="G9" s="209">
        <v>40575</v>
      </c>
      <c r="H9" s="210" t="s">
        <v>53</v>
      </c>
      <c r="I9" s="210" t="s">
        <v>5396</v>
      </c>
      <c r="J9" s="211" t="s">
        <v>5490</v>
      </c>
      <c r="K9" s="212" t="s">
        <v>5491</v>
      </c>
      <c r="L9" s="210" t="s">
        <v>5492</v>
      </c>
      <c r="M9" s="210"/>
      <c r="N9" s="210"/>
      <c r="O9" s="213" t="s">
        <v>3147</v>
      </c>
      <c r="P9" s="214">
        <v>1</v>
      </c>
      <c r="Q9" s="214">
        <v>5</v>
      </c>
      <c r="R9" s="213" t="s">
        <v>3581</v>
      </c>
      <c r="S9" s="213" t="s">
        <v>5422</v>
      </c>
      <c r="T9" s="215"/>
      <c r="U9" s="215">
        <v>40562</v>
      </c>
      <c r="V9" s="213" t="s">
        <v>5493</v>
      </c>
      <c r="W9" s="216" t="s">
        <v>5494</v>
      </c>
      <c r="X9" s="203" t="s">
        <v>5495</v>
      </c>
      <c r="Y9" s="203" t="s">
        <v>5426</v>
      </c>
      <c r="Z9" s="203" t="s">
        <v>5442</v>
      </c>
      <c r="AA9" s="213" t="s">
        <v>5496</v>
      </c>
      <c r="AB9" s="216" t="s">
        <v>5497</v>
      </c>
      <c r="AC9" s="203" t="s">
        <v>5498</v>
      </c>
      <c r="AD9" s="203" t="s">
        <v>5426</v>
      </c>
      <c r="AE9" s="203" t="s">
        <v>5412</v>
      </c>
      <c r="AF9" s="213" t="s">
        <v>5499</v>
      </c>
      <c r="AG9" s="214" t="s">
        <v>5500</v>
      </c>
      <c r="AH9" s="217">
        <v>2</v>
      </c>
      <c r="AI9" s="218" t="s">
        <v>5501</v>
      </c>
    </row>
    <row r="10" spans="1:35" ht="13.5" customHeight="1" x14ac:dyDescent="0.3">
      <c r="A10" s="50">
        <v>8</v>
      </c>
      <c r="B10" s="222" t="s">
        <v>5502</v>
      </c>
      <c r="C10" s="223" t="s">
        <v>13</v>
      </c>
      <c r="D10" s="43" t="s">
        <v>5503</v>
      </c>
      <c r="E10" s="224">
        <v>118101551</v>
      </c>
      <c r="F10" s="225" t="s">
        <v>2352</v>
      </c>
      <c r="G10" s="226">
        <v>40680</v>
      </c>
      <c r="H10" s="48"/>
      <c r="I10" s="48" t="s">
        <v>5396</v>
      </c>
      <c r="J10" s="227" t="s">
        <v>5504</v>
      </c>
      <c r="K10" s="228" t="s">
        <v>5505</v>
      </c>
      <c r="L10" s="48" t="s">
        <v>5506</v>
      </c>
      <c r="M10" s="48"/>
      <c r="N10" s="48"/>
      <c r="O10" s="229" t="s">
        <v>5507</v>
      </c>
      <c r="P10" s="230">
        <v>3</v>
      </c>
      <c r="Q10" s="230">
        <v>7</v>
      </c>
      <c r="R10" s="229" t="s">
        <v>3581</v>
      </c>
      <c r="S10" s="229" t="s">
        <v>5422</v>
      </c>
      <c r="T10" s="231"/>
      <c r="U10" s="231">
        <v>40562</v>
      </c>
      <c r="V10" s="229" t="s">
        <v>5508</v>
      </c>
      <c r="W10" s="232"/>
      <c r="X10" s="50"/>
      <c r="Y10" s="50"/>
      <c r="Z10" s="50"/>
      <c r="AA10" s="229" t="s">
        <v>5509</v>
      </c>
      <c r="AB10" s="232" t="s">
        <v>5510</v>
      </c>
      <c r="AC10" s="50" t="s">
        <v>5511</v>
      </c>
      <c r="AD10" s="50" t="s">
        <v>5407</v>
      </c>
      <c r="AE10" s="50" t="s">
        <v>5412</v>
      </c>
      <c r="AF10" s="229" t="s">
        <v>5512</v>
      </c>
      <c r="AG10" s="229"/>
      <c r="AH10" s="233">
        <v>1</v>
      </c>
      <c r="AI10" s="234" t="s">
        <v>5513</v>
      </c>
    </row>
    <row r="11" spans="1:35" s="381" customFormat="1" ht="13.5" customHeight="1" x14ac:dyDescent="0.3">
      <c r="A11" s="367">
        <v>9</v>
      </c>
      <c r="B11" s="368" t="s">
        <v>5514</v>
      </c>
      <c r="C11" s="369" t="s">
        <v>13</v>
      </c>
      <c r="D11" s="370" t="s">
        <v>8166</v>
      </c>
      <c r="E11" s="371" t="s">
        <v>5515</v>
      </c>
      <c r="F11" s="372" t="s">
        <v>2377</v>
      </c>
      <c r="G11" s="373">
        <v>40200</v>
      </c>
      <c r="H11" s="374" t="s">
        <v>52</v>
      </c>
      <c r="I11" s="374" t="s">
        <v>5396</v>
      </c>
      <c r="J11" s="375" t="s">
        <v>5516</v>
      </c>
      <c r="K11" s="376" t="s">
        <v>5517</v>
      </c>
      <c r="L11" s="374" t="s">
        <v>5518</v>
      </c>
      <c r="M11" s="374"/>
      <c r="N11" s="374"/>
      <c r="O11" s="369" t="s">
        <v>5519</v>
      </c>
      <c r="P11" s="377" t="s">
        <v>5415</v>
      </c>
      <c r="Q11" s="377" t="s">
        <v>5520</v>
      </c>
      <c r="R11" s="369" t="s">
        <v>2399</v>
      </c>
      <c r="S11" s="369" t="s">
        <v>3961</v>
      </c>
      <c r="T11" s="369"/>
      <c r="U11" s="377" t="s">
        <v>5521</v>
      </c>
      <c r="V11" s="369" t="s">
        <v>5522</v>
      </c>
      <c r="W11" s="378" t="s">
        <v>5523</v>
      </c>
      <c r="X11" s="367" t="s">
        <v>5524</v>
      </c>
      <c r="Y11" s="367" t="s">
        <v>5407</v>
      </c>
      <c r="Z11" s="367" t="s">
        <v>5442</v>
      </c>
      <c r="AA11" s="369" t="s">
        <v>5525</v>
      </c>
      <c r="AB11" s="378"/>
      <c r="AC11" s="367"/>
      <c r="AD11" s="367"/>
      <c r="AE11" s="367"/>
      <c r="AF11" s="369" t="s">
        <v>5526</v>
      </c>
      <c r="AG11" s="369"/>
      <c r="AH11" s="379">
        <v>1</v>
      </c>
      <c r="AI11" s="380" t="s">
        <v>5527</v>
      </c>
    </row>
    <row r="12" spans="1:35" ht="13.5" customHeight="1" x14ac:dyDescent="0.3">
      <c r="A12" s="106">
        <v>10</v>
      </c>
      <c r="B12" s="188" t="s">
        <v>5520</v>
      </c>
      <c r="C12" s="189" t="s">
        <v>13</v>
      </c>
      <c r="D12" s="169" t="s">
        <v>5172</v>
      </c>
      <c r="E12" s="201" t="s">
        <v>5528</v>
      </c>
      <c r="F12" s="191" t="s">
        <v>2377</v>
      </c>
      <c r="G12" s="192">
        <v>40791</v>
      </c>
      <c r="H12" s="193" t="s">
        <v>52</v>
      </c>
      <c r="I12" s="193" t="s">
        <v>5396</v>
      </c>
      <c r="J12" s="194" t="s">
        <v>5529</v>
      </c>
      <c r="K12" s="202" t="s">
        <v>5530</v>
      </c>
      <c r="L12" s="193" t="s">
        <v>5531</v>
      </c>
      <c r="M12" s="193"/>
      <c r="N12" s="193"/>
      <c r="O12" s="195" t="s">
        <v>5532</v>
      </c>
      <c r="P12" s="196" t="s">
        <v>5415</v>
      </c>
      <c r="Q12" s="196" t="s">
        <v>5514</v>
      </c>
      <c r="R12" s="195" t="s">
        <v>2399</v>
      </c>
      <c r="S12" s="195" t="s">
        <v>3961</v>
      </c>
      <c r="T12" s="197"/>
      <c r="U12" s="196" t="s">
        <v>5521</v>
      </c>
      <c r="V12" s="195" t="s">
        <v>5533</v>
      </c>
      <c r="W12" s="198" t="s">
        <v>5534</v>
      </c>
      <c r="X12" s="106" t="s">
        <v>5535</v>
      </c>
      <c r="Y12" s="106" t="s">
        <v>5426</v>
      </c>
      <c r="Z12" s="106" t="s">
        <v>5442</v>
      </c>
      <c r="AA12" s="195" t="s">
        <v>5536</v>
      </c>
      <c r="AB12" s="198" t="s">
        <v>5537</v>
      </c>
      <c r="AC12" s="106" t="s">
        <v>5538</v>
      </c>
      <c r="AD12" s="106" t="s">
        <v>5426</v>
      </c>
      <c r="AE12" s="106" t="s">
        <v>5412</v>
      </c>
      <c r="AF12" s="195" t="s">
        <v>5539</v>
      </c>
      <c r="AG12" s="196" t="s">
        <v>5540</v>
      </c>
      <c r="AH12" s="199">
        <v>1</v>
      </c>
      <c r="AI12" s="201" t="s">
        <v>5541</v>
      </c>
    </row>
    <row r="13" spans="1:35" ht="13.5" customHeight="1" x14ac:dyDescent="0.3">
      <c r="A13" s="106">
        <v>11</v>
      </c>
      <c r="B13" s="188" t="s">
        <v>5542</v>
      </c>
      <c r="C13" s="189" t="s">
        <v>13</v>
      </c>
      <c r="D13" s="169" t="s">
        <v>5173</v>
      </c>
      <c r="E13" s="238" t="s">
        <v>5543</v>
      </c>
      <c r="F13" s="191" t="s">
        <v>2377</v>
      </c>
      <c r="G13" s="192">
        <v>40998</v>
      </c>
      <c r="H13" s="193" t="s">
        <v>52</v>
      </c>
      <c r="I13" s="193" t="s">
        <v>5396</v>
      </c>
      <c r="J13" s="194" t="s">
        <v>5544</v>
      </c>
      <c r="K13" s="202" t="s">
        <v>5545</v>
      </c>
      <c r="L13" s="194" t="s">
        <v>5546</v>
      </c>
      <c r="M13" s="193"/>
      <c r="N13" s="193"/>
      <c r="O13" s="195" t="s">
        <v>2733</v>
      </c>
      <c r="P13" s="196" t="s">
        <v>5432</v>
      </c>
      <c r="Q13" s="196" t="s">
        <v>5394</v>
      </c>
      <c r="R13" s="195" t="s">
        <v>2399</v>
      </c>
      <c r="S13" s="195" t="s">
        <v>3961</v>
      </c>
      <c r="T13" s="197"/>
      <c r="U13" s="196" t="s">
        <v>5547</v>
      </c>
      <c r="V13" s="195" t="s">
        <v>5548</v>
      </c>
      <c r="W13" s="198" t="s">
        <v>5549</v>
      </c>
      <c r="X13" s="106" t="s">
        <v>5550</v>
      </c>
      <c r="Y13" s="106" t="s">
        <v>5426</v>
      </c>
      <c r="Z13" s="106" t="s">
        <v>5551</v>
      </c>
      <c r="AA13" s="195" t="s">
        <v>5552</v>
      </c>
      <c r="AB13" s="198" t="s">
        <v>5553</v>
      </c>
      <c r="AC13" s="106" t="s">
        <v>5554</v>
      </c>
      <c r="AD13" s="106" t="s">
        <v>5426</v>
      </c>
      <c r="AE13" s="106" t="s">
        <v>5412</v>
      </c>
      <c r="AF13" s="195" t="s">
        <v>3552</v>
      </c>
      <c r="AG13" s="197"/>
      <c r="AH13" s="199">
        <v>1</v>
      </c>
      <c r="AI13" s="200" t="s">
        <v>5555</v>
      </c>
    </row>
    <row r="14" spans="1:35" ht="13.5" customHeight="1" x14ac:dyDescent="0.3">
      <c r="A14" s="203">
        <v>12</v>
      </c>
      <c r="B14" s="204" t="s">
        <v>5556</v>
      </c>
      <c r="C14" s="205" t="s">
        <v>13</v>
      </c>
      <c r="D14" s="221" t="s">
        <v>5174</v>
      </c>
      <c r="E14" s="207" t="s">
        <v>5557</v>
      </c>
      <c r="F14" s="208" t="s">
        <v>2377</v>
      </c>
      <c r="G14" s="209">
        <v>41141</v>
      </c>
      <c r="H14" s="210" t="s">
        <v>52</v>
      </c>
      <c r="I14" s="210" t="s">
        <v>5396</v>
      </c>
      <c r="J14" s="211" t="s">
        <v>5558</v>
      </c>
      <c r="K14" s="212" t="s">
        <v>5559</v>
      </c>
      <c r="L14" s="210"/>
      <c r="M14" s="210"/>
      <c r="N14" s="210"/>
      <c r="O14" s="213" t="s">
        <v>2986</v>
      </c>
      <c r="P14" s="214" t="s">
        <v>5394</v>
      </c>
      <c r="Q14" s="214" t="s">
        <v>5394</v>
      </c>
      <c r="R14" s="213" t="s">
        <v>5560</v>
      </c>
      <c r="S14" s="213" t="s">
        <v>3961</v>
      </c>
      <c r="T14" s="215"/>
      <c r="U14" s="214" t="s">
        <v>5561</v>
      </c>
      <c r="V14" s="213" t="s">
        <v>5562</v>
      </c>
      <c r="W14" s="216" t="s">
        <v>5563</v>
      </c>
      <c r="X14" s="203" t="s">
        <v>5564</v>
      </c>
      <c r="Y14" s="203" t="s">
        <v>5407</v>
      </c>
      <c r="Z14" s="203" t="s">
        <v>5442</v>
      </c>
      <c r="AA14" s="213" t="s">
        <v>3411</v>
      </c>
      <c r="AB14" s="216" t="s">
        <v>5565</v>
      </c>
      <c r="AC14" s="203" t="s">
        <v>5566</v>
      </c>
      <c r="AD14" s="203" t="s">
        <v>5407</v>
      </c>
      <c r="AE14" s="203" t="s">
        <v>5412</v>
      </c>
      <c r="AF14" s="213" t="s">
        <v>5567</v>
      </c>
      <c r="AG14" s="215"/>
      <c r="AH14" s="217">
        <v>1</v>
      </c>
      <c r="AI14" s="218"/>
    </row>
    <row r="15" spans="1:35" ht="13.5" customHeight="1" x14ac:dyDescent="0.3">
      <c r="A15" s="203">
        <v>13</v>
      </c>
      <c r="B15" s="204" t="s">
        <v>5421</v>
      </c>
      <c r="C15" s="205" t="s">
        <v>13</v>
      </c>
      <c r="D15" s="221" t="s">
        <v>5175</v>
      </c>
      <c r="E15" s="207" t="s">
        <v>5568</v>
      </c>
      <c r="F15" s="208" t="s">
        <v>2377</v>
      </c>
      <c r="G15" s="209">
        <v>40906</v>
      </c>
      <c r="H15" s="210" t="s">
        <v>52</v>
      </c>
      <c r="I15" s="210" t="s">
        <v>5569</v>
      </c>
      <c r="J15" s="211" t="s">
        <v>5570</v>
      </c>
      <c r="K15" s="212" t="s">
        <v>5571</v>
      </c>
      <c r="L15" s="210" t="s">
        <v>5572</v>
      </c>
      <c r="M15" s="210" t="s">
        <v>5573</v>
      </c>
      <c r="N15" s="210" t="s">
        <v>5574</v>
      </c>
      <c r="O15" s="213" t="s">
        <v>5575</v>
      </c>
      <c r="P15" s="214" t="s">
        <v>5576</v>
      </c>
      <c r="Q15" s="214" t="s">
        <v>5577</v>
      </c>
      <c r="R15" s="213" t="s">
        <v>5560</v>
      </c>
      <c r="S15" s="213" t="s">
        <v>3961</v>
      </c>
      <c r="T15" s="215"/>
      <c r="U15" s="214" t="s">
        <v>5521</v>
      </c>
      <c r="V15" s="213" t="s">
        <v>5578</v>
      </c>
      <c r="W15" s="216" t="s">
        <v>5579</v>
      </c>
      <c r="X15" s="203" t="s">
        <v>5580</v>
      </c>
      <c r="Y15" s="203" t="s">
        <v>5581</v>
      </c>
      <c r="Z15" s="203" t="s">
        <v>5442</v>
      </c>
      <c r="AA15" s="213" t="s">
        <v>3276</v>
      </c>
      <c r="AB15" s="216" t="s">
        <v>5582</v>
      </c>
      <c r="AC15" s="203" t="s">
        <v>5583</v>
      </c>
      <c r="AD15" s="203" t="s">
        <v>5474</v>
      </c>
      <c r="AE15" s="203" t="s">
        <v>5412</v>
      </c>
      <c r="AF15" s="213" t="s">
        <v>5567</v>
      </c>
      <c r="AG15" s="215"/>
      <c r="AH15" s="217">
        <v>1</v>
      </c>
      <c r="AI15" s="218"/>
    </row>
    <row r="16" spans="1:35" ht="13.5" customHeight="1" x14ac:dyDescent="0.3">
      <c r="A16" s="203">
        <v>14</v>
      </c>
      <c r="B16" s="204" t="s">
        <v>5584</v>
      </c>
      <c r="C16" s="205" t="s">
        <v>1613</v>
      </c>
      <c r="D16" s="239" t="s">
        <v>5197</v>
      </c>
      <c r="E16" s="207" t="s">
        <v>5585</v>
      </c>
      <c r="F16" s="239" t="s">
        <v>5586</v>
      </c>
      <c r="G16" s="209">
        <v>40917</v>
      </c>
      <c r="H16" s="210" t="s">
        <v>52</v>
      </c>
      <c r="I16" s="210" t="s">
        <v>5569</v>
      </c>
      <c r="J16" s="211" t="s">
        <v>5587</v>
      </c>
      <c r="K16" s="212" t="s">
        <v>5588</v>
      </c>
      <c r="L16" s="210"/>
      <c r="M16" s="210"/>
      <c r="N16" s="211" t="s">
        <v>5589</v>
      </c>
      <c r="O16" s="213" t="s">
        <v>2986</v>
      </c>
      <c r="P16" s="214" t="s">
        <v>5394</v>
      </c>
      <c r="Q16" s="214" t="s">
        <v>5394</v>
      </c>
      <c r="R16" s="213" t="s">
        <v>5560</v>
      </c>
      <c r="S16" s="213" t="s">
        <v>3961</v>
      </c>
      <c r="T16" s="215"/>
      <c r="U16" s="214" t="s">
        <v>5547</v>
      </c>
      <c r="V16" s="213" t="s">
        <v>5590</v>
      </c>
      <c r="W16" s="216" t="s">
        <v>5591</v>
      </c>
      <c r="X16" s="203" t="s">
        <v>5592</v>
      </c>
      <c r="Y16" s="203" t="s">
        <v>5407</v>
      </c>
      <c r="Z16" s="203" t="s">
        <v>5551</v>
      </c>
      <c r="AA16" s="203" t="s">
        <v>2783</v>
      </c>
      <c r="AB16" s="216" t="s">
        <v>5593</v>
      </c>
      <c r="AC16" s="203" t="s">
        <v>5594</v>
      </c>
      <c r="AD16" s="203" t="s">
        <v>5407</v>
      </c>
      <c r="AE16" s="203" t="s">
        <v>5412</v>
      </c>
      <c r="AF16" s="213" t="s">
        <v>5567</v>
      </c>
      <c r="AG16" s="215"/>
      <c r="AH16" s="217">
        <v>3</v>
      </c>
      <c r="AI16" s="218"/>
    </row>
    <row r="17" spans="1:35" ht="13.5" customHeight="1" x14ac:dyDescent="0.3">
      <c r="A17" s="203">
        <v>15</v>
      </c>
      <c r="B17" s="204" t="s">
        <v>5595</v>
      </c>
      <c r="C17" s="205" t="s">
        <v>13</v>
      </c>
      <c r="D17" s="239" t="s">
        <v>5176</v>
      </c>
      <c r="E17" s="207" t="s">
        <v>5596</v>
      </c>
      <c r="F17" s="239" t="s">
        <v>2377</v>
      </c>
      <c r="G17" s="209">
        <v>41025</v>
      </c>
      <c r="H17" s="210" t="s">
        <v>53</v>
      </c>
      <c r="I17" s="210" t="s">
        <v>5396</v>
      </c>
      <c r="J17" s="211" t="s">
        <v>5597</v>
      </c>
      <c r="K17" s="212" t="s">
        <v>5598</v>
      </c>
      <c r="L17" s="211" t="s">
        <v>5599</v>
      </c>
      <c r="M17" s="210"/>
      <c r="N17" s="211" t="s">
        <v>5600</v>
      </c>
      <c r="O17" s="213" t="s">
        <v>2469</v>
      </c>
      <c r="P17" s="214" t="s">
        <v>5394</v>
      </c>
      <c r="Q17" s="214" t="s">
        <v>5415</v>
      </c>
      <c r="R17" s="213" t="s">
        <v>5560</v>
      </c>
      <c r="S17" s="213" t="s">
        <v>3961</v>
      </c>
      <c r="T17" s="213"/>
      <c r="U17" s="214" t="s">
        <v>5521</v>
      </c>
      <c r="V17" s="213" t="s">
        <v>4062</v>
      </c>
      <c r="W17" s="216" t="s">
        <v>5601</v>
      </c>
      <c r="X17" s="203" t="s">
        <v>5602</v>
      </c>
      <c r="Y17" s="203" t="s">
        <v>5407</v>
      </c>
      <c r="Z17" s="203" t="s">
        <v>5442</v>
      </c>
      <c r="AA17" s="213" t="s">
        <v>5603</v>
      </c>
      <c r="AB17" s="216" t="s">
        <v>5604</v>
      </c>
      <c r="AC17" s="203" t="s">
        <v>5605</v>
      </c>
      <c r="AD17" s="203" t="s">
        <v>5407</v>
      </c>
      <c r="AE17" s="203" t="s">
        <v>5412</v>
      </c>
      <c r="AF17" s="213" t="s">
        <v>5567</v>
      </c>
      <c r="AG17" s="213"/>
      <c r="AH17" s="217">
        <v>2</v>
      </c>
      <c r="AI17" s="218" t="s">
        <v>5606</v>
      </c>
    </row>
    <row r="18" spans="1:35" ht="13.5" customHeight="1" x14ac:dyDescent="0.3">
      <c r="A18" s="203">
        <v>16</v>
      </c>
      <c r="B18" s="204" t="s">
        <v>5607</v>
      </c>
      <c r="C18" s="205" t="s">
        <v>13</v>
      </c>
      <c r="D18" s="239" t="s">
        <v>5368</v>
      </c>
      <c r="E18" s="207" t="s">
        <v>5608</v>
      </c>
      <c r="F18" s="239" t="s">
        <v>2377</v>
      </c>
      <c r="G18" s="220">
        <v>40968</v>
      </c>
      <c r="H18" s="210" t="s">
        <v>53</v>
      </c>
      <c r="I18" s="210" t="s">
        <v>5396</v>
      </c>
      <c r="J18" s="211" t="s">
        <v>5609</v>
      </c>
      <c r="K18" s="211" t="s">
        <v>5610</v>
      </c>
      <c r="L18" s="211" t="s">
        <v>5611</v>
      </c>
      <c r="M18" s="210"/>
      <c r="N18" s="211" t="s">
        <v>5612</v>
      </c>
      <c r="O18" s="213" t="s">
        <v>2986</v>
      </c>
      <c r="P18" s="214" t="s">
        <v>5394</v>
      </c>
      <c r="Q18" s="214" t="s">
        <v>5394</v>
      </c>
      <c r="R18" s="213" t="s">
        <v>5560</v>
      </c>
      <c r="S18" s="213" t="s">
        <v>3961</v>
      </c>
      <c r="T18" s="213"/>
      <c r="U18" s="214" t="s">
        <v>5547</v>
      </c>
      <c r="V18" s="213" t="s">
        <v>5613</v>
      </c>
      <c r="W18" s="216" t="s">
        <v>5614</v>
      </c>
      <c r="X18" s="203" t="s">
        <v>5615</v>
      </c>
      <c r="Y18" s="203" t="s">
        <v>5581</v>
      </c>
      <c r="Z18" s="203" t="s">
        <v>5442</v>
      </c>
      <c r="AA18" s="213" t="s">
        <v>5616</v>
      </c>
      <c r="AB18" s="216" t="s">
        <v>5617</v>
      </c>
      <c r="AC18" s="203" t="s">
        <v>5618</v>
      </c>
      <c r="AD18" s="203" t="s">
        <v>5474</v>
      </c>
      <c r="AE18" s="203" t="s">
        <v>5412</v>
      </c>
      <c r="AF18" s="213" t="s">
        <v>5567</v>
      </c>
      <c r="AG18" s="215"/>
      <c r="AH18" s="217">
        <v>1</v>
      </c>
      <c r="AI18" s="218" t="s">
        <v>5619</v>
      </c>
    </row>
    <row r="19" spans="1:35" ht="13.5" customHeight="1" x14ac:dyDescent="0.3">
      <c r="A19" s="106">
        <v>17</v>
      </c>
      <c r="B19" s="188" t="s">
        <v>5620</v>
      </c>
      <c r="C19" s="189" t="s">
        <v>13</v>
      </c>
      <c r="D19" s="101" t="s">
        <v>5177</v>
      </c>
      <c r="E19" s="201" t="s">
        <v>5621</v>
      </c>
      <c r="F19" s="101" t="s">
        <v>2377</v>
      </c>
      <c r="G19" s="192">
        <v>40809</v>
      </c>
      <c r="H19" s="193" t="s">
        <v>52</v>
      </c>
      <c r="I19" s="193" t="s">
        <v>5396</v>
      </c>
      <c r="J19" s="194" t="s">
        <v>5622</v>
      </c>
      <c r="K19" s="202" t="s">
        <v>5623</v>
      </c>
      <c r="L19" s="193" t="s">
        <v>5624</v>
      </c>
      <c r="M19" s="193"/>
      <c r="N19" s="193" t="s">
        <v>5625</v>
      </c>
      <c r="O19" s="195" t="s">
        <v>5626</v>
      </c>
      <c r="P19" s="196" t="s">
        <v>5415</v>
      </c>
      <c r="Q19" s="196" t="s">
        <v>5415</v>
      </c>
      <c r="R19" s="195" t="s">
        <v>3105</v>
      </c>
      <c r="S19" s="195" t="s">
        <v>5422</v>
      </c>
      <c r="T19" s="195"/>
      <c r="U19" s="196" t="s">
        <v>5547</v>
      </c>
      <c r="V19" s="195" t="s">
        <v>5627</v>
      </c>
      <c r="W19" s="198" t="s">
        <v>5628</v>
      </c>
      <c r="X19" s="106" t="s">
        <v>5629</v>
      </c>
      <c r="Y19" s="106" t="s">
        <v>5581</v>
      </c>
      <c r="Z19" s="106" t="s">
        <v>5442</v>
      </c>
      <c r="AA19" s="195" t="s">
        <v>5630</v>
      </c>
      <c r="AB19" s="198"/>
      <c r="AC19" s="106"/>
      <c r="AD19" s="106"/>
      <c r="AE19" s="106"/>
      <c r="AF19" s="195" t="s">
        <v>5631</v>
      </c>
      <c r="AG19" s="197"/>
      <c r="AH19" s="199">
        <v>1</v>
      </c>
      <c r="AI19" s="200"/>
    </row>
    <row r="20" spans="1:35" ht="13.5" customHeight="1" x14ac:dyDescent="0.3">
      <c r="A20" s="106">
        <v>18</v>
      </c>
      <c r="B20" s="188" t="s">
        <v>5632</v>
      </c>
      <c r="C20" s="189" t="s">
        <v>13</v>
      </c>
      <c r="D20" s="101" t="s">
        <v>5178</v>
      </c>
      <c r="E20" s="201" t="s">
        <v>5633</v>
      </c>
      <c r="F20" s="101" t="s">
        <v>4119</v>
      </c>
      <c r="G20" s="192">
        <v>40850</v>
      </c>
      <c r="H20" s="193" t="s">
        <v>52</v>
      </c>
      <c r="I20" s="193" t="s">
        <v>5396</v>
      </c>
      <c r="J20" s="194" t="s">
        <v>5634</v>
      </c>
      <c r="K20" s="202" t="s">
        <v>5635</v>
      </c>
      <c r="L20" s="193" t="s">
        <v>5636</v>
      </c>
      <c r="M20" s="193"/>
      <c r="N20" s="193"/>
      <c r="O20" s="195" t="s">
        <v>5637</v>
      </c>
      <c r="P20" s="196" t="s">
        <v>5448</v>
      </c>
      <c r="Q20" s="196" t="s">
        <v>5394</v>
      </c>
      <c r="R20" s="195" t="s">
        <v>5638</v>
      </c>
      <c r="S20" s="195" t="s">
        <v>5639</v>
      </c>
      <c r="T20" s="195"/>
      <c r="U20" s="196" t="s">
        <v>5640</v>
      </c>
      <c r="V20" s="195" t="s">
        <v>5641</v>
      </c>
      <c r="W20" s="198" t="s">
        <v>5642</v>
      </c>
      <c r="X20" s="106" t="s">
        <v>5643</v>
      </c>
      <c r="Y20" s="106" t="s">
        <v>5581</v>
      </c>
      <c r="Z20" s="106" t="s">
        <v>5442</v>
      </c>
      <c r="AA20" s="195" t="s">
        <v>5644</v>
      </c>
      <c r="AB20" s="198" t="s">
        <v>5645</v>
      </c>
      <c r="AC20" s="106" t="s">
        <v>5646</v>
      </c>
      <c r="AD20" s="106" t="s">
        <v>5426</v>
      </c>
      <c r="AE20" s="106" t="s">
        <v>5412</v>
      </c>
      <c r="AF20" s="195" t="s">
        <v>5647</v>
      </c>
      <c r="AG20" s="197"/>
      <c r="AH20" s="199">
        <v>2</v>
      </c>
      <c r="AI20" s="200" t="s">
        <v>5648</v>
      </c>
    </row>
    <row r="21" spans="1:35" ht="13.5" customHeight="1" x14ac:dyDescent="0.3">
      <c r="A21" s="106">
        <v>19</v>
      </c>
      <c r="B21" s="188" t="s">
        <v>5649</v>
      </c>
      <c r="C21" s="189" t="s">
        <v>13</v>
      </c>
      <c r="D21" s="101" t="s">
        <v>5179</v>
      </c>
      <c r="E21" s="201" t="s">
        <v>5650</v>
      </c>
      <c r="F21" s="101" t="s">
        <v>2352</v>
      </c>
      <c r="G21" s="192">
        <v>41010</v>
      </c>
      <c r="H21" s="193" t="s">
        <v>52</v>
      </c>
      <c r="I21" s="193" t="s">
        <v>5396</v>
      </c>
      <c r="J21" s="194" t="s">
        <v>5651</v>
      </c>
      <c r="K21" s="202" t="s">
        <v>5652</v>
      </c>
      <c r="L21" s="193" t="s">
        <v>5653</v>
      </c>
      <c r="M21" s="193"/>
      <c r="N21" s="193" t="s">
        <v>5654</v>
      </c>
      <c r="O21" s="195" t="s">
        <v>5655</v>
      </c>
      <c r="P21" s="196" t="s">
        <v>5432</v>
      </c>
      <c r="Q21" s="196" t="s">
        <v>5514</v>
      </c>
      <c r="R21" s="195" t="s">
        <v>5656</v>
      </c>
      <c r="S21" s="195" t="s">
        <v>5422</v>
      </c>
      <c r="T21" s="195"/>
      <c r="U21" s="196" t="s">
        <v>5657</v>
      </c>
      <c r="V21" s="195" t="s">
        <v>5658</v>
      </c>
      <c r="W21" s="198" t="s">
        <v>5659</v>
      </c>
      <c r="X21" s="106" t="s">
        <v>5660</v>
      </c>
      <c r="Y21" s="106" t="s">
        <v>5407</v>
      </c>
      <c r="Z21" s="106" t="s">
        <v>5442</v>
      </c>
      <c r="AA21" s="195" t="s">
        <v>5661</v>
      </c>
      <c r="AB21" s="198" t="s">
        <v>5662</v>
      </c>
      <c r="AC21" s="106" t="s">
        <v>5663</v>
      </c>
      <c r="AD21" s="106" t="s">
        <v>5407</v>
      </c>
      <c r="AE21" s="106" t="s">
        <v>5412</v>
      </c>
      <c r="AF21" s="195" t="s">
        <v>5458</v>
      </c>
      <c r="AG21" s="195" t="s">
        <v>5664</v>
      </c>
      <c r="AH21" s="199">
        <v>2</v>
      </c>
      <c r="AI21" s="200" t="s">
        <v>5665</v>
      </c>
    </row>
    <row r="22" spans="1:35" ht="13.5" customHeight="1" x14ac:dyDescent="0.3">
      <c r="A22" s="106">
        <v>20</v>
      </c>
      <c r="B22" s="188" t="s">
        <v>5666</v>
      </c>
      <c r="C22" s="189" t="s">
        <v>13</v>
      </c>
      <c r="D22" s="101" t="s">
        <v>5180</v>
      </c>
      <c r="E22" s="201" t="s">
        <v>5667</v>
      </c>
      <c r="F22" s="101" t="s">
        <v>2377</v>
      </c>
      <c r="G22" s="192">
        <v>40844</v>
      </c>
      <c r="H22" s="193" t="s">
        <v>53</v>
      </c>
      <c r="I22" s="193" t="s">
        <v>5396</v>
      </c>
      <c r="J22" s="194" t="s">
        <v>5668</v>
      </c>
      <c r="K22" s="202" t="s">
        <v>5669</v>
      </c>
      <c r="L22" s="193" t="s">
        <v>5670</v>
      </c>
      <c r="M22" s="193"/>
      <c r="N22" s="193" t="s">
        <v>5671</v>
      </c>
      <c r="O22" s="195" t="s">
        <v>5655</v>
      </c>
      <c r="P22" s="196" t="s">
        <v>5394</v>
      </c>
      <c r="Q22" s="196" t="s">
        <v>5514</v>
      </c>
      <c r="R22" s="195" t="s">
        <v>2485</v>
      </c>
      <c r="S22" s="195" t="s">
        <v>5422</v>
      </c>
      <c r="T22" s="195"/>
      <c r="U22" s="196" t="s">
        <v>5657</v>
      </c>
      <c r="V22" s="195" t="s">
        <v>4062</v>
      </c>
      <c r="W22" s="198" t="s">
        <v>5672</v>
      </c>
      <c r="X22" s="106" t="s">
        <v>5673</v>
      </c>
      <c r="Y22" s="106" t="s">
        <v>5407</v>
      </c>
      <c r="Z22" s="106" t="s">
        <v>5442</v>
      </c>
      <c r="AA22" s="195" t="s">
        <v>5674</v>
      </c>
      <c r="AB22" s="198" t="s">
        <v>5675</v>
      </c>
      <c r="AC22" s="106" t="s">
        <v>5676</v>
      </c>
      <c r="AD22" s="106" t="s">
        <v>5407</v>
      </c>
      <c r="AE22" s="106" t="s">
        <v>5412</v>
      </c>
      <c r="AF22" s="195" t="s">
        <v>5458</v>
      </c>
      <c r="AG22" s="240" t="s">
        <v>5677</v>
      </c>
      <c r="AH22" s="240"/>
      <c r="AI22" s="200" t="s">
        <v>5678</v>
      </c>
    </row>
    <row r="23" spans="1:35" ht="13.5" customHeight="1" x14ac:dyDescent="0.3">
      <c r="A23" s="106">
        <v>21</v>
      </c>
      <c r="B23" s="188" t="s">
        <v>5679</v>
      </c>
      <c r="C23" s="189" t="s">
        <v>13</v>
      </c>
      <c r="D23" s="101" t="s">
        <v>5181</v>
      </c>
      <c r="E23" s="201" t="s">
        <v>5650</v>
      </c>
      <c r="F23" s="101" t="s">
        <v>2377</v>
      </c>
      <c r="G23" s="192">
        <v>40629</v>
      </c>
      <c r="H23" s="193" t="s">
        <v>52</v>
      </c>
      <c r="I23" s="193" t="s">
        <v>5396</v>
      </c>
      <c r="J23" s="194" t="s">
        <v>5680</v>
      </c>
      <c r="K23" s="202" t="s">
        <v>5681</v>
      </c>
      <c r="L23" s="193" t="s">
        <v>5682</v>
      </c>
      <c r="M23" s="193"/>
      <c r="N23" s="193" t="s">
        <v>5683</v>
      </c>
      <c r="O23" s="195" t="s">
        <v>5655</v>
      </c>
      <c r="P23" s="196" t="s">
        <v>5432</v>
      </c>
      <c r="Q23" s="196" t="s">
        <v>5514</v>
      </c>
      <c r="R23" s="195" t="s">
        <v>2485</v>
      </c>
      <c r="S23" s="195" t="s">
        <v>5422</v>
      </c>
      <c r="T23" s="195"/>
      <c r="U23" s="196" t="s">
        <v>5657</v>
      </c>
      <c r="V23" s="195" t="s">
        <v>5684</v>
      </c>
      <c r="W23" s="198" t="s">
        <v>5685</v>
      </c>
      <c r="X23" s="106" t="s">
        <v>5686</v>
      </c>
      <c r="Y23" s="106" t="s">
        <v>5407</v>
      </c>
      <c r="Z23" s="106" t="s">
        <v>5442</v>
      </c>
      <c r="AA23" s="195" t="s">
        <v>5313</v>
      </c>
      <c r="AB23" s="198" t="s">
        <v>5687</v>
      </c>
      <c r="AC23" s="106" t="s">
        <v>5688</v>
      </c>
      <c r="AD23" s="106" t="s">
        <v>5407</v>
      </c>
      <c r="AE23" s="106" t="s">
        <v>5412</v>
      </c>
      <c r="AF23" s="195" t="s">
        <v>5458</v>
      </c>
      <c r="AG23" s="197"/>
      <c r="AH23" s="199">
        <v>1</v>
      </c>
      <c r="AI23" s="200" t="s">
        <v>5689</v>
      </c>
    </row>
    <row r="24" spans="1:35" ht="13.5" customHeight="1" x14ac:dyDescent="0.3">
      <c r="A24" s="106">
        <v>22</v>
      </c>
      <c r="B24" s="188" t="s">
        <v>5690</v>
      </c>
      <c r="C24" s="189" t="s">
        <v>1613</v>
      </c>
      <c r="D24" s="101" t="s">
        <v>5198</v>
      </c>
      <c r="E24" s="201" t="s">
        <v>5449</v>
      </c>
      <c r="F24" s="101" t="s">
        <v>2377</v>
      </c>
      <c r="G24" s="192">
        <v>40819</v>
      </c>
      <c r="H24" s="193" t="s">
        <v>53</v>
      </c>
      <c r="I24" s="193" t="s">
        <v>5396</v>
      </c>
      <c r="J24" s="194" t="s">
        <v>5691</v>
      </c>
      <c r="K24" s="202" t="s">
        <v>5692</v>
      </c>
      <c r="L24" s="193" t="s">
        <v>5693</v>
      </c>
      <c r="M24" s="193"/>
      <c r="N24" s="193" t="s">
        <v>5694</v>
      </c>
      <c r="O24" s="195" t="s">
        <v>5655</v>
      </c>
      <c r="P24" s="196" t="s">
        <v>5432</v>
      </c>
      <c r="Q24" s="196" t="s">
        <v>5514</v>
      </c>
      <c r="R24" s="195" t="s">
        <v>2485</v>
      </c>
      <c r="S24" s="195" t="s">
        <v>5422</v>
      </c>
      <c r="T24" s="219"/>
      <c r="U24" s="196" t="s">
        <v>5657</v>
      </c>
      <c r="V24" s="195" t="s">
        <v>5695</v>
      </c>
      <c r="W24" s="198" t="s">
        <v>5696</v>
      </c>
      <c r="X24" s="106" t="s">
        <v>5697</v>
      </c>
      <c r="Y24" s="106" t="s">
        <v>5407</v>
      </c>
      <c r="Z24" s="106" t="s">
        <v>5442</v>
      </c>
      <c r="AA24" s="195" t="s">
        <v>5698</v>
      </c>
      <c r="AB24" s="198" t="s">
        <v>5699</v>
      </c>
      <c r="AC24" s="106" t="s">
        <v>5700</v>
      </c>
      <c r="AD24" s="106" t="s">
        <v>5407</v>
      </c>
      <c r="AE24" s="106" t="s">
        <v>5412</v>
      </c>
      <c r="AF24" s="195" t="s">
        <v>5458</v>
      </c>
      <c r="AG24" s="197"/>
      <c r="AH24" s="199">
        <v>1</v>
      </c>
      <c r="AI24" s="200" t="s">
        <v>5701</v>
      </c>
    </row>
    <row r="25" spans="1:35" ht="13.5" customHeight="1" x14ac:dyDescent="0.3">
      <c r="A25" s="106">
        <v>23</v>
      </c>
      <c r="B25" s="188" t="s">
        <v>5702</v>
      </c>
      <c r="C25" s="189" t="s">
        <v>1614</v>
      </c>
      <c r="D25" s="101" t="s">
        <v>5199</v>
      </c>
      <c r="E25" s="201" t="s">
        <v>5703</v>
      </c>
      <c r="F25" s="101" t="s">
        <v>2377</v>
      </c>
      <c r="G25" s="192">
        <v>40817</v>
      </c>
      <c r="H25" s="193" t="s">
        <v>53</v>
      </c>
      <c r="I25" s="193" t="s">
        <v>5704</v>
      </c>
      <c r="J25" s="194"/>
      <c r="K25" s="202"/>
      <c r="L25" s="193"/>
      <c r="M25" s="193"/>
      <c r="N25" s="193" t="s">
        <v>5705</v>
      </c>
      <c r="O25" s="195" t="s">
        <v>5655</v>
      </c>
      <c r="P25" s="196" t="s">
        <v>5432</v>
      </c>
      <c r="Q25" s="196" t="s">
        <v>5514</v>
      </c>
      <c r="R25" s="195" t="s">
        <v>2485</v>
      </c>
      <c r="S25" s="195" t="s">
        <v>5422</v>
      </c>
      <c r="T25" s="195"/>
      <c r="U25" s="196" t="s">
        <v>5657</v>
      </c>
      <c r="V25" s="195"/>
      <c r="W25" s="198"/>
      <c r="X25" s="106"/>
      <c r="Y25" s="106"/>
      <c r="Z25" s="106"/>
      <c r="AA25" s="195"/>
      <c r="AB25" s="198"/>
      <c r="AC25" s="106"/>
      <c r="AD25" s="106"/>
      <c r="AE25" s="106"/>
      <c r="AF25" s="195" t="s">
        <v>5458</v>
      </c>
      <c r="AG25" s="197"/>
      <c r="AH25" s="199"/>
      <c r="AI25" s="200" t="s">
        <v>5706</v>
      </c>
    </row>
    <row r="26" spans="1:35" ht="13.5" customHeight="1" x14ac:dyDescent="0.3">
      <c r="A26" s="106">
        <v>24</v>
      </c>
      <c r="B26" s="188" t="s">
        <v>5707</v>
      </c>
      <c r="C26" s="189" t="s">
        <v>1613</v>
      </c>
      <c r="D26" s="101" t="s">
        <v>5200</v>
      </c>
      <c r="E26" s="201" t="s">
        <v>5708</v>
      </c>
      <c r="F26" s="101" t="s">
        <v>2377</v>
      </c>
      <c r="G26" s="192">
        <v>41214</v>
      </c>
      <c r="H26" s="193" t="s">
        <v>52</v>
      </c>
      <c r="I26" s="193" t="s">
        <v>5396</v>
      </c>
      <c r="J26" s="194" t="s">
        <v>5709</v>
      </c>
      <c r="K26" s="202" t="s">
        <v>5710</v>
      </c>
      <c r="L26" s="193" t="s">
        <v>5711</v>
      </c>
      <c r="M26" s="193"/>
      <c r="N26" s="193" t="s">
        <v>5712</v>
      </c>
      <c r="O26" s="195" t="s">
        <v>5713</v>
      </c>
      <c r="P26" s="196" t="s">
        <v>5432</v>
      </c>
      <c r="Q26" s="196" t="s">
        <v>5520</v>
      </c>
      <c r="R26" s="195" t="s">
        <v>2485</v>
      </c>
      <c r="S26" s="195" t="s">
        <v>5422</v>
      </c>
      <c r="T26" s="195"/>
      <c r="U26" s="196" t="s">
        <v>5657</v>
      </c>
      <c r="V26" s="195" t="s">
        <v>5714</v>
      </c>
      <c r="W26" s="198" t="s">
        <v>5715</v>
      </c>
      <c r="X26" s="106" t="s">
        <v>5716</v>
      </c>
      <c r="Y26" s="106" t="s">
        <v>5407</v>
      </c>
      <c r="Z26" s="106" t="s">
        <v>5442</v>
      </c>
      <c r="AA26" s="195" t="s">
        <v>5717</v>
      </c>
      <c r="AB26" s="198" t="s">
        <v>5718</v>
      </c>
      <c r="AC26" s="106" t="s">
        <v>5719</v>
      </c>
      <c r="AD26" s="106" t="s">
        <v>5407</v>
      </c>
      <c r="AE26" s="106" t="s">
        <v>5412</v>
      </c>
      <c r="AF26" s="195" t="s">
        <v>5458</v>
      </c>
      <c r="AG26" s="197"/>
      <c r="AH26" s="199">
        <v>1</v>
      </c>
      <c r="AI26" s="200" t="s">
        <v>5720</v>
      </c>
    </row>
    <row r="27" spans="1:35" ht="13.5" customHeight="1" x14ac:dyDescent="0.3">
      <c r="A27" s="106">
        <v>25</v>
      </c>
      <c r="B27" s="188" t="s">
        <v>5721</v>
      </c>
      <c r="C27" s="189" t="s">
        <v>1617</v>
      </c>
      <c r="D27" s="241" t="s">
        <v>5328</v>
      </c>
      <c r="E27" s="201" t="s">
        <v>5722</v>
      </c>
      <c r="F27" s="101" t="s">
        <v>2377</v>
      </c>
      <c r="G27" s="192">
        <v>41091</v>
      </c>
      <c r="H27" s="193" t="s">
        <v>53</v>
      </c>
      <c r="I27" s="193" t="s">
        <v>5396</v>
      </c>
      <c r="J27" s="194" t="s">
        <v>5723</v>
      </c>
      <c r="K27" s="202" t="s">
        <v>5724</v>
      </c>
      <c r="L27" s="193" t="s">
        <v>5725</v>
      </c>
      <c r="M27" s="193"/>
      <c r="N27" s="193" t="s">
        <v>5726</v>
      </c>
      <c r="O27" s="195" t="s">
        <v>5727</v>
      </c>
      <c r="P27" s="196" t="s">
        <v>5394</v>
      </c>
      <c r="Q27" s="196" t="s">
        <v>5520</v>
      </c>
      <c r="R27" s="195" t="s">
        <v>2485</v>
      </c>
      <c r="S27" s="195" t="s">
        <v>5422</v>
      </c>
      <c r="T27" s="195"/>
      <c r="U27" s="196" t="s">
        <v>5657</v>
      </c>
      <c r="V27" s="195" t="s">
        <v>3209</v>
      </c>
      <c r="W27" s="198" t="s">
        <v>5728</v>
      </c>
      <c r="X27" s="106" t="s">
        <v>5729</v>
      </c>
      <c r="Y27" s="106" t="s">
        <v>5407</v>
      </c>
      <c r="Z27" s="106" t="s">
        <v>5442</v>
      </c>
      <c r="AA27" s="195" t="s">
        <v>5730</v>
      </c>
      <c r="AB27" s="198" t="s">
        <v>5731</v>
      </c>
      <c r="AC27" s="106" t="s">
        <v>5732</v>
      </c>
      <c r="AD27" s="106" t="s">
        <v>5407</v>
      </c>
      <c r="AE27" s="106" t="s">
        <v>5412</v>
      </c>
      <c r="AF27" s="195" t="s">
        <v>5458</v>
      </c>
      <c r="AG27" s="197"/>
      <c r="AH27" s="199">
        <v>2</v>
      </c>
      <c r="AI27" s="200" t="s">
        <v>5733</v>
      </c>
    </row>
    <row r="28" spans="1:35" ht="13.5" customHeight="1" x14ac:dyDescent="0.3">
      <c r="A28" s="242">
        <v>26</v>
      </c>
      <c r="B28" s="243" t="s">
        <v>5734</v>
      </c>
      <c r="C28" s="244" t="s">
        <v>1617</v>
      </c>
      <c r="D28" s="241" t="s">
        <v>5329</v>
      </c>
      <c r="E28" s="245" t="s">
        <v>5735</v>
      </c>
      <c r="F28" s="246" t="s">
        <v>2377</v>
      </c>
      <c r="G28" s="247">
        <v>41112</v>
      </c>
      <c r="H28" s="248" t="s">
        <v>53</v>
      </c>
      <c r="I28" s="248" t="s">
        <v>5396</v>
      </c>
      <c r="J28" s="249"/>
      <c r="K28" s="250"/>
      <c r="L28" s="248" t="s">
        <v>5736</v>
      </c>
      <c r="M28" s="248"/>
      <c r="N28" s="248"/>
      <c r="O28" s="244" t="s">
        <v>5737</v>
      </c>
      <c r="P28" s="251" t="s">
        <v>5394</v>
      </c>
      <c r="Q28" s="251" t="s">
        <v>5448</v>
      </c>
      <c r="R28" s="244" t="s">
        <v>5738</v>
      </c>
      <c r="S28" s="244" t="s">
        <v>3961</v>
      </c>
      <c r="T28" s="244"/>
      <c r="U28" s="244"/>
      <c r="V28" s="244" t="s">
        <v>5739</v>
      </c>
      <c r="W28" s="252" t="s">
        <v>5740</v>
      </c>
      <c r="X28" s="242" t="s">
        <v>5741</v>
      </c>
      <c r="Y28" s="242"/>
      <c r="Z28" s="242"/>
      <c r="AA28" s="244" t="s">
        <v>5742</v>
      </c>
      <c r="AB28" s="252" t="s">
        <v>5743</v>
      </c>
      <c r="AC28" s="242" t="s">
        <v>5744</v>
      </c>
      <c r="AD28" s="242"/>
      <c r="AE28" s="242" t="s">
        <v>5412</v>
      </c>
      <c r="AF28" s="244" t="s">
        <v>5745</v>
      </c>
      <c r="AG28" s="244"/>
      <c r="AH28" s="253">
        <v>1</v>
      </c>
      <c r="AI28" s="254" t="s">
        <v>5746</v>
      </c>
    </row>
    <row r="29" spans="1:35" ht="13.5" customHeight="1" x14ac:dyDescent="0.3">
      <c r="A29" s="242">
        <v>27</v>
      </c>
      <c r="B29" s="255" t="s">
        <v>5747</v>
      </c>
      <c r="C29" s="256" t="s">
        <v>13</v>
      </c>
      <c r="D29" s="246" t="s">
        <v>5182</v>
      </c>
      <c r="E29" s="257" t="s">
        <v>5748</v>
      </c>
      <c r="F29" s="246" t="s">
        <v>2377</v>
      </c>
      <c r="G29" s="258">
        <v>40582</v>
      </c>
      <c r="H29" s="259" t="s">
        <v>52</v>
      </c>
      <c r="I29" s="248" t="s">
        <v>5396</v>
      </c>
      <c r="J29" s="260" t="s">
        <v>5749</v>
      </c>
      <c r="K29" s="261" t="s">
        <v>5750</v>
      </c>
      <c r="L29" s="259" t="s">
        <v>5751</v>
      </c>
      <c r="M29" s="259"/>
      <c r="N29" s="259"/>
      <c r="O29" s="244" t="s">
        <v>5752</v>
      </c>
      <c r="P29" s="251" t="s">
        <v>5394</v>
      </c>
      <c r="Q29" s="251" t="s">
        <v>5461</v>
      </c>
      <c r="R29" s="244" t="s">
        <v>5753</v>
      </c>
      <c r="S29" s="244" t="s">
        <v>5754</v>
      </c>
      <c r="T29" s="244"/>
      <c r="U29" s="244">
        <v>40565</v>
      </c>
      <c r="V29" s="244" t="s">
        <v>5755</v>
      </c>
      <c r="W29" s="252" t="s">
        <v>5756</v>
      </c>
      <c r="X29" s="242" t="s">
        <v>5757</v>
      </c>
      <c r="Y29" s="242" t="s">
        <v>5407</v>
      </c>
      <c r="Z29" s="242" t="s">
        <v>5442</v>
      </c>
      <c r="AA29" s="244" t="s">
        <v>5758</v>
      </c>
      <c r="AB29" s="252" t="s">
        <v>5759</v>
      </c>
      <c r="AC29" s="242" t="s">
        <v>5760</v>
      </c>
      <c r="AD29" s="242" t="s">
        <v>5407</v>
      </c>
      <c r="AE29" s="242" t="s">
        <v>5412</v>
      </c>
      <c r="AF29" s="244" t="s">
        <v>5761</v>
      </c>
      <c r="AG29" s="262"/>
      <c r="AH29" s="263">
        <v>1</v>
      </c>
      <c r="AI29" s="254" t="s">
        <v>5762</v>
      </c>
    </row>
    <row r="30" spans="1:35" ht="13.5" customHeight="1" thickBot="1" x14ac:dyDescent="0.35">
      <c r="A30" s="106">
        <v>28</v>
      </c>
      <c r="B30" s="188" t="s">
        <v>5763</v>
      </c>
      <c r="C30" s="189" t="s">
        <v>13</v>
      </c>
      <c r="D30" s="101" t="s">
        <v>5183</v>
      </c>
      <c r="E30" s="201" t="s">
        <v>5764</v>
      </c>
      <c r="F30" s="101" t="s">
        <v>2352</v>
      </c>
      <c r="G30" s="192">
        <v>40800</v>
      </c>
      <c r="H30" s="193" t="s">
        <v>52</v>
      </c>
      <c r="I30" s="237" t="s">
        <v>5396</v>
      </c>
      <c r="J30" s="194" t="s">
        <v>5765</v>
      </c>
      <c r="K30" s="202" t="s">
        <v>5766</v>
      </c>
      <c r="L30" s="193" t="s">
        <v>5767</v>
      </c>
      <c r="M30" s="193"/>
      <c r="N30" s="193"/>
      <c r="O30" s="195" t="s">
        <v>5768</v>
      </c>
      <c r="P30" s="196" t="s">
        <v>5432</v>
      </c>
      <c r="Q30" s="196" t="s">
        <v>5157</v>
      </c>
      <c r="R30" s="195" t="s">
        <v>2399</v>
      </c>
      <c r="S30" s="195" t="s">
        <v>3961</v>
      </c>
      <c r="T30" s="195"/>
      <c r="U30" s="195">
        <v>40764</v>
      </c>
      <c r="V30" s="195" t="s">
        <v>5769</v>
      </c>
      <c r="W30" s="198" t="s">
        <v>5770</v>
      </c>
      <c r="X30" s="106" t="s">
        <v>5771</v>
      </c>
      <c r="Y30" s="106" t="s">
        <v>5772</v>
      </c>
      <c r="Z30" s="106" t="s">
        <v>5442</v>
      </c>
      <c r="AA30" s="195" t="s">
        <v>5773</v>
      </c>
      <c r="AB30" s="198" t="s">
        <v>5774</v>
      </c>
      <c r="AC30" s="106" t="s">
        <v>5775</v>
      </c>
      <c r="AD30" s="106" t="s">
        <v>5474</v>
      </c>
      <c r="AE30" s="106" t="s">
        <v>5412</v>
      </c>
      <c r="AF30" s="195" t="s">
        <v>5776</v>
      </c>
      <c r="AG30" s="197"/>
      <c r="AH30" s="199">
        <v>1</v>
      </c>
      <c r="AI30" s="200" t="s">
        <v>5777</v>
      </c>
    </row>
    <row r="31" spans="1:35" ht="13.5" customHeight="1" thickBot="1" x14ac:dyDescent="0.35">
      <c r="A31" s="264">
        <v>29</v>
      </c>
      <c r="B31" s="265">
        <v>29</v>
      </c>
      <c r="C31" s="266" t="s">
        <v>13</v>
      </c>
      <c r="D31" s="267" t="s">
        <v>5184</v>
      </c>
      <c r="E31" s="268" t="s">
        <v>5778</v>
      </c>
      <c r="F31" s="267" t="s">
        <v>2352</v>
      </c>
      <c r="G31" s="269">
        <v>41121</v>
      </c>
      <c r="H31" s="270" t="s">
        <v>53</v>
      </c>
      <c r="I31" s="270" t="s">
        <v>5396</v>
      </c>
      <c r="J31" s="271" t="s">
        <v>5779</v>
      </c>
      <c r="K31" s="272" t="s">
        <v>5780</v>
      </c>
      <c r="L31" s="270" t="s">
        <v>5781</v>
      </c>
      <c r="M31" s="273"/>
      <c r="N31" s="273"/>
      <c r="O31" s="270" t="s">
        <v>5782</v>
      </c>
      <c r="P31" s="270">
        <v>1</v>
      </c>
      <c r="Q31" s="270">
        <v>8</v>
      </c>
      <c r="R31" s="270" t="s">
        <v>3064</v>
      </c>
      <c r="S31" s="270" t="s">
        <v>3064</v>
      </c>
      <c r="T31" s="273"/>
      <c r="U31" s="270">
        <v>40563</v>
      </c>
      <c r="V31" s="270" t="s">
        <v>5783</v>
      </c>
      <c r="W31" s="270">
        <v>3217141503910000</v>
      </c>
      <c r="X31" s="270" t="s">
        <v>5784</v>
      </c>
      <c r="Y31" s="270" t="s">
        <v>5785</v>
      </c>
      <c r="Z31" s="273"/>
      <c r="AA31" s="270" t="s">
        <v>5786</v>
      </c>
      <c r="AB31" s="271" t="s">
        <v>5787</v>
      </c>
      <c r="AC31" s="270" t="s">
        <v>5788</v>
      </c>
      <c r="AD31" s="270" t="s">
        <v>5772</v>
      </c>
      <c r="AE31" s="270" t="s">
        <v>5412</v>
      </c>
      <c r="AF31" s="274" t="s">
        <v>5789</v>
      </c>
      <c r="AG31" s="273"/>
      <c r="AH31" s="270">
        <v>1</v>
      </c>
      <c r="AI31" s="267">
        <v>8818362425</v>
      </c>
    </row>
    <row r="32" spans="1:35" ht="13.5" customHeight="1" thickBot="1" x14ac:dyDescent="0.35">
      <c r="A32" s="106">
        <v>30</v>
      </c>
      <c r="B32" s="188" t="s">
        <v>5790</v>
      </c>
      <c r="C32" s="189" t="s">
        <v>13</v>
      </c>
      <c r="D32" s="101" t="s">
        <v>5185</v>
      </c>
      <c r="E32" s="201" t="s">
        <v>5791</v>
      </c>
      <c r="F32" s="101" t="s">
        <v>2352</v>
      </c>
      <c r="G32" s="192">
        <v>40936</v>
      </c>
      <c r="H32" s="193" t="s">
        <v>53</v>
      </c>
      <c r="I32" s="193" t="s">
        <v>5396</v>
      </c>
      <c r="J32" s="194" t="s">
        <v>5792</v>
      </c>
      <c r="K32" s="202" t="s">
        <v>5793</v>
      </c>
      <c r="L32" s="193" t="s">
        <v>5794</v>
      </c>
      <c r="M32" s="193"/>
      <c r="N32" s="193" t="s">
        <v>5795</v>
      </c>
      <c r="O32" s="195" t="s">
        <v>5796</v>
      </c>
      <c r="P32" s="196" t="s">
        <v>5394</v>
      </c>
      <c r="Q32" s="196" t="s">
        <v>5448</v>
      </c>
      <c r="R32" s="195" t="s">
        <v>3064</v>
      </c>
      <c r="S32" s="195" t="s">
        <v>3064</v>
      </c>
      <c r="T32" s="195"/>
      <c r="U32" s="196" t="s">
        <v>5797</v>
      </c>
      <c r="V32" s="195" t="s">
        <v>5798</v>
      </c>
      <c r="W32" s="198" t="s">
        <v>5799</v>
      </c>
      <c r="X32" s="106" t="s">
        <v>5800</v>
      </c>
      <c r="Y32" s="106" t="s">
        <v>5785</v>
      </c>
      <c r="Z32" s="106" t="s">
        <v>5442</v>
      </c>
      <c r="AA32" s="195" t="s">
        <v>1666</v>
      </c>
      <c r="AB32" s="198" t="s">
        <v>5801</v>
      </c>
      <c r="AC32" s="106" t="s">
        <v>5802</v>
      </c>
      <c r="AD32" s="106" t="s">
        <v>5772</v>
      </c>
      <c r="AE32" s="106" t="s">
        <v>5412</v>
      </c>
      <c r="AF32" s="195" t="s">
        <v>5803</v>
      </c>
      <c r="AG32" s="197"/>
      <c r="AH32" s="199">
        <v>2</v>
      </c>
      <c r="AI32" s="200" t="s">
        <v>5804</v>
      </c>
    </row>
    <row r="33" spans="1:35" ht="13.5" customHeight="1" thickBot="1" x14ac:dyDescent="0.35">
      <c r="A33" s="106">
        <v>31</v>
      </c>
      <c r="B33" s="188" t="s">
        <v>5805</v>
      </c>
      <c r="C33" s="189" t="s">
        <v>1617</v>
      </c>
      <c r="D33" s="101" t="s">
        <v>5186</v>
      </c>
      <c r="E33" s="201" t="s">
        <v>5806</v>
      </c>
      <c r="F33" s="101" t="s">
        <v>2377</v>
      </c>
      <c r="G33" s="192">
        <v>40739</v>
      </c>
      <c r="H33" s="193" t="s">
        <v>52</v>
      </c>
      <c r="I33" s="193" t="s">
        <v>5396</v>
      </c>
      <c r="J33" s="194" t="s">
        <v>5807</v>
      </c>
      <c r="K33" s="202" t="s">
        <v>5808</v>
      </c>
      <c r="L33" s="193" t="s">
        <v>3675</v>
      </c>
      <c r="M33" s="193"/>
      <c r="N33" s="193" t="s">
        <v>5809</v>
      </c>
      <c r="O33" s="195" t="s">
        <v>5810</v>
      </c>
      <c r="P33" s="196" t="s">
        <v>5157</v>
      </c>
      <c r="Q33" s="196" t="s">
        <v>5415</v>
      </c>
      <c r="R33" s="195" t="s">
        <v>2399</v>
      </c>
      <c r="S33" s="195" t="s">
        <v>3961</v>
      </c>
      <c r="T33" s="195"/>
      <c r="U33" s="196" t="s">
        <v>5521</v>
      </c>
      <c r="V33" s="195" t="s">
        <v>5811</v>
      </c>
      <c r="W33" s="198" t="s">
        <v>5812</v>
      </c>
      <c r="X33" s="106" t="s">
        <v>5813</v>
      </c>
      <c r="Y33" s="106" t="s">
        <v>5772</v>
      </c>
      <c r="Z33" s="106" t="s">
        <v>5442</v>
      </c>
      <c r="AA33" s="195" t="s">
        <v>5814</v>
      </c>
      <c r="AB33" s="198" t="s">
        <v>5815</v>
      </c>
      <c r="AC33" s="106" t="s">
        <v>5816</v>
      </c>
      <c r="AD33" s="270" t="s">
        <v>5772</v>
      </c>
      <c r="AE33" s="106" t="s">
        <v>5412</v>
      </c>
      <c r="AF33" s="195" t="s">
        <v>3552</v>
      </c>
      <c r="AG33" s="195"/>
      <c r="AH33" s="199">
        <v>1</v>
      </c>
      <c r="AI33" s="200" t="s">
        <v>5817</v>
      </c>
    </row>
    <row r="34" spans="1:35" ht="13.5" customHeight="1" x14ac:dyDescent="0.3">
      <c r="A34" s="50">
        <v>32</v>
      </c>
      <c r="B34" s="222" t="s">
        <v>5818</v>
      </c>
      <c r="C34" s="50" t="s">
        <v>13</v>
      </c>
      <c r="D34" s="42" t="s">
        <v>5819</v>
      </c>
      <c r="E34" s="275" t="s">
        <v>5820</v>
      </c>
      <c r="F34" s="42"/>
      <c r="G34" s="226">
        <v>40521</v>
      </c>
      <c r="H34" s="48"/>
      <c r="I34" s="48" t="s">
        <v>5396</v>
      </c>
      <c r="J34" s="227"/>
      <c r="K34" s="228"/>
      <c r="L34" s="48"/>
      <c r="M34" s="48"/>
      <c r="N34" s="48"/>
      <c r="O34" s="229" t="s">
        <v>5821</v>
      </c>
      <c r="P34" s="230" t="s">
        <v>5461</v>
      </c>
      <c r="Q34" s="230" t="s">
        <v>5461</v>
      </c>
      <c r="R34" s="229" t="s">
        <v>2485</v>
      </c>
      <c r="S34" s="229" t="s">
        <v>5422</v>
      </c>
      <c r="T34" s="229"/>
      <c r="U34" s="230" t="s">
        <v>5657</v>
      </c>
      <c r="V34" s="229"/>
      <c r="W34" s="232"/>
      <c r="X34" s="50"/>
      <c r="Y34" s="50"/>
      <c r="Z34" s="50"/>
      <c r="AA34" s="229"/>
      <c r="AB34" s="232"/>
      <c r="AC34" s="50"/>
      <c r="AD34" s="50"/>
      <c r="AE34" s="50"/>
      <c r="AF34" s="229" t="s">
        <v>5822</v>
      </c>
      <c r="AG34" s="231"/>
      <c r="AH34" s="233"/>
      <c r="AI34" s="234" t="s">
        <v>5823</v>
      </c>
    </row>
    <row r="35" spans="1:35" ht="13.5" customHeight="1" x14ac:dyDescent="0.3">
      <c r="A35" s="106">
        <v>33</v>
      </c>
      <c r="B35" s="188" t="s">
        <v>5824</v>
      </c>
      <c r="C35" s="106" t="s">
        <v>13</v>
      </c>
      <c r="D35" s="101" t="s">
        <v>5187</v>
      </c>
      <c r="E35" s="190" t="s">
        <v>5825</v>
      </c>
      <c r="F35" s="101" t="s">
        <v>2377</v>
      </c>
      <c r="G35" s="192">
        <v>40999</v>
      </c>
      <c r="H35" s="193" t="s">
        <v>52</v>
      </c>
      <c r="I35" s="193" t="s">
        <v>5396</v>
      </c>
      <c r="J35" s="194" t="s">
        <v>5826</v>
      </c>
      <c r="K35" s="202" t="s">
        <v>5827</v>
      </c>
      <c r="L35" s="193" t="s">
        <v>5828</v>
      </c>
      <c r="M35" s="193"/>
      <c r="N35" s="193"/>
      <c r="O35" s="195" t="s">
        <v>3105</v>
      </c>
      <c r="P35" s="196" t="s">
        <v>5415</v>
      </c>
      <c r="Q35" s="196" t="s">
        <v>5448</v>
      </c>
      <c r="R35" s="195" t="s">
        <v>3105</v>
      </c>
      <c r="S35" s="195" t="s">
        <v>5422</v>
      </c>
      <c r="T35" s="195"/>
      <c r="U35" s="196" t="s">
        <v>5657</v>
      </c>
      <c r="V35" s="195" t="s">
        <v>5829</v>
      </c>
      <c r="W35" s="198" t="s">
        <v>5830</v>
      </c>
      <c r="X35" s="106" t="s">
        <v>5831</v>
      </c>
      <c r="Y35" s="106" t="s">
        <v>5785</v>
      </c>
      <c r="Z35" s="106" t="s">
        <v>5442</v>
      </c>
      <c r="AA35" s="195" t="s">
        <v>2889</v>
      </c>
      <c r="AB35" s="198" t="s">
        <v>5832</v>
      </c>
      <c r="AC35" s="106" t="s">
        <v>5833</v>
      </c>
      <c r="AD35" s="106" t="s">
        <v>5772</v>
      </c>
      <c r="AE35" s="106" t="s">
        <v>5412</v>
      </c>
      <c r="AF35" s="195" t="s">
        <v>5834</v>
      </c>
      <c r="AG35" s="197"/>
      <c r="AH35" s="199">
        <v>2</v>
      </c>
      <c r="AI35" s="200" t="s">
        <v>5835</v>
      </c>
    </row>
    <row r="36" spans="1:35" ht="13.5" customHeight="1" x14ac:dyDescent="0.3">
      <c r="A36" s="106">
        <v>34</v>
      </c>
      <c r="B36" s="188" t="s">
        <v>5836</v>
      </c>
      <c r="C36" s="106" t="s">
        <v>1617</v>
      </c>
      <c r="D36" s="276" t="s">
        <v>5188</v>
      </c>
      <c r="E36" s="277" t="s">
        <v>5837</v>
      </c>
      <c r="F36" s="276" t="s">
        <v>2377</v>
      </c>
      <c r="G36" s="278">
        <v>40846</v>
      </c>
      <c r="H36" s="279" t="s">
        <v>53</v>
      </c>
      <c r="I36" s="279" t="s">
        <v>5396</v>
      </c>
      <c r="J36" s="280" t="s">
        <v>5838</v>
      </c>
      <c r="K36" s="281" t="s">
        <v>5839</v>
      </c>
      <c r="L36" s="279" t="s">
        <v>5840</v>
      </c>
      <c r="M36" s="279"/>
      <c r="N36" s="279" t="s">
        <v>5841</v>
      </c>
      <c r="O36" s="282" t="s">
        <v>5842</v>
      </c>
      <c r="P36" s="283" t="s">
        <v>5394</v>
      </c>
      <c r="Q36" s="283" t="s">
        <v>5401</v>
      </c>
      <c r="R36" s="282" t="s">
        <v>2399</v>
      </c>
      <c r="S36" s="282" t="s">
        <v>3961</v>
      </c>
      <c r="T36" s="282"/>
      <c r="U36" s="283" t="s">
        <v>5797</v>
      </c>
      <c r="V36" s="282" t="s">
        <v>5843</v>
      </c>
      <c r="W36" s="284" t="s">
        <v>5844</v>
      </c>
      <c r="X36" s="285" t="s">
        <v>5845</v>
      </c>
      <c r="Y36" s="285" t="s">
        <v>5772</v>
      </c>
      <c r="Z36" s="285"/>
      <c r="AA36" s="282" t="s">
        <v>5846</v>
      </c>
      <c r="AB36" s="284" t="s">
        <v>5847</v>
      </c>
      <c r="AC36" s="285" t="s">
        <v>5848</v>
      </c>
      <c r="AD36" s="106" t="s">
        <v>5407</v>
      </c>
      <c r="AE36" s="285" t="s">
        <v>5412</v>
      </c>
      <c r="AF36" s="282" t="s">
        <v>3552</v>
      </c>
      <c r="AG36" s="283" t="s">
        <v>5849</v>
      </c>
      <c r="AH36" s="286">
        <v>2</v>
      </c>
      <c r="AI36" s="287" t="s">
        <v>5850</v>
      </c>
    </row>
    <row r="37" spans="1:35" ht="13.5" customHeight="1" x14ac:dyDescent="0.3">
      <c r="A37" s="106">
        <v>35</v>
      </c>
      <c r="B37" s="188" t="s">
        <v>5851</v>
      </c>
      <c r="C37" s="189" t="s">
        <v>13</v>
      </c>
      <c r="D37" s="54" t="s">
        <v>5189</v>
      </c>
      <c r="E37" s="200" t="s">
        <v>5852</v>
      </c>
      <c r="F37" s="54" t="s">
        <v>2377</v>
      </c>
      <c r="G37" s="108">
        <v>41125</v>
      </c>
      <c r="H37" s="106" t="s">
        <v>53</v>
      </c>
      <c r="I37" s="54" t="s">
        <v>5396</v>
      </c>
      <c r="J37" s="200" t="s">
        <v>5853</v>
      </c>
      <c r="K37" s="200" t="s">
        <v>5854</v>
      </c>
      <c r="L37" s="54"/>
      <c r="M37" s="54"/>
      <c r="N37" s="54" t="s">
        <v>5855</v>
      </c>
      <c r="O37" s="54" t="s">
        <v>5626</v>
      </c>
      <c r="P37" s="200" t="s">
        <v>5432</v>
      </c>
      <c r="Q37" s="200" t="s">
        <v>5432</v>
      </c>
      <c r="R37" s="54" t="s">
        <v>3105</v>
      </c>
      <c r="S37" s="54" t="s">
        <v>5422</v>
      </c>
      <c r="T37" s="54"/>
      <c r="U37" s="200" t="s">
        <v>5657</v>
      </c>
      <c r="V37" s="54" t="s">
        <v>5856</v>
      </c>
      <c r="W37" s="200" t="s">
        <v>5857</v>
      </c>
      <c r="X37" s="54" t="s">
        <v>5858</v>
      </c>
      <c r="Y37" s="54" t="s">
        <v>5785</v>
      </c>
      <c r="Z37" s="54" t="s">
        <v>5427</v>
      </c>
      <c r="AA37" s="54" t="s">
        <v>5859</v>
      </c>
      <c r="AB37" s="200" t="s">
        <v>5860</v>
      </c>
      <c r="AC37" s="54" t="s">
        <v>5861</v>
      </c>
      <c r="AD37" s="54" t="s">
        <v>5772</v>
      </c>
      <c r="AE37" s="106" t="s">
        <v>5412</v>
      </c>
      <c r="AF37" s="282" t="s">
        <v>5862</v>
      </c>
      <c r="AG37" s="54"/>
      <c r="AH37" s="54">
        <v>1</v>
      </c>
      <c r="AI37" s="200" t="s">
        <v>5863</v>
      </c>
    </row>
    <row r="38" spans="1:35" ht="13.5" customHeight="1" x14ac:dyDescent="0.3">
      <c r="A38" s="106">
        <v>36</v>
      </c>
      <c r="B38" s="188" t="s">
        <v>5864</v>
      </c>
      <c r="C38" s="106" t="s">
        <v>13</v>
      </c>
      <c r="D38" s="101" t="s">
        <v>5190</v>
      </c>
      <c r="E38" s="190" t="s">
        <v>5865</v>
      </c>
      <c r="F38" s="101" t="s">
        <v>2377</v>
      </c>
      <c r="G38" s="192">
        <v>40975</v>
      </c>
      <c r="H38" s="193" t="s">
        <v>52</v>
      </c>
      <c r="I38" s="193" t="s">
        <v>5396</v>
      </c>
      <c r="J38" s="194" t="s">
        <v>5866</v>
      </c>
      <c r="K38" s="202" t="s">
        <v>5867</v>
      </c>
      <c r="L38" s="193" t="s">
        <v>5868</v>
      </c>
      <c r="M38" s="193"/>
      <c r="N38" s="193"/>
      <c r="O38" s="195" t="s">
        <v>5869</v>
      </c>
      <c r="P38" s="196" t="s">
        <v>5394</v>
      </c>
      <c r="Q38" s="196" t="s">
        <v>5448</v>
      </c>
      <c r="R38" s="195" t="s">
        <v>3581</v>
      </c>
      <c r="S38" s="195" t="s">
        <v>5422</v>
      </c>
      <c r="T38" s="195"/>
      <c r="U38" s="195">
        <v>40562</v>
      </c>
      <c r="V38" s="195" t="s">
        <v>5870</v>
      </c>
      <c r="W38" s="198" t="s">
        <v>5871</v>
      </c>
      <c r="X38" s="106" t="s">
        <v>5872</v>
      </c>
      <c r="Y38" s="106" t="s">
        <v>5772</v>
      </c>
      <c r="Z38" s="106" t="s">
        <v>5442</v>
      </c>
      <c r="AA38" s="195" t="s">
        <v>5873</v>
      </c>
      <c r="AB38" s="198" t="s">
        <v>5874</v>
      </c>
      <c r="AC38" s="106" t="s">
        <v>5875</v>
      </c>
      <c r="AD38" s="106" t="s">
        <v>5772</v>
      </c>
      <c r="AE38" s="106" t="s">
        <v>5412</v>
      </c>
      <c r="AF38" s="282" t="s">
        <v>5862</v>
      </c>
      <c r="AG38" s="195" t="s">
        <v>5876</v>
      </c>
      <c r="AH38" s="199">
        <v>2</v>
      </c>
      <c r="AI38" s="200" t="s">
        <v>5877</v>
      </c>
    </row>
    <row r="39" spans="1:35" ht="13.5" customHeight="1" x14ac:dyDescent="0.3">
      <c r="A39" s="106">
        <v>37</v>
      </c>
      <c r="B39" s="188" t="s">
        <v>5878</v>
      </c>
      <c r="C39" s="189" t="s">
        <v>13</v>
      </c>
      <c r="D39" s="101" t="s">
        <v>5191</v>
      </c>
      <c r="E39" s="201" t="s">
        <v>5879</v>
      </c>
      <c r="F39" s="101" t="s">
        <v>2352</v>
      </c>
      <c r="G39" s="192">
        <v>40901</v>
      </c>
      <c r="H39" s="193" t="s">
        <v>53</v>
      </c>
      <c r="I39" s="193" t="s">
        <v>5396</v>
      </c>
      <c r="J39" s="194" t="s">
        <v>5880</v>
      </c>
      <c r="K39" s="202" t="s">
        <v>5881</v>
      </c>
      <c r="L39" s="193" t="s">
        <v>5882</v>
      </c>
      <c r="M39" s="193"/>
      <c r="N39" s="193"/>
      <c r="O39" s="195" t="s">
        <v>5883</v>
      </c>
      <c r="P39" s="196" t="s">
        <v>5394</v>
      </c>
      <c r="Q39" s="196" t="s">
        <v>5432</v>
      </c>
      <c r="R39" s="195" t="s">
        <v>2845</v>
      </c>
      <c r="S39" s="195" t="s">
        <v>3961</v>
      </c>
      <c r="T39" s="195"/>
      <c r="U39" s="196" t="s">
        <v>5521</v>
      </c>
      <c r="V39" s="195" t="s">
        <v>5884</v>
      </c>
      <c r="W39" s="198" t="s">
        <v>5885</v>
      </c>
      <c r="X39" s="106" t="s">
        <v>5886</v>
      </c>
      <c r="Y39" s="106" t="s">
        <v>5772</v>
      </c>
      <c r="Z39" s="106" t="s">
        <v>5442</v>
      </c>
      <c r="AA39" s="195" t="s">
        <v>5887</v>
      </c>
      <c r="AB39" s="198" t="s">
        <v>5888</v>
      </c>
      <c r="AC39" s="106" t="s">
        <v>5889</v>
      </c>
      <c r="AD39" s="106" t="s">
        <v>5772</v>
      </c>
      <c r="AE39" s="106" t="s">
        <v>5412</v>
      </c>
      <c r="AF39" s="195" t="s">
        <v>5890</v>
      </c>
      <c r="AG39" s="197"/>
      <c r="AH39" s="199">
        <v>2</v>
      </c>
      <c r="AI39" s="200" t="s">
        <v>5891</v>
      </c>
    </row>
    <row r="40" spans="1:35" ht="13.5" customHeight="1" x14ac:dyDescent="0.3">
      <c r="A40" s="106">
        <v>38</v>
      </c>
      <c r="B40" s="188" t="s">
        <v>5892</v>
      </c>
      <c r="C40" s="189" t="s">
        <v>13</v>
      </c>
      <c r="D40" s="101" t="s">
        <v>5192</v>
      </c>
      <c r="E40" s="190" t="s">
        <v>5893</v>
      </c>
      <c r="F40" s="101" t="s">
        <v>2377</v>
      </c>
      <c r="G40" s="192">
        <v>40783</v>
      </c>
      <c r="H40" s="193" t="s">
        <v>53</v>
      </c>
      <c r="I40" s="193" t="s">
        <v>5396</v>
      </c>
      <c r="J40" s="194" t="s">
        <v>5894</v>
      </c>
      <c r="K40" s="202" t="s">
        <v>5895</v>
      </c>
      <c r="L40" s="193" t="s">
        <v>5896</v>
      </c>
      <c r="M40" s="193"/>
      <c r="N40" s="193"/>
      <c r="O40" s="195" t="s">
        <v>5897</v>
      </c>
      <c r="P40" s="196" t="s">
        <v>5415</v>
      </c>
      <c r="Q40" s="196" t="s">
        <v>5157</v>
      </c>
      <c r="R40" s="195" t="s">
        <v>2845</v>
      </c>
      <c r="S40" s="195" t="s">
        <v>3961</v>
      </c>
      <c r="T40" s="195"/>
      <c r="U40" s="196" t="s">
        <v>5521</v>
      </c>
      <c r="V40" s="195" t="s">
        <v>5898</v>
      </c>
      <c r="W40" s="198" t="s">
        <v>5899</v>
      </c>
      <c r="X40" s="106" t="s">
        <v>5900</v>
      </c>
      <c r="Y40" s="106" t="s">
        <v>5785</v>
      </c>
      <c r="Z40" s="106" t="s">
        <v>5442</v>
      </c>
      <c r="AA40" s="195" t="s">
        <v>5901</v>
      </c>
      <c r="AB40" s="198" t="s">
        <v>5902</v>
      </c>
      <c r="AC40" s="106" t="s">
        <v>5903</v>
      </c>
      <c r="AD40" s="106" t="s">
        <v>5904</v>
      </c>
      <c r="AE40" s="106" t="s">
        <v>5412</v>
      </c>
      <c r="AF40" s="195" t="s">
        <v>5890</v>
      </c>
      <c r="AG40" s="195"/>
      <c r="AH40" s="199">
        <v>1</v>
      </c>
      <c r="AI40" s="200" t="s">
        <v>5905</v>
      </c>
    </row>
    <row r="41" spans="1:35" ht="13.5" customHeight="1" x14ac:dyDescent="0.3">
      <c r="A41" s="106">
        <v>39</v>
      </c>
      <c r="B41" s="188" t="s">
        <v>5906</v>
      </c>
      <c r="C41" s="189" t="s">
        <v>13</v>
      </c>
      <c r="D41" s="101" t="s">
        <v>5193</v>
      </c>
      <c r="E41" s="201" t="s">
        <v>5907</v>
      </c>
      <c r="F41" s="101" t="s">
        <v>2377</v>
      </c>
      <c r="G41" s="192">
        <v>40816</v>
      </c>
      <c r="H41" s="193" t="s">
        <v>52</v>
      </c>
      <c r="I41" s="193" t="s">
        <v>5396</v>
      </c>
      <c r="J41" s="194" t="s">
        <v>5908</v>
      </c>
      <c r="K41" s="202" t="s">
        <v>5909</v>
      </c>
      <c r="L41" s="193" t="s">
        <v>5910</v>
      </c>
      <c r="M41" s="193"/>
      <c r="N41" s="193"/>
      <c r="O41" s="195" t="s">
        <v>5626</v>
      </c>
      <c r="P41" s="196" t="s">
        <v>5394</v>
      </c>
      <c r="Q41" s="196" t="s">
        <v>5394</v>
      </c>
      <c r="R41" s="195" t="s">
        <v>3105</v>
      </c>
      <c r="S41" s="195" t="s">
        <v>5422</v>
      </c>
      <c r="T41" s="195"/>
      <c r="U41" s="195">
        <v>40562</v>
      </c>
      <c r="V41" s="195" t="s">
        <v>5911</v>
      </c>
      <c r="W41" s="198" t="s">
        <v>5912</v>
      </c>
      <c r="X41" s="106" t="s">
        <v>5913</v>
      </c>
      <c r="Y41" s="106" t="s">
        <v>5785</v>
      </c>
      <c r="Z41" s="106" t="s">
        <v>5442</v>
      </c>
      <c r="AA41" s="195" t="s">
        <v>5914</v>
      </c>
      <c r="AB41" s="198" t="s">
        <v>5915</v>
      </c>
      <c r="AC41" s="106" t="s">
        <v>5916</v>
      </c>
      <c r="AD41" s="106" t="s">
        <v>5426</v>
      </c>
      <c r="AE41" s="106" t="s">
        <v>5412</v>
      </c>
      <c r="AF41" s="195" t="s">
        <v>5917</v>
      </c>
      <c r="AG41" s="197"/>
      <c r="AH41" s="199">
        <v>2</v>
      </c>
      <c r="AI41" s="200" t="s">
        <v>5918</v>
      </c>
    </row>
    <row r="42" spans="1:35" ht="13.5" customHeight="1" x14ac:dyDescent="0.3">
      <c r="A42" s="106">
        <v>40</v>
      </c>
      <c r="B42" s="188" t="s">
        <v>5919</v>
      </c>
      <c r="C42" s="189" t="s">
        <v>13</v>
      </c>
      <c r="D42" s="101" t="s">
        <v>5194</v>
      </c>
      <c r="E42" s="190" t="s">
        <v>5920</v>
      </c>
      <c r="F42" s="101" t="s">
        <v>2377</v>
      </c>
      <c r="G42" s="192">
        <v>41193</v>
      </c>
      <c r="H42" s="193" t="s">
        <v>52</v>
      </c>
      <c r="I42" s="193" t="s">
        <v>5396</v>
      </c>
      <c r="J42" s="194" t="s">
        <v>5921</v>
      </c>
      <c r="K42" s="202" t="s">
        <v>5922</v>
      </c>
      <c r="L42" s="193" t="s">
        <v>5923</v>
      </c>
      <c r="M42" s="193"/>
      <c r="N42" s="193"/>
      <c r="O42" s="195" t="s">
        <v>5626</v>
      </c>
      <c r="P42" s="196" t="s">
        <v>5432</v>
      </c>
      <c r="Q42" s="196" t="s">
        <v>5394</v>
      </c>
      <c r="R42" s="195" t="s">
        <v>3105</v>
      </c>
      <c r="S42" s="195" t="s">
        <v>5422</v>
      </c>
      <c r="T42" s="195"/>
      <c r="U42" s="195">
        <v>40562</v>
      </c>
      <c r="V42" s="195" t="s">
        <v>5924</v>
      </c>
      <c r="W42" s="198" t="s">
        <v>5925</v>
      </c>
      <c r="X42" s="106" t="s">
        <v>5926</v>
      </c>
      <c r="Y42" s="106" t="s">
        <v>5407</v>
      </c>
      <c r="Z42" s="106" t="s">
        <v>5551</v>
      </c>
      <c r="AA42" s="195" t="s">
        <v>5927</v>
      </c>
      <c r="AB42" s="198" t="s">
        <v>5928</v>
      </c>
      <c r="AC42" s="106" t="s">
        <v>5929</v>
      </c>
      <c r="AD42" s="106" t="s">
        <v>5407</v>
      </c>
      <c r="AE42" s="106" t="s">
        <v>5412</v>
      </c>
      <c r="AF42" s="195" t="s">
        <v>5930</v>
      </c>
      <c r="AG42" s="197"/>
      <c r="AH42" s="199">
        <v>3</v>
      </c>
      <c r="AI42" s="200"/>
    </row>
    <row r="43" spans="1:35" ht="13.5" customHeight="1" x14ac:dyDescent="0.3">
      <c r="A43" s="106">
        <v>41</v>
      </c>
      <c r="B43" s="188" t="s">
        <v>5931</v>
      </c>
      <c r="C43" s="106" t="s">
        <v>1613</v>
      </c>
      <c r="D43" s="101" t="s">
        <v>5201</v>
      </c>
      <c r="E43" s="201" t="s">
        <v>5932</v>
      </c>
      <c r="F43" s="101" t="s">
        <v>2352</v>
      </c>
      <c r="G43" s="192">
        <v>40812</v>
      </c>
      <c r="H43" s="193" t="s">
        <v>53</v>
      </c>
      <c r="I43" s="193" t="s">
        <v>5396</v>
      </c>
      <c r="J43" s="194" t="s">
        <v>5933</v>
      </c>
      <c r="K43" s="202" t="s">
        <v>5934</v>
      </c>
      <c r="L43" s="193"/>
      <c r="M43" s="193"/>
      <c r="N43" s="193"/>
      <c r="O43" s="195" t="s">
        <v>5935</v>
      </c>
      <c r="P43" s="196" t="s">
        <v>5394</v>
      </c>
      <c r="Q43" s="196" t="s">
        <v>5401</v>
      </c>
      <c r="R43" s="195" t="s">
        <v>2845</v>
      </c>
      <c r="S43" s="195" t="s">
        <v>3961</v>
      </c>
      <c r="T43" s="195"/>
      <c r="U43" s="196" t="s">
        <v>5521</v>
      </c>
      <c r="V43" s="195" t="s">
        <v>5936</v>
      </c>
      <c r="W43" s="198" t="s">
        <v>5937</v>
      </c>
      <c r="X43" s="106" t="s">
        <v>5938</v>
      </c>
      <c r="Y43" s="106" t="s">
        <v>5785</v>
      </c>
      <c r="Z43" s="106" t="s">
        <v>5442</v>
      </c>
      <c r="AA43" s="195" t="s">
        <v>5939</v>
      </c>
      <c r="AB43" s="198" t="s">
        <v>5940</v>
      </c>
      <c r="AC43" s="106" t="s">
        <v>5941</v>
      </c>
      <c r="AD43" s="106" t="s">
        <v>5904</v>
      </c>
      <c r="AE43" s="106" t="s">
        <v>5412</v>
      </c>
      <c r="AF43" s="195" t="s">
        <v>5930</v>
      </c>
      <c r="AG43" s="197"/>
      <c r="AH43" s="199"/>
      <c r="AI43" s="200" t="s">
        <v>5942</v>
      </c>
    </row>
    <row r="44" spans="1:35" ht="13.5" customHeight="1" x14ac:dyDescent="0.3">
      <c r="A44" s="106">
        <v>42</v>
      </c>
      <c r="B44" s="188" t="s">
        <v>5943</v>
      </c>
      <c r="C44" s="189" t="s">
        <v>1613</v>
      </c>
      <c r="D44" s="101" t="s">
        <v>5202</v>
      </c>
      <c r="E44" s="201" t="s">
        <v>5944</v>
      </c>
      <c r="F44" s="101" t="s">
        <v>2352</v>
      </c>
      <c r="G44" s="192">
        <v>40920</v>
      </c>
      <c r="H44" s="193" t="s">
        <v>53</v>
      </c>
      <c r="I44" s="193" t="s">
        <v>5396</v>
      </c>
      <c r="J44" s="194"/>
      <c r="K44" s="202"/>
      <c r="L44" s="193"/>
      <c r="M44" s="193"/>
      <c r="N44" s="193"/>
      <c r="O44" s="195" t="s">
        <v>5810</v>
      </c>
      <c r="P44" s="196" t="s">
        <v>5157</v>
      </c>
      <c r="Q44" s="196" t="s">
        <v>5415</v>
      </c>
      <c r="R44" s="195" t="s">
        <v>2399</v>
      </c>
      <c r="S44" s="195" t="s">
        <v>3961</v>
      </c>
      <c r="T44" s="195"/>
      <c r="U44" s="195"/>
      <c r="V44" s="195" t="s">
        <v>5945</v>
      </c>
      <c r="W44" s="198"/>
      <c r="X44" s="106"/>
      <c r="Y44" s="106"/>
      <c r="Z44" s="106"/>
      <c r="AA44" s="195" t="s">
        <v>5946</v>
      </c>
      <c r="AB44" s="198"/>
      <c r="AC44" s="106"/>
      <c r="AD44" s="106"/>
      <c r="AE44" s="106"/>
      <c r="AF44" s="189" t="s">
        <v>5930</v>
      </c>
      <c r="AG44" s="197"/>
      <c r="AH44" s="199"/>
      <c r="AI44" s="200" t="s">
        <v>5947</v>
      </c>
    </row>
    <row r="45" spans="1:35" ht="13.5" customHeight="1" x14ac:dyDescent="0.3">
      <c r="A45" s="288">
        <v>43</v>
      </c>
      <c r="B45" s="188" t="s">
        <v>5948</v>
      </c>
      <c r="C45" s="288" t="s">
        <v>1614</v>
      </c>
      <c r="D45" s="289" t="s">
        <v>5229</v>
      </c>
      <c r="E45" s="201" t="s">
        <v>5949</v>
      </c>
      <c r="F45" s="289" t="s">
        <v>2377</v>
      </c>
      <c r="G45" s="192">
        <v>40641</v>
      </c>
      <c r="H45" s="193" t="s">
        <v>53</v>
      </c>
      <c r="I45" s="193" t="s">
        <v>5396</v>
      </c>
      <c r="J45" s="194"/>
      <c r="K45" s="202"/>
      <c r="L45" s="193"/>
      <c r="M45" s="193"/>
      <c r="N45" s="290"/>
      <c r="O45" s="189" t="s">
        <v>5950</v>
      </c>
      <c r="P45" s="291" t="s">
        <v>5415</v>
      </c>
      <c r="Q45" s="291" t="s">
        <v>5502</v>
      </c>
      <c r="R45" s="189" t="s">
        <v>2845</v>
      </c>
      <c r="S45" s="189" t="s">
        <v>3961</v>
      </c>
      <c r="T45" s="189"/>
      <c r="U45" s="189"/>
      <c r="V45" s="189" t="s">
        <v>5951</v>
      </c>
      <c r="W45" s="292"/>
      <c r="X45" s="288"/>
      <c r="Y45" s="288"/>
      <c r="Z45" s="288"/>
      <c r="AA45" s="189" t="s">
        <v>5952</v>
      </c>
      <c r="AB45" s="292"/>
      <c r="AC45" s="288"/>
      <c r="AD45" s="288"/>
      <c r="AE45" s="288"/>
      <c r="AF45" s="189" t="s">
        <v>5930</v>
      </c>
      <c r="AG45" s="189"/>
      <c r="AH45" s="293"/>
      <c r="AI45" s="294"/>
    </row>
    <row r="46" spans="1:35" ht="13.5" customHeight="1" x14ac:dyDescent="0.3">
      <c r="A46" s="106">
        <v>44</v>
      </c>
      <c r="B46" s="188" t="s">
        <v>5953</v>
      </c>
      <c r="C46" s="106" t="s">
        <v>13</v>
      </c>
      <c r="D46" s="101" t="s">
        <v>5195</v>
      </c>
      <c r="E46" s="190" t="s">
        <v>5954</v>
      </c>
      <c r="F46" s="101" t="s">
        <v>2377</v>
      </c>
      <c r="G46" s="192">
        <v>40478</v>
      </c>
      <c r="H46" s="193" t="s">
        <v>53</v>
      </c>
      <c r="I46" s="193" t="s">
        <v>5396</v>
      </c>
      <c r="J46" s="194"/>
      <c r="K46" s="202"/>
      <c r="L46" s="193" t="s">
        <v>5955</v>
      </c>
      <c r="M46" s="193"/>
      <c r="N46" s="193"/>
      <c r="O46" s="195" t="s">
        <v>5956</v>
      </c>
      <c r="P46" s="196" t="s">
        <v>5394</v>
      </c>
      <c r="Q46" s="196" t="s">
        <v>5394</v>
      </c>
      <c r="R46" s="195" t="s">
        <v>3189</v>
      </c>
      <c r="S46" s="195" t="s">
        <v>3961</v>
      </c>
      <c r="T46" s="195"/>
      <c r="U46" s="195">
        <v>40764</v>
      </c>
      <c r="V46" s="195" t="s">
        <v>5957</v>
      </c>
      <c r="W46" s="198" t="s">
        <v>5958</v>
      </c>
      <c r="X46" s="106" t="s">
        <v>5959</v>
      </c>
      <c r="Y46" s="106" t="s">
        <v>5772</v>
      </c>
      <c r="Z46" s="106" t="s">
        <v>5442</v>
      </c>
      <c r="AA46" s="195" t="s">
        <v>5509</v>
      </c>
      <c r="AB46" s="198" t="s">
        <v>5960</v>
      </c>
      <c r="AC46" s="106" t="s">
        <v>5961</v>
      </c>
      <c r="AD46" s="106" t="s">
        <v>5772</v>
      </c>
      <c r="AE46" s="106" t="s">
        <v>5412</v>
      </c>
      <c r="AF46" s="195" t="s">
        <v>5962</v>
      </c>
      <c r="AG46" s="197"/>
      <c r="AH46" s="199">
        <v>3</v>
      </c>
      <c r="AI46" s="200" t="s">
        <v>5963</v>
      </c>
    </row>
    <row r="47" spans="1:35" ht="13.5" customHeight="1" x14ac:dyDescent="0.3">
      <c r="A47" s="106">
        <v>45</v>
      </c>
      <c r="B47" s="188" t="s">
        <v>5964</v>
      </c>
      <c r="C47" s="189" t="s">
        <v>1613</v>
      </c>
      <c r="D47" s="101" t="s">
        <v>5203</v>
      </c>
      <c r="E47" s="190" t="s">
        <v>5965</v>
      </c>
      <c r="F47" s="101" t="s">
        <v>2377</v>
      </c>
      <c r="G47" s="295">
        <v>41051</v>
      </c>
      <c r="H47" s="193" t="s">
        <v>52</v>
      </c>
      <c r="I47" s="193" t="s">
        <v>5396</v>
      </c>
      <c r="J47" s="202" t="s">
        <v>5966</v>
      </c>
      <c r="K47" s="202" t="s">
        <v>5967</v>
      </c>
      <c r="L47" s="191" t="s">
        <v>5968</v>
      </c>
      <c r="M47" s="193"/>
      <c r="N47" s="191"/>
      <c r="O47" s="296" t="s">
        <v>5969</v>
      </c>
      <c r="P47" s="297" t="s">
        <v>5432</v>
      </c>
      <c r="Q47" s="297" t="s">
        <v>5394</v>
      </c>
      <c r="R47" s="296" t="s">
        <v>2399</v>
      </c>
      <c r="S47" s="296" t="s">
        <v>3961</v>
      </c>
      <c r="T47" s="296"/>
      <c r="U47" s="297" t="s">
        <v>5521</v>
      </c>
      <c r="V47" s="296" t="s">
        <v>5970</v>
      </c>
      <c r="W47" s="107" t="s">
        <v>5971</v>
      </c>
      <c r="X47" s="101" t="s">
        <v>5972</v>
      </c>
      <c r="Y47" s="101" t="s">
        <v>5785</v>
      </c>
      <c r="Z47" s="101" t="s">
        <v>5442</v>
      </c>
      <c r="AA47" s="296" t="s">
        <v>5973</v>
      </c>
      <c r="AB47" s="107" t="s">
        <v>5974</v>
      </c>
      <c r="AC47" s="101" t="s">
        <v>5975</v>
      </c>
      <c r="AD47" s="101" t="s">
        <v>5785</v>
      </c>
      <c r="AE47" s="101" t="s">
        <v>5412</v>
      </c>
      <c r="AF47" s="296" t="s">
        <v>3552</v>
      </c>
      <c r="AG47" s="298"/>
      <c r="AH47" s="299">
        <v>1</v>
      </c>
      <c r="AI47" s="200" t="s">
        <v>5976</v>
      </c>
    </row>
    <row r="48" spans="1:35" ht="13.5" customHeight="1" x14ac:dyDescent="0.3">
      <c r="A48" s="106">
        <v>46</v>
      </c>
      <c r="B48" s="188" t="s">
        <v>5977</v>
      </c>
      <c r="C48" s="189" t="s">
        <v>1613</v>
      </c>
      <c r="D48" s="101" t="s">
        <v>5204</v>
      </c>
      <c r="E48" s="190">
        <v>118631292</v>
      </c>
      <c r="F48" s="101" t="s">
        <v>2928</v>
      </c>
      <c r="G48" s="295">
        <v>40871</v>
      </c>
      <c r="H48" s="193" t="s">
        <v>52</v>
      </c>
      <c r="I48" s="193" t="s">
        <v>5396</v>
      </c>
      <c r="J48" s="202" t="s">
        <v>5978</v>
      </c>
      <c r="K48" s="202" t="s">
        <v>5979</v>
      </c>
      <c r="L48" s="191" t="s">
        <v>5980</v>
      </c>
      <c r="M48" s="193"/>
      <c r="N48" s="191"/>
      <c r="O48" s="296" t="s">
        <v>2469</v>
      </c>
      <c r="P48" s="297" t="s">
        <v>5448</v>
      </c>
      <c r="Q48" s="297" t="s">
        <v>5514</v>
      </c>
      <c r="R48" s="296" t="s">
        <v>2355</v>
      </c>
      <c r="S48" s="296" t="s">
        <v>3961</v>
      </c>
      <c r="T48" s="296"/>
      <c r="U48" s="296">
        <v>40564</v>
      </c>
      <c r="V48" s="296" t="s">
        <v>5981</v>
      </c>
      <c r="W48" s="107" t="s">
        <v>5982</v>
      </c>
      <c r="X48" s="101" t="s">
        <v>5983</v>
      </c>
      <c r="Y48" s="101" t="s">
        <v>5772</v>
      </c>
      <c r="Z48" s="101" t="s">
        <v>5551</v>
      </c>
      <c r="AA48" s="296" t="s">
        <v>5984</v>
      </c>
      <c r="AB48" s="107" t="s">
        <v>5985</v>
      </c>
      <c r="AC48" s="101" t="s">
        <v>5986</v>
      </c>
      <c r="AD48" s="101" t="s">
        <v>5785</v>
      </c>
      <c r="AE48" s="101" t="s">
        <v>5987</v>
      </c>
      <c r="AF48" s="296" t="s">
        <v>5988</v>
      </c>
      <c r="AG48" s="298"/>
      <c r="AH48" s="299">
        <v>1</v>
      </c>
      <c r="AI48" s="200"/>
    </row>
    <row r="49" spans="1:35" ht="13.5" customHeight="1" x14ac:dyDescent="0.3">
      <c r="A49" s="106">
        <v>47</v>
      </c>
      <c r="B49" s="188" t="s">
        <v>5989</v>
      </c>
      <c r="C49" s="189" t="s">
        <v>1613</v>
      </c>
      <c r="D49" s="101" t="s">
        <v>5205</v>
      </c>
      <c r="E49" s="190" t="s">
        <v>5990</v>
      </c>
      <c r="F49" s="101" t="s">
        <v>2377</v>
      </c>
      <c r="G49" s="295">
        <v>40781</v>
      </c>
      <c r="H49" s="193" t="s">
        <v>52</v>
      </c>
      <c r="I49" s="193" t="s">
        <v>5396</v>
      </c>
      <c r="J49" s="202" t="s">
        <v>5991</v>
      </c>
      <c r="K49" s="202" t="s">
        <v>5992</v>
      </c>
      <c r="L49" s="191" t="s">
        <v>5993</v>
      </c>
      <c r="M49" s="193"/>
      <c r="N49" s="191" t="s">
        <v>5994</v>
      </c>
      <c r="O49" s="296" t="s">
        <v>2469</v>
      </c>
      <c r="P49" s="297" t="s">
        <v>5394</v>
      </c>
      <c r="Q49" s="297" t="s">
        <v>5415</v>
      </c>
      <c r="R49" s="296" t="s">
        <v>2355</v>
      </c>
      <c r="S49" s="296" t="s">
        <v>3961</v>
      </c>
      <c r="T49" s="296"/>
      <c r="U49" s="195">
        <v>40764</v>
      </c>
      <c r="V49" s="296" t="s">
        <v>5995</v>
      </c>
      <c r="W49" s="107" t="s">
        <v>5996</v>
      </c>
      <c r="X49" s="101" t="s">
        <v>5997</v>
      </c>
      <c r="Y49" s="101" t="s">
        <v>5772</v>
      </c>
      <c r="Z49" s="101" t="s">
        <v>5442</v>
      </c>
      <c r="AA49" s="296" t="s">
        <v>5998</v>
      </c>
      <c r="AB49" s="107" t="s">
        <v>5999</v>
      </c>
      <c r="AC49" s="101" t="s">
        <v>6000</v>
      </c>
      <c r="AD49" s="101" t="s">
        <v>5785</v>
      </c>
      <c r="AE49" s="101"/>
      <c r="AF49" s="296" t="s">
        <v>5988</v>
      </c>
      <c r="AG49" s="298"/>
      <c r="AH49" s="299">
        <v>5</v>
      </c>
      <c r="AI49" s="200" t="s">
        <v>6001</v>
      </c>
    </row>
    <row r="50" spans="1:35" ht="13.5" customHeight="1" x14ac:dyDescent="0.3">
      <c r="A50" s="106">
        <v>48</v>
      </c>
      <c r="B50" s="188" t="s">
        <v>6002</v>
      </c>
      <c r="C50" s="189" t="s">
        <v>1614</v>
      </c>
      <c r="D50" s="101" t="s">
        <v>5230</v>
      </c>
      <c r="E50" s="190" t="s">
        <v>6003</v>
      </c>
      <c r="F50" s="101" t="s">
        <v>2377</v>
      </c>
      <c r="G50" s="295">
        <v>40935</v>
      </c>
      <c r="H50" s="193" t="s">
        <v>52</v>
      </c>
      <c r="I50" s="193" t="s">
        <v>5396</v>
      </c>
      <c r="J50" s="202" t="s">
        <v>6004</v>
      </c>
      <c r="K50" s="202" t="s">
        <v>6005</v>
      </c>
      <c r="L50" s="191" t="s">
        <v>6006</v>
      </c>
      <c r="M50" s="193"/>
      <c r="N50" s="191" t="s">
        <v>6006</v>
      </c>
      <c r="O50" s="296" t="s">
        <v>2469</v>
      </c>
      <c r="P50" s="297" t="s">
        <v>5432</v>
      </c>
      <c r="Q50" s="297" t="s">
        <v>5415</v>
      </c>
      <c r="R50" s="296" t="s">
        <v>2355</v>
      </c>
      <c r="S50" s="296" t="s">
        <v>3961</v>
      </c>
      <c r="T50" s="296"/>
      <c r="U50" s="296">
        <v>40764</v>
      </c>
      <c r="V50" s="296" t="s">
        <v>6007</v>
      </c>
      <c r="W50" s="107" t="s">
        <v>6008</v>
      </c>
      <c r="X50" s="101" t="s">
        <v>6009</v>
      </c>
      <c r="Y50" s="101" t="s">
        <v>5904</v>
      </c>
      <c r="Z50" s="101" t="s">
        <v>5442</v>
      </c>
      <c r="AA50" s="296" t="s">
        <v>6010</v>
      </c>
      <c r="AB50" s="107" t="s">
        <v>6011</v>
      </c>
      <c r="AC50" s="101" t="s">
        <v>6012</v>
      </c>
      <c r="AD50" s="101" t="s">
        <v>5904</v>
      </c>
      <c r="AE50" s="101" t="s">
        <v>5412</v>
      </c>
      <c r="AF50" s="296" t="s">
        <v>5988</v>
      </c>
      <c r="AG50" s="298"/>
      <c r="AH50" s="299">
        <v>4</v>
      </c>
      <c r="AI50" s="200" t="s">
        <v>6013</v>
      </c>
    </row>
    <row r="51" spans="1:35" ht="13.5" customHeight="1" x14ac:dyDescent="0.3">
      <c r="A51" s="106">
        <v>49</v>
      </c>
      <c r="B51" s="188" t="s">
        <v>6014</v>
      </c>
      <c r="C51" s="189" t="s">
        <v>1613</v>
      </c>
      <c r="D51" s="101" t="s">
        <v>5206</v>
      </c>
      <c r="E51" s="190" t="s">
        <v>6015</v>
      </c>
      <c r="F51" s="101" t="s">
        <v>6016</v>
      </c>
      <c r="G51" s="295">
        <v>41183</v>
      </c>
      <c r="H51" s="193" t="s">
        <v>52</v>
      </c>
      <c r="I51" s="193" t="s">
        <v>5396</v>
      </c>
      <c r="J51" s="202" t="s">
        <v>6017</v>
      </c>
      <c r="K51" s="202"/>
      <c r="L51" s="191" t="s">
        <v>6018</v>
      </c>
      <c r="M51" s="193"/>
      <c r="N51" s="191" t="s">
        <v>6019</v>
      </c>
      <c r="O51" s="296" t="s">
        <v>6020</v>
      </c>
      <c r="P51" s="297" t="s">
        <v>5394</v>
      </c>
      <c r="Q51" s="297" t="s">
        <v>5514</v>
      </c>
      <c r="R51" s="296" t="s">
        <v>3581</v>
      </c>
      <c r="S51" s="296" t="s">
        <v>5422</v>
      </c>
      <c r="T51" s="296"/>
      <c r="U51" s="297" t="s">
        <v>5657</v>
      </c>
      <c r="V51" s="296"/>
      <c r="W51" s="107"/>
      <c r="X51" s="101"/>
      <c r="Y51" s="101"/>
      <c r="Z51" s="101"/>
      <c r="AA51" s="296"/>
      <c r="AB51" s="107"/>
      <c r="AC51" s="101"/>
      <c r="AD51" s="101"/>
      <c r="AE51" s="101"/>
      <c r="AF51" s="296" t="s">
        <v>6021</v>
      </c>
      <c r="AG51" s="298"/>
      <c r="AH51" s="299">
        <v>2</v>
      </c>
      <c r="AI51" s="200" t="s">
        <v>6022</v>
      </c>
    </row>
    <row r="52" spans="1:35" ht="13.5" customHeight="1" x14ac:dyDescent="0.3">
      <c r="A52" s="106">
        <v>50</v>
      </c>
      <c r="B52" s="188" t="s">
        <v>6023</v>
      </c>
      <c r="C52" s="106" t="s">
        <v>1613</v>
      </c>
      <c r="D52" s="101" t="s">
        <v>5207</v>
      </c>
      <c r="E52" s="190" t="s">
        <v>6024</v>
      </c>
      <c r="F52" s="101" t="s">
        <v>2377</v>
      </c>
      <c r="G52" s="295">
        <v>41078</v>
      </c>
      <c r="H52" s="193" t="s">
        <v>53</v>
      </c>
      <c r="I52" s="193" t="s">
        <v>5396</v>
      </c>
      <c r="J52" s="202" t="s">
        <v>6025</v>
      </c>
      <c r="K52" s="202" t="s">
        <v>6026</v>
      </c>
      <c r="L52" s="191" t="s">
        <v>6027</v>
      </c>
      <c r="M52" s="101"/>
      <c r="N52" s="191"/>
      <c r="O52" s="296" t="s">
        <v>6028</v>
      </c>
      <c r="P52" s="297" t="s">
        <v>5394</v>
      </c>
      <c r="Q52" s="297" t="s">
        <v>5448</v>
      </c>
      <c r="R52" s="296" t="s">
        <v>3637</v>
      </c>
      <c r="S52" s="296" t="s">
        <v>3961</v>
      </c>
      <c r="T52" s="296"/>
      <c r="U52" s="297" t="s">
        <v>5521</v>
      </c>
      <c r="V52" s="296" t="s">
        <v>6029</v>
      </c>
      <c r="W52" s="107" t="s">
        <v>6030</v>
      </c>
      <c r="X52" s="101" t="s">
        <v>6031</v>
      </c>
      <c r="Y52" s="101" t="s">
        <v>5785</v>
      </c>
      <c r="Z52" s="101" t="s">
        <v>5442</v>
      </c>
      <c r="AA52" s="296" t="s">
        <v>6032</v>
      </c>
      <c r="AB52" s="107" t="s">
        <v>6033</v>
      </c>
      <c r="AC52" s="101" t="s">
        <v>6034</v>
      </c>
      <c r="AD52" s="101" t="s">
        <v>5904</v>
      </c>
      <c r="AE52" s="101" t="s">
        <v>5412</v>
      </c>
      <c r="AF52" s="296" t="s">
        <v>6035</v>
      </c>
      <c r="AG52" s="298"/>
      <c r="AH52" s="299">
        <v>1</v>
      </c>
      <c r="AI52" s="200" t="s">
        <v>6036</v>
      </c>
    </row>
    <row r="53" spans="1:35" s="78" customFormat="1" ht="13.5" customHeight="1" x14ac:dyDescent="0.3">
      <c r="A53" s="50">
        <v>51</v>
      </c>
      <c r="B53" s="222" t="s">
        <v>6037</v>
      </c>
      <c r="C53" s="50" t="s">
        <v>1617</v>
      </c>
      <c r="D53" s="42" t="s">
        <v>7935</v>
      </c>
      <c r="E53" s="275" t="s">
        <v>6038</v>
      </c>
      <c r="F53" s="42" t="s">
        <v>3995</v>
      </c>
      <c r="G53" s="360">
        <v>40897</v>
      </c>
      <c r="H53" s="48" t="s">
        <v>53</v>
      </c>
      <c r="I53" s="48" t="s">
        <v>5396</v>
      </c>
      <c r="J53" s="228" t="s">
        <v>6039</v>
      </c>
      <c r="K53" s="228" t="s">
        <v>6040</v>
      </c>
      <c r="L53" s="225" t="s">
        <v>6041</v>
      </c>
      <c r="M53" s="42"/>
      <c r="N53" s="225"/>
      <c r="O53" s="328" t="s">
        <v>5656</v>
      </c>
      <c r="P53" s="361" t="s">
        <v>5448</v>
      </c>
      <c r="Q53" s="361" t="s">
        <v>5415</v>
      </c>
      <c r="R53" s="328" t="s">
        <v>6042</v>
      </c>
      <c r="S53" s="328" t="s">
        <v>6043</v>
      </c>
      <c r="T53" s="328"/>
      <c r="U53" s="361" t="s">
        <v>6044</v>
      </c>
      <c r="V53" s="328" t="s">
        <v>5843</v>
      </c>
      <c r="W53" s="44" t="s">
        <v>6045</v>
      </c>
      <c r="X53" s="42" t="s">
        <v>6046</v>
      </c>
      <c r="Y53" s="42" t="s">
        <v>5772</v>
      </c>
      <c r="Z53" s="42" t="s">
        <v>5551</v>
      </c>
      <c r="AA53" s="328" t="s">
        <v>6047</v>
      </c>
      <c r="AB53" s="44" t="s">
        <v>6048</v>
      </c>
      <c r="AC53" s="42" t="s">
        <v>6049</v>
      </c>
      <c r="AD53" s="42" t="s">
        <v>5772</v>
      </c>
      <c r="AE53" s="42" t="s">
        <v>5412</v>
      </c>
      <c r="AF53" s="328" t="s">
        <v>6050</v>
      </c>
      <c r="AG53" s="362"/>
      <c r="AH53" s="363">
        <v>2</v>
      </c>
      <c r="AI53" s="234" t="s">
        <v>6051</v>
      </c>
    </row>
    <row r="54" spans="1:35" ht="13.5" customHeight="1" x14ac:dyDescent="0.3">
      <c r="A54" s="106">
        <v>52</v>
      </c>
      <c r="B54" s="188" t="s">
        <v>6052</v>
      </c>
      <c r="C54" s="189" t="s">
        <v>1613</v>
      </c>
      <c r="D54" s="101" t="s">
        <v>5208</v>
      </c>
      <c r="E54" s="190" t="s">
        <v>6053</v>
      </c>
      <c r="F54" s="101" t="s">
        <v>2377</v>
      </c>
      <c r="G54" s="295">
        <v>40782</v>
      </c>
      <c r="H54" s="193" t="s">
        <v>53</v>
      </c>
      <c r="I54" s="193" t="s">
        <v>5396</v>
      </c>
      <c r="J54" s="202" t="s">
        <v>6054</v>
      </c>
      <c r="K54" s="202" t="s">
        <v>6055</v>
      </c>
      <c r="L54" s="191" t="s">
        <v>6056</v>
      </c>
      <c r="M54" s="101"/>
      <c r="N54" s="191"/>
      <c r="O54" s="296" t="s">
        <v>6057</v>
      </c>
      <c r="P54" s="297" t="s">
        <v>5415</v>
      </c>
      <c r="Q54" s="297" t="s">
        <v>5448</v>
      </c>
      <c r="R54" s="296" t="s">
        <v>2845</v>
      </c>
      <c r="S54" s="296" t="s">
        <v>3961</v>
      </c>
      <c r="T54" s="296"/>
      <c r="U54" s="297" t="s">
        <v>5547</v>
      </c>
      <c r="V54" s="296" t="s">
        <v>6058</v>
      </c>
      <c r="W54" s="107" t="s">
        <v>6059</v>
      </c>
      <c r="X54" s="101" t="s">
        <v>6060</v>
      </c>
      <c r="Y54" s="101" t="s">
        <v>5904</v>
      </c>
      <c r="Z54" s="101" t="s">
        <v>5551</v>
      </c>
      <c r="AA54" s="296" t="s">
        <v>3276</v>
      </c>
      <c r="AB54" s="107" t="s">
        <v>6061</v>
      </c>
      <c r="AC54" s="101" t="s">
        <v>6062</v>
      </c>
      <c r="AD54" s="101"/>
      <c r="AE54" s="101" t="s">
        <v>5412</v>
      </c>
      <c r="AF54" s="296" t="s">
        <v>6063</v>
      </c>
      <c r="AG54" s="298"/>
      <c r="AH54" s="299">
        <v>1</v>
      </c>
      <c r="AI54" s="200" t="s">
        <v>6064</v>
      </c>
    </row>
    <row r="55" spans="1:35" ht="13.5" customHeight="1" x14ac:dyDescent="0.3">
      <c r="A55" s="106">
        <v>53</v>
      </c>
      <c r="B55" s="188" t="s">
        <v>6065</v>
      </c>
      <c r="C55" s="106" t="s">
        <v>1613</v>
      </c>
      <c r="D55" s="101" t="s">
        <v>8152</v>
      </c>
      <c r="E55" s="190">
        <v>116525235</v>
      </c>
      <c r="F55" s="101" t="s">
        <v>6066</v>
      </c>
      <c r="G55" s="192">
        <v>40767</v>
      </c>
      <c r="H55" s="193"/>
      <c r="I55" s="193" t="s">
        <v>5396</v>
      </c>
      <c r="J55" s="202" t="s">
        <v>6067</v>
      </c>
      <c r="K55" s="202" t="s">
        <v>6068</v>
      </c>
      <c r="L55" s="191" t="s">
        <v>6069</v>
      </c>
      <c r="M55" s="101"/>
      <c r="N55" s="191"/>
      <c r="O55" s="296" t="s">
        <v>2712</v>
      </c>
      <c r="P55" s="297" t="s">
        <v>5394</v>
      </c>
      <c r="Q55" s="297" t="s">
        <v>5461</v>
      </c>
      <c r="R55" s="296" t="s">
        <v>2399</v>
      </c>
      <c r="S55" s="296" t="s">
        <v>3961</v>
      </c>
      <c r="T55" s="296"/>
      <c r="U55" s="296">
        <v>40764</v>
      </c>
      <c r="V55" s="296" t="s">
        <v>6070</v>
      </c>
      <c r="W55" s="107"/>
      <c r="X55" s="101"/>
      <c r="Y55" s="101"/>
      <c r="Z55" s="101"/>
      <c r="AA55" s="296" t="s">
        <v>6071</v>
      </c>
      <c r="AB55" s="107"/>
      <c r="AC55" s="101"/>
      <c r="AD55" s="101"/>
      <c r="AE55" s="101"/>
      <c r="AF55" s="296" t="s">
        <v>6072</v>
      </c>
      <c r="AG55" s="298"/>
      <c r="AH55" s="299"/>
      <c r="AI55" s="200"/>
    </row>
    <row r="56" spans="1:35" ht="13.5" customHeight="1" x14ac:dyDescent="0.3">
      <c r="A56" s="242">
        <v>54</v>
      </c>
      <c r="B56" s="255" t="s">
        <v>6073</v>
      </c>
      <c r="C56" s="242" t="s">
        <v>1613</v>
      </c>
      <c r="D56" s="300" t="s">
        <v>5209</v>
      </c>
      <c r="E56" s="301">
        <v>3122463490</v>
      </c>
      <c r="F56" s="300" t="s">
        <v>2377</v>
      </c>
      <c r="G56" s="258">
        <v>40923</v>
      </c>
      <c r="H56" s="259" t="s">
        <v>53</v>
      </c>
      <c r="I56" s="259" t="s">
        <v>5396</v>
      </c>
      <c r="J56" s="261" t="s">
        <v>6074</v>
      </c>
      <c r="K56" s="261" t="s">
        <v>6075</v>
      </c>
      <c r="L56" s="302" t="s">
        <v>6076</v>
      </c>
      <c r="M56" s="246"/>
      <c r="N56" s="302" t="s">
        <v>6077</v>
      </c>
      <c r="O56" s="303" t="s">
        <v>6078</v>
      </c>
      <c r="P56" s="304" t="s">
        <v>5415</v>
      </c>
      <c r="Q56" s="305" t="s">
        <v>5157</v>
      </c>
      <c r="R56" s="305" t="s">
        <v>6079</v>
      </c>
      <c r="S56" s="303" t="s">
        <v>5422</v>
      </c>
      <c r="T56" s="303"/>
      <c r="U56" s="306">
        <v>40562</v>
      </c>
      <c r="V56" s="303" t="s">
        <v>6080</v>
      </c>
      <c r="W56" s="307" t="s">
        <v>6081</v>
      </c>
      <c r="X56" s="246" t="s">
        <v>6082</v>
      </c>
      <c r="Y56" s="246" t="s">
        <v>5904</v>
      </c>
      <c r="Z56" s="246" t="s">
        <v>5442</v>
      </c>
      <c r="AA56" s="303" t="s">
        <v>6083</v>
      </c>
      <c r="AB56" s="307" t="s">
        <v>6084</v>
      </c>
      <c r="AC56" s="307" t="s">
        <v>6085</v>
      </c>
      <c r="AD56" s="307" t="s">
        <v>5904</v>
      </c>
      <c r="AE56" s="307" t="s">
        <v>5412</v>
      </c>
      <c r="AF56" s="303" t="s">
        <v>6086</v>
      </c>
      <c r="AG56" s="306"/>
      <c r="AH56" s="246">
        <v>1</v>
      </c>
      <c r="AI56" s="254" t="s">
        <v>6087</v>
      </c>
    </row>
    <row r="57" spans="1:35" ht="13.5" customHeight="1" x14ac:dyDescent="0.3">
      <c r="A57" s="242">
        <v>55</v>
      </c>
      <c r="B57" s="255" t="s">
        <v>6088</v>
      </c>
      <c r="C57" s="256" t="s">
        <v>1613</v>
      </c>
      <c r="D57" s="300" t="s">
        <v>5210</v>
      </c>
      <c r="E57" s="301">
        <v>3110328665</v>
      </c>
      <c r="F57" s="300" t="s">
        <v>2377</v>
      </c>
      <c r="G57" s="258">
        <v>40622</v>
      </c>
      <c r="H57" s="259" t="s">
        <v>52</v>
      </c>
      <c r="I57" s="259" t="s">
        <v>5396</v>
      </c>
      <c r="J57" s="261" t="s">
        <v>6089</v>
      </c>
      <c r="K57" s="261" t="s">
        <v>6090</v>
      </c>
      <c r="L57" s="302" t="s">
        <v>6091</v>
      </c>
      <c r="M57" s="246"/>
      <c r="N57" s="302"/>
      <c r="O57" s="303" t="s">
        <v>6078</v>
      </c>
      <c r="P57" s="305" t="s">
        <v>5448</v>
      </c>
      <c r="Q57" s="305" t="s">
        <v>5401</v>
      </c>
      <c r="R57" s="303" t="s">
        <v>6079</v>
      </c>
      <c r="S57" s="303" t="s">
        <v>5422</v>
      </c>
      <c r="T57" s="303"/>
      <c r="U57" s="306">
        <v>40562</v>
      </c>
      <c r="V57" s="303" t="s">
        <v>6092</v>
      </c>
      <c r="W57" s="307" t="s">
        <v>6093</v>
      </c>
      <c r="X57" s="246" t="s">
        <v>6094</v>
      </c>
      <c r="Y57" s="246" t="s">
        <v>5904</v>
      </c>
      <c r="Z57" s="246" t="s">
        <v>5442</v>
      </c>
      <c r="AA57" s="303" t="s">
        <v>6095</v>
      </c>
      <c r="AB57" s="307" t="s">
        <v>6096</v>
      </c>
      <c r="AC57" s="246" t="s">
        <v>6097</v>
      </c>
      <c r="AD57" s="246" t="s">
        <v>5904</v>
      </c>
      <c r="AE57" s="246" t="s">
        <v>5412</v>
      </c>
      <c r="AF57" s="303" t="s">
        <v>6086</v>
      </c>
      <c r="AG57" s="308"/>
      <c r="AH57" s="309">
        <v>1</v>
      </c>
      <c r="AI57" s="254" t="s">
        <v>6098</v>
      </c>
    </row>
    <row r="58" spans="1:35" ht="13.5" customHeight="1" x14ac:dyDescent="0.3">
      <c r="A58" s="242">
        <v>56</v>
      </c>
      <c r="B58" s="255" t="s">
        <v>6099</v>
      </c>
      <c r="C58" s="256" t="s">
        <v>1613</v>
      </c>
      <c r="D58" s="300" t="s">
        <v>5211</v>
      </c>
      <c r="E58" s="301">
        <v>3120221655</v>
      </c>
      <c r="F58" s="300" t="s">
        <v>2377</v>
      </c>
      <c r="G58" s="310">
        <v>40975</v>
      </c>
      <c r="H58" s="259" t="s">
        <v>52</v>
      </c>
      <c r="I58" s="259" t="s">
        <v>5396</v>
      </c>
      <c r="J58" s="261" t="s">
        <v>6100</v>
      </c>
      <c r="K58" s="261" t="s">
        <v>6101</v>
      </c>
      <c r="L58" s="302" t="s">
        <v>6102</v>
      </c>
      <c r="M58" s="246"/>
      <c r="N58" s="302"/>
      <c r="O58" s="303" t="s">
        <v>6078</v>
      </c>
      <c r="P58" s="305" t="s">
        <v>5432</v>
      </c>
      <c r="Q58" s="305" t="s">
        <v>5520</v>
      </c>
      <c r="R58" s="303" t="s">
        <v>6079</v>
      </c>
      <c r="S58" s="303" t="s">
        <v>5422</v>
      </c>
      <c r="T58" s="306"/>
      <c r="U58" s="306">
        <v>40562</v>
      </c>
      <c r="V58" s="303" t="s">
        <v>6103</v>
      </c>
      <c r="W58" s="307" t="s">
        <v>6104</v>
      </c>
      <c r="X58" s="246" t="s">
        <v>6105</v>
      </c>
      <c r="Y58" s="246" t="s">
        <v>5904</v>
      </c>
      <c r="Z58" s="246" t="s">
        <v>5442</v>
      </c>
      <c r="AA58" s="303" t="s">
        <v>6106</v>
      </c>
      <c r="AB58" s="307" t="s">
        <v>6107</v>
      </c>
      <c r="AC58" s="246" t="s">
        <v>6108</v>
      </c>
      <c r="AD58" s="246" t="s">
        <v>5904</v>
      </c>
      <c r="AE58" s="246" t="s">
        <v>5412</v>
      </c>
      <c r="AF58" s="303" t="s">
        <v>6086</v>
      </c>
      <c r="AG58" s="305" t="s">
        <v>6109</v>
      </c>
      <c r="AH58" s="309">
        <v>3</v>
      </c>
      <c r="AI58" s="254"/>
    </row>
    <row r="59" spans="1:35" ht="13.5" customHeight="1" x14ac:dyDescent="0.3">
      <c r="A59" s="242">
        <v>57</v>
      </c>
      <c r="B59" s="255" t="s">
        <v>6110</v>
      </c>
      <c r="C59" s="256" t="s">
        <v>1614</v>
      </c>
      <c r="D59" s="300" t="s">
        <v>5231</v>
      </c>
      <c r="E59" s="301">
        <v>3104139073</v>
      </c>
      <c r="F59" s="300" t="s">
        <v>2377</v>
      </c>
      <c r="G59" s="310">
        <v>40486</v>
      </c>
      <c r="H59" s="259" t="s">
        <v>52</v>
      </c>
      <c r="I59" s="259" t="s">
        <v>5396</v>
      </c>
      <c r="J59" s="261" t="s">
        <v>6111</v>
      </c>
      <c r="K59" s="261" t="s">
        <v>6112</v>
      </c>
      <c r="L59" s="302" t="s">
        <v>6113</v>
      </c>
      <c r="M59" s="246"/>
      <c r="N59" s="302"/>
      <c r="O59" s="303" t="s">
        <v>6078</v>
      </c>
      <c r="P59" s="305" t="s">
        <v>5448</v>
      </c>
      <c r="Q59" s="305" t="s">
        <v>5401</v>
      </c>
      <c r="R59" s="303" t="s">
        <v>6079</v>
      </c>
      <c r="S59" s="303" t="s">
        <v>5422</v>
      </c>
      <c r="T59" s="306"/>
      <c r="U59" s="306">
        <v>40562</v>
      </c>
      <c r="V59" s="303" t="s">
        <v>6114</v>
      </c>
      <c r="W59" s="307" t="s">
        <v>6115</v>
      </c>
      <c r="X59" s="246" t="s">
        <v>6116</v>
      </c>
      <c r="Y59" s="246" t="s">
        <v>5904</v>
      </c>
      <c r="Z59" s="246" t="s">
        <v>5442</v>
      </c>
      <c r="AA59" s="303" t="s">
        <v>6117</v>
      </c>
      <c r="AB59" s="307" t="s">
        <v>6118</v>
      </c>
      <c r="AC59" s="246" t="s">
        <v>6119</v>
      </c>
      <c r="AD59" s="246" t="s">
        <v>5904</v>
      </c>
      <c r="AE59" s="246" t="s">
        <v>5412</v>
      </c>
      <c r="AF59" s="303" t="s">
        <v>6086</v>
      </c>
      <c r="AG59" s="306"/>
      <c r="AH59" s="309">
        <v>3</v>
      </c>
      <c r="AI59" s="254"/>
    </row>
    <row r="60" spans="1:35" ht="13.5" customHeight="1" x14ac:dyDescent="0.3">
      <c r="A60" s="242">
        <v>58</v>
      </c>
      <c r="B60" s="255" t="s">
        <v>6120</v>
      </c>
      <c r="C60" s="244" t="s">
        <v>1617</v>
      </c>
      <c r="D60" s="206" t="s">
        <v>5330</v>
      </c>
      <c r="E60" s="301" t="s">
        <v>6121</v>
      </c>
      <c r="F60" s="300" t="s">
        <v>2377</v>
      </c>
      <c r="G60" s="310" t="s">
        <v>6122</v>
      </c>
      <c r="H60" s="259" t="s">
        <v>52</v>
      </c>
      <c r="I60" s="259" t="s">
        <v>5396</v>
      </c>
      <c r="J60" s="261" t="s">
        <v>6123</v>
      </c>
      <c r="K60" s="261" t="s">
        <v>6124</v>
      </c>
      <c r="L60" s="302" t="s">
        <v>6125</v>
      </c>
      <c r="M60" s="246"/>
      <c r="N60" s="302"/>
      <c r="O60" s="303" t="s">
        <v>6078</v>
      </c>
      <c r="P60" s="305" t="s">
        <v>5448</v>
      </c>
      <c r="Q60" s="305" t="s">
        <v>5157</v>
      </c>
      <c r="R60" s="303" t="s">
        <v>3581</v>
      </c>
      <c r="S60" s="303" t="s">
        <v>5422</v>
      </c>
      <c r="T60" s="306"/>
      <c r="U60" s="306">
        <v>40562</v>
      </c>
      <c r="V60" s="303" t="s">
        <v>6126</v>
      </c>
      <c r="W60" s="307" t="s">
        <v>6127</v>
      </c>
      <c r="X60" s="246" t="s">
        <v>6128</v>
      </c>
      <c r="Y60" s="246" t="s">
        <v>5904</v>
      </c>
      <c r="Z60" s="246" t="s">
        <v>5442</v>
      </c>
      <c r="AA60" s="303" t="s">
        <v>4063</v>
      </c>
      <c r="AB60" s="307" t="s">
        <v>6129</v>
      </c>
      <c r="AC60" s="246" t="s">
        <v>6130</v>
      </c>
      <c r="AD60" s="246" t="s">
        <v>5785</v>
      </c>
      <c r="AE60" s="246" t="s">
        <v>5412</v>
      </c>
      <c r="AF60" s="303" t="s">
        <v>6086</v>
      </c>
      <c r="AG60" s="306"/>
      <c r="AH60" s="309">
        <v>1</v>
      </c>
      <c r="AI60" s="254" t="s">
        <v>6131</v>
      </c>
    </row>
    <row r="61" spans="1:35" ht="13.5" customHeight="1" x14ac:dyDescent="0.3">
      <c r="A61" s="242">
        <v>59</v>
      </c>
      <c r="B61" s="255" t="s">
        <v>6132</v>
      </c>
      <c r="C61" s="242" t="s">
        <v>1614</v>
      </c>
      <c r="D61" s="300" t="s">
        <v>5232</v>
      </c>
      <c r="E61" s="301">
        <v>3115191503</v>
      </c>
      <c r="F61" s="300" t="s">
        <v>2377</v>
      </c>
      <c r="G61" s="310">
        <v>40903</v>
      </c>
      <c r="H61" s="259" t="s">
        <v>52</v>
      </c>
      <c r="I61" s="259" t="s">
        <v>5396</v>
      </c>
      <c r="J61" s="261" t="s">
        <v>6133</v>
      </c>
      <c r="K61" s="261" t="s">
        <v>6134</v>
      </c>
      <c r="L61" s="302" t="s">
        <v>6135</v>
      </c>
      <c r="M61" s="246"/>
      <c r="N61" s="302"/>
      <c r="O61" s="303" t="s">
        <v>6078</v>
      </c>
      <c r="P61" s="305" t="s">
        <v>5394</v>
      </c>
      <c r="Q61" s="305" t="s">
        <v>5542</v>
      </c>
      <c r="R61" s="303" t="s">
        <v>3581</v>
      </c>
      <c r="S61" s="303" t="s">
        <v>5422</v>
      </c>
      <c r="T61" s="306"/>
      <c r="U61" s="306">
        <v>40562</v>
      </c>
      <c r="V61" s="303" t="s">
        <v>6136</v>
      </c>
      <c r="W61" s="307" t="s">
        <v>6137</v>
      </c>
      <c r="X61" s="246" t="s">
        <v>6138</v>
      </c>
      <c r="Y61" s="246" t="s">
        <v>5904</v>
      </c>
      <c r="Z61" s="246" t="s">
        <v>5442</v>
      </c>
      <c r="AA61" s="303" t="s">
        <v>6139</v>
      </c>
      <c r="AB61" s="307" t="s">
        <v>6140</v>
      </c>
      <c r="AC61" s="246" t="s">
        <v>6141</v>
      </c>
      <c r="AD61" s="246" t="s">
        <v>5904</v>
      </c>
      <c r="AE61" s="246" t="s">
        <v>5412</v>
      </c>
      <c r="AF61" s="303" t="s">
        <v>6086</v>
      </c>
      <c r="AG61" s="306"/>
      <c r="AH61" s="309">
        <v>1</v>
      </c>
      <c r="AI61" s="254" t="s">
        <v>6142</v>
      </c>
    </row>
    <row r="62" spans="1:35" ht="13.5" customHeight="1" x14ac:dyDescent="0.3">
      <c r="A62" s="203">
        <v>60</v>
      </c>
      <c r="B62" s="204" t="s">
        <v>6143</v>
      </c>
      <c r="C62" s="205" t="s">
        <v>1617</v>
      </c>
      <c r="D62" s="206" t="s">
        <v>5331</v>
      </c>
      <c r="E62" s="311" t="s">
        <v>6144</v>
      </c>
      <c r="F62" s="221" t="s">
        <v>2377</v>
      </c>
      <c r="G62" s="220">
        <v>40796</v>
      </c>
      <c r="H62" s="210" t="s">
        <v>52</v>
      </c>
      <c r="I62" s="210" t="s">
        <v>5396</v>
      </c>
      <c r="J62" s="212" t="s">
        <v>6145</v>
      </c>
      <c r="K62" s="212" t="s">
        <v>6146</v>
      </c>
      <c r="L62" s="208" t="s">
        <v>6147</v>
      </c>
      <c r="M62" s="239"/>
      <c r="N62" s="239" t="s">
        <v>6148</v>
      </c>
      <c r="O62" s="312" t="s">
        <v>6078</v>
      </c>
      <c r="P62" s="313" t="s">
        <v>5448</v>
      </c>
      <c r="Q62" s="313" t="s">
        <v>5157</v>
      </c>
      <c r="R62" s="312" t="s">
        <v>6079</v>
      </c>
      <c r="S62" s="312" t="s">
        <v>5422</v>
      </c>
      <c r="T62" s="312"/>
      <c r="U62" s="314">
        <v>40562</v>
      </c>
      <c r="V62" s="312" t="s">
        <v>6149</v>
      </c>
      <c r="W62" s="315" t="s">
        <v>6150</v>
      </c>
      <c r="X62" s="239" t="s">
        <v>6151</v>
      </c>
      <c r="Y62" s="239" t="s">
        <v>5904</v>
      </c>
      <c r="Z62" s="239" t="s">
        <v>5442</v>
      </c>
      <c r="AA62" s="312" t="s">
        <v>6152</v>
      </c>
      <c r="AB62" s="315" t="s">
        <v>6153</v>
      </c>
      <c r="AC62" s="239" t="s">
        <v>6154</v>
      </c>
      <c r="AD62" s="239" t="s">
        <v>5772</v>
      </c>
      <c r="AE62" s="239" t="s">
        <v>5412</v>
      </c>
      <c r="AF62" s="312" t="s">
        <v>6086</v>
      </c>
      <c r="AG62" s="314"/>
      <c r="AH62" s="316">
        <v>3</v>
      </c>
      <c r="AI62" s="218" t="s">
        <v>6155</v>
      </c>
    </row>
    <row r="63" spans="1:35" ht="13.5" customHeight="1" x14ac:dyDescent="0.3">
      <c r="A63" s="203">
        <v>61</v>
      </c>
      <c r="B63" s="204" t="s">
        <v>6156</v>
      </c>
      <c r="C63" s="203" t="s">
        <v>1615</v>
      </c>
      <c r="D63" s="221" t="s">
        <v>5262</v>
      </c>
      <c r="E63" s="311" t="s">
        <v>6157</v>
      </c>
      <c r="F63" s="221" t="s">
        <v>2377</v>
      </c>
      <c r="G63" s="220">
        <v>40858</v>
      </c>
      <c r="H63" s="210" t="s">
        <v>52</v>
      </c>
      <c r="I63" s="210" t="s">
        <v>5396</v>
      </c>
      <c r="J63" s="212" t="s">
        <v>6158</v>
      </c>
      <c r="K63" s="212" t="s">
        <v>6159</v>
      </c>
      <c r="L63" s="208" t="s">
        <v>6160</v>
      </c>
      <c r="M63" s="239"/>
      <c r="N63" s="239" t="s">
        <v>6161</v>
      </c>
      <c r="O63" s="312" t="s">
        <v>6078</v>
      </c>
      <c r="P63" s="313" t="s">
        <v>5448</v>
      </c>
      <c r="Q63" s="313" t="s">
        <v>5520</v>
      </c>
      <c r="R63" s="312" t="s">
        <v>6079</v>
      </c>
      <c r="S63" s="312" t="s">
        <v>5422</v>
      </c>
      <c r="T63" s="312"/>
      <c r="U63" s="314">
        <v>40562</v>
      </c>
      <c r="V63" s="312" t="s">
        <v>6162</v>
      </c>
      <c r="W63" s="315" t="s">
        <v>6163</v>
      </c>
      <c r="X63" s="239" t="s">
        <v>6164</v>
      </c>
      <c r="Y63" s="239" t="s">
        <v>5904</v>
      </c>
      <c r="Z63" s="239" t="s">
        <v>5442</v>
      </c>
      <c r="AA63" s="312" t="s">
        <v>6165</v>
      </c>
      <c r="AB63" s="315" t="s">
        <v>6166</v>
      </c>
      <c r="AC63" s="239" t="s">
        <v>6167</v>
      </c>
      <c r="AD63" s="239" t="s">
        <v>5904</v>
      </c>
      <c r="AE63" s="239" t="s">
        <v>5412</v>
      </c>
      <c r="AF63" s="312" t="s">
        <v>6086</v>
      </c>
      <c r="AG63" s="313" t="s">
        <v>6168</v>
      </c>
      <c r="AH63" s="316">
        <v>1</v>
      </c>
      <c r="AI63" s="218" t="s">
        <v>6169</v>
      </c>
    </row>
    <row r="64" spans="1:35" ht="13.5" customHeight="1" x14ac:dyDescent="0.3">
      <c r="A64" s="203">
        <v>62</v>
      </c>
      <c r="B64" s="204" t="s">
        <v>6170</v>
      </c>
      <c r="C64" s="203" t="s">
        <v>1613</v>
      </c>
      <c r="D64" s="221" t="s">
        <v>5212</v>
      </c>
      <c r="E64" s="311" t="s">
        <v>6171</v>
      </c>
      <c r="F64" s="221" t="s">
        <v>2352</v>
      </c>
      <c r="G64" s="220">
        <v>40476</v>
      </c>
      <c r="H64" s="210" t="s">
        <v>53</v>
      </c>
      <c r="I64" s="210" t="s">
        <v>5396</v>
      </c>
      <c r="J64" s="212" t="s">
        <v>6172</v>
      </c>
      <c r="K64" s="212" t="s">
        <v>6173</v>
      </c>
      <c r="L64" s="208"/>
      <c r="M64" s="239"/>
      <c r="N64" s="239" t="s">
        <v>6174</v>
      </c>
      <c r="O64" s="312" t="s">
        <v>6078</v>
      </c>
      <c r="P64" s="313" t="s">
        <v>5415</v>
      </c>
      <c r="Q64" s="313" t="s">
        <v>5401</v>
      </c>
      <c r="R64" s="312" t="s">
        <v>6079</v>
      </c>
      <c r="S64" s="312" t="s">
        <v>5422</v>
      </c>
      <c r="T64" s="312"/>
      <c r="U64" s="314">
        <v>40562</v>
      </c>
      <c r="V64" s="312" t="s">
        <v>2734</v>
      </c>
      <c r="W64" s="315" t="s">
        <v>6175</v>
      </c>
      <c r="X64" s="239" t="s">
        <v>6176</v>
      </c>
      <c r="Y64" s="239" t="s">
        <v>5904</v>
      </c>
      <c r="Z64" s="239" t="s">
        <v>5442</v>
      </c>
      <c r="AA64" s="312" t="s">
        <v>2982</v>
      </c>
      <c r="AB64" s="315" t="s">
        <v>6177</v>
      </c>
      <c r="AC64" s="239" t="s">
        <v>6178</v>
      </c>
      <c r="AD64" s="239" t="s">
        <v>5904</v>
      </c>
      <c r="AE64" s="239" t="s">
        <v>5412</v>
      </c>
      <c r="AF64" s="312" t="s">
        <v>6086</v>
      </c>
      <c r="AG64" s="314"/>
      <c r="AH64" s="316"/>
      <c r="AI64" s="218" t="s">
        <v>6179</v>
      </c>
    </row>
    <row r="65" spans="1:35" ht="13.5" customHeight="1" x14ac:dyDescent="0.3">
      <c r="A65" s="203">
        <v>63</v>
      </c>
      <c r="B65" s="204" t="s">
        <v>6180</v>
      </c>
      <c r="C65" s="203" t="s">
        <v>1614</v>
      </c>
      <c r="D65" s="221" t="s">
        <v>5233</v>
      </c>
      <c r="E65" s="311" t="s">
        <v>6181</v>
      </c>
      <c r="F65" s="221" t="s">
        <v>2352</v>
      </c>
      <c r="G65" s="220" t="s">
        <v>6182</v>
      </c>
      <c r="H65" s="210" t="s">
        <v>53</v>
      </c>
      <c r="I65" s="210" t="s">
        <v>5396</v>
      </c>
      <c r="J65" s="212" t="s">
        <v>6183</v>
      </c>
      <c r="K65" s="212" t="s">
        <v>6184</v>
      </c>
      <c r="L65" s="208" t="s">
        <v>6185</v>
      </c>
      <c r="M65" s="239"/>
      <c r="N65" s="239" t="s">
        <v>6186</v>
      </c>
      <c r="O65" s="312" t="s">
        <v>6078</v>
      </c>
      <c r="P65" s="313" t="s">
        <v>5432</v>
      </c>
      <c r="Q65" s="313" t="s">
        <v>5401</v>
      </c>
      <c r="R65" s="312" t="s">
        <v>6079</v>
      </c>
      <c r="S65" s="312" t="s">
        <v>5422</v>
      </c>
      <c r="T65" s="312"/>
      <c r="U65" s="314">
        <v>40562</v>
      </c>
      <c r="V65" s="312" t="s">
        <v>6187</v>
      </c>
      <c r="W65" s="315" t="s">
        <v>6188</v>
      </c>
      <c r="X65" s="239" t="s">
        <v>6189</v>
      </c>
      <c r="Y65" s="239" t="s">
        <v>5785</v>
      </c>
      <c r="Z65" s="239" t="s">
        <v>5442</v>
      </c>
      <c r="AA65" s="312" t="s">
        <v>6190</v>
      </c>
      <c r="AB65" s="315"/>
      <c r="AC65" s="239"/>
      <c r="AD65" s="239"/>
      <c r="AE65" s="239"/>
      <c r="AF65" s="312" t="s">
        <v>6086</v>
      </c>
      <c r="AG65" s="314"/>
      <c r="AH65" s="316">
        <v>1</v>
      </c>
      <c r="AI65" s="218" t="s">
        <v>6191</v>
      </c>
    </row>
    <row r="66" spans="1:35" ht="13.5" customHeight="1" x14ac:dyDescent="0.3">
      <c r="A66" s="203">
        <v>64</v>
      </c>
      <c r="B66" s="204" t="s">
        <v>6192</v>
      </c>
      <c r="C66" s="317" t="s">
        <v>1614</v>
      </c>
      <c r="D66" s="221" t="s">
        <v>5234</v>
      </c>
      <c r="E66" s="311" t="s">
        <v>6193</v>
      </c>
      <c r="F66" s="239" t="s">
        <v>2377</v>
      </c>
      <c r="G66" s="220">
        <v>40894</v>
      </c>
      <c r="H66" s="210" t="s">
        <v>53</v>
      </c>
      <c r="I66" s="210" t="s">
        <v>5396</v>
      </c>
      <c r="J66" s="212" t="s">
        <v>6194</v>
      </c>
      <c r="K66" s="212" t="s">
        <v>6195</v>
      </c>
      <c r="L66" s="208" t="s">
        <v>6196</v>
      </c>
      <c r="M66" s="239"/>
      <c r="N66" s="239" t="s">
        <v>6197</v>
      </c>
      <c r="O66" s="312" t="s">
        <v>6078</v>
      </c>
      <c r="P66" s="313" t="s">
        <v>5432</v>
      </c>
      <c r="Q66" s="313" t="s">
        <v>5542</v>
      </c>
      <c r="R66" s="312" t="s">
        <v>3581</v>
      </c>
      <c r="S66" s="312" t="s">
        <v>5422</v>
      </c>
      <c r="T66" s="312"/>
      <c r="U66" s="314">
        <v>40562</v>
      </c>
      <c r="V66" s="312" t="s">
        <v>6198</v>
      </c>
      <c r="W66" s="315" t="s">
        <v>6199</v>
      </c>
      <c r="X66" s="239" t="s">
        <v>6200</v>
      </c>
      <c r="Y66" s="239" t="s">
        <v>5772</v>
      </c>
      <c r="Z66" s="239" t="s">
        <v>5442</v>
      </c>
      <c r="AA66" s="312" t="s">
        <v>6201</v>
      </c>
      <c r="AB66" s="315" t="s">
        <v>6202</v>
      </c>
      <c r="AC66" s="239" t="s">
        <v>6203</v>
      </c>
      <c r="AD66" s="239" t="s">
        <v>5785</v>
      </c>
      <c r="AE66" s="239" t="s">
        <v>5412</v>
      </c>
      <c r="AF66" s="312" t="s">
        <v>6086</v>
      </c>
      <c r="AG66" s="313" t="s">
        <v>6204</v>
      </c>
      <c r="AH66" s="316">
        <v>1</v>
      </c>
      <c r="AI66" s="218"/>
    </row>
    <row r="67" spans="1:35" ht="13.5" customHeight="1" x14ac:dyDescent="0.3">
      <c r="A67" s="203">
        <v>65</v>
      </c>
      <c r="B67" s="204" t="s">
        <v>6205</v>
      </c>
      <c r="C67" s="203" t="s">
        <v>1615</v>
      </c>
      <c r="D67" s="239" t="s">
        <v>5263</v>
      </c>
      <c r="E67" s="315" t="s">
        <v>6206</v>
      </c>
      <c r="F67" s="239" t="s">
        <v>2377</v>
      </c>
      <c r="G67" s="318">
        <v>40921</v>
      </c>
      <c r="H67" s="319" t="s">
        <v>52</v>
      </c>
      <c r="I67" s="210" t="s">
        <v>5396</v>
      </c>
      <c r="J67" s="315" t="s">
        <v>6207</v>
      </c>
      <c r="K67" s="315" t="s">
        <v>6208</v>
      </c>
      <c r="L67" s="239" t="s">
        <v>6209</v>
      </c>
      <c r="M67" s="239"/>
      <c r="N67" s="239" t="s">
        <v>6210</v>
      </c>
      <c r="O67" s="239" t="s">
        <v>6211</v>
      </c>
      <c r="P67" s="315" t="s">
        <v>5432</v>
      </c>
      <c r="Q67" s="315" t="s">
        <v>5502</v>
      </c>
      <c r="R67" s="312" t="s">
        <v>3581</v>
      </c>
      <c r="S67" s="239" t="s">
        <v>5422</v>
      </c>
      <c r="T67" s="239"/>
      <c r="U67" s="315" t="s">
        <v>5657</v>
      </c>
      <c r="V67" s="239" t="s">
        <v>6212</v>
      </c>
      <c r="W67" s="315" t="s">
        <v>6213</v>
      </c>
      <c r="X67" s="239" t="s">
        <v>6214</v>
      </c>
      <c r="Y67" s="239" t="s">
        <v>5785</v>
      </c>
      <c r="Z67" s="239" t="s">
        <v>5442</v>
      </c>
      <c r="AA67" s="239" t="s">
        <v>6215</v>
      </c>
      <c r="AB67" s="315" t="s">
        <v>6216</v>
      </c>
      <c r="AC67" s="239" t="s">
        <v>6217</v>
      </c>
      <c r="AD67" s="239" t="s">
        <v>5785</v>
      </c>
      <c r="AE67" s="239" t="s">
        <v>5412</v>
      </c>
      <c r="AF67" s="312" t="s">
        <v>2932</v>
      </c>
      <c r="AG67" s="239"/>
      <c r="AH67" s="239">
        <v>1</v>
      </c>
      <c r="AI67" s="218" t="s">
        <v>6218</v>
      </c>
    </row>
    <row r="68" spans="1:35" ht="13.5" customHeight="1" x14ac:dyDescent="0.3">
      <c r="A68" s="203">
        <v>66</v>
      </c>
      <c r="B68" s="204" t="s">
        <v>6219</v>
      </c>
      <c r="C68" s="203" t="s">
        <v>13</v>
      </c>
      <c r="D68" s="239" t="s">
        <v>5196</v>
      </c>
      <c r="E68" s="315" t="s">
        <v>6220</v>
      </c>
      <c r="F68" s="239" t="s">
        <v>2377</v>
      </c>
      <c r="G68" s="320">
        <v>40766</v>
      </c>
      <c r="H68" s="319" t="s">
        <v>53</v>
      </c>
      <c r="I68" s="210" t="s">
        <v>5396</v>
      </c>
      <c r="J68" s="315" t="s">
        <v>6221</v>
      </c>
      <c r="K68" s="315" t="s">
        <v>6222</v>
      </c>
      <c r="L68" s="239" t="s">
        <v>6223</v>
      </c>
      <c r="M68" s="239"/>
      <c r="N68" s="239"/>
      <c r="O68" s="239" t="s">
        <v>6224</v>
      </c>
      <c r="P68" s="315" t="s">
        <v>5448</v>
      </c>
      <c r="Q68" s="315" t="s">
        <v>5401</v>
      </c>
      <c r="R68" s="312" t="s">
        <v>6079</v>
      </c>
      <c r="S68" s="239" t="s">
        <v>5422</v>
      </c>
      <c r="T68" s="239"/>
      <c r="U68" s="315" t="s">
        <v>5657</v>
      </c>
      <c r="V68" s="239" t="s">
        <v>6225</v>
      </c>
      <c r="W68" s="315" t="s">
        <v>6226</v>
      </c>
      <c r="X68" s="239" t="s">
        <v>6227</v>
      </c>
      <c r="Y68" s="239" t="s">
        <v>6228</v>
      </c>
      <c r="Z68" s="239" t="s">
        <v>6229</v>
      </c>
      <c r="AA68" s="239"/>
      <c r="AB68" s="315"/>
      <c r="AC68" s="239"/>
      <c r="AD68" s="239"/>
      <c r="AE68" s="239"/>
      <c r="AF68" s="312" t="s">
        <v>2932</v>
      </c>
      <c r="AG68" s="239"/>
      <c r="AH68" s="239">
        <v>1</v>
      </c>
      <c r="AI68" s="218" t="s">
        <v>6230</v>
      </c>
    </row>
    <row r="69" spans="1:35" ht="13.5" customHeight="1" x14ac:dyDescent="0.3">
      <c r="A69" s="203">
        <v>67</v>
      </c>
      <c r="B69" s="204" t="s">
        <v>6231</v>
      </c>
      <c r="C69" s="203" t="s">
        <v>1616</v>
      </c>
      <c r="D69" s="239" t="s">
        <v>5292</v>
      </c>
      <c r="E69" s="315" t="s">
        <v>6232</v>
      </c>
      <c r="F69" s="239" t="s">
        <v>2377</v>
      </c>
      <c r="G69" s="320">
        <v>40632</v>
      </c>
      <c r="H69" s="319" t="s">
        <v>52</v>
      </c>
      <c r="I69" s="210" t="s">
        <v>5396</v>
      </c>
      <c r="J69" s="315" t="s">
        <v>6233</v>
      </c>
      <c r="K69" s="315" t="s">
        <v>6234</v>
      </c>
      <c r="L69" s="239" t="s">
        <v>6235</v>
      </c>
      <c r="M69" s="239"/>
      <c r="N69" s="239"/>
      <c r="O69" s="239" t="s">
        <v>6224</v>
      </c>
      <c r="P69" s="315" t="s">
        <v>5448</v>
      </c>
      <c r="Q69" s="315" t="s">
        <v>5157</v>
      </c>
      <c r="R69" s="312" t="s">
        <v>6079</v>
      </c>
      <c r="S69" s="312" t="s">
        <v>5422</v>
      </c>
      <c r="T69" s="239"/>
      <c r="U69" s="315" t="s">
        <v>5657</v>
      </c>
      <c r="V69" s="239"/>
      <c r="W69" s="315" t="s">
        <v>6236</v>
      </c>
      <c r="X69" s="239" t="s">
        <v>6237</v>
      </c>
      <c r="Y69" s="239" t="s">
        <v>5772</v>
      </c>
      <c r="Z69" s="239" t="s">
        <v>5442</v>
      </c>
      <c r="AA69" s="239" t="s">
        <v>2803</v>
      </c>
      <c r="AB69" s="315" t="s">
        <v>6238</v>
      </c>
      <c r="AC69" s="239" t="s">
        <v>6239</v>
      </c>
      <c r="AD69" s="239" t="s">
        <v>6240</v>
      </c>
      <c r="AE69" s="239" t="s">
        <v>5412</v>
      </c>
      <c r="AF69" s="312" t="s">
        <v>2932</v>
      </c>
      <c r="AG69" s="239"/>
      <c r="AH69" s="239">
        <v>2</v>
      </c>
      <c r="AI69" s="218" t="s">
        <v>6241</v>
      </c>
    </row>
    <row r="70" spans="1:35" ht="13.5" customHeight="1" x14ac:dyDescent="0.3">
      <c r="A70" s="203">
        <v>68</v>
      </c>
      <c r="B70" s="204" t="s">
        <v>6242</v>
      </c>
      <c r="C70" s="203" t="s">
        <v>1615</v>
      </c>
      <c r="D70" s="239" t="s">
        <v>5264</v>
      </c>
      <c r="E70" s="315" t="s">
        <v>6243</v>
      </c>
      <c r="F70" s="239" t="s">
        <v>2377</v>
      </c>
      <c r="G70" s="320">
        <v>40882</v>
      </c>
      <c r="H70" s="319" t="s">
        <v>53</v>
      </c>
      <c r="I70" s="210" t="s">
        <v>5396</v>
      </c>
      <c r="J70" s="315" t="s">
        <v>6244</v>
      </c>
      <c r="K70" s="315" t="s">
        <v>6245</v>
      </c>
      <c r="L70" s="239" t="s">
        <v>6246</v>
      </c>
      <c r="M70" s="239"/>
      <c r="N70" s="239"/>
      <c r="O70" s="239" t="s">
        <v>6224</v>
      </c>
      <c r="P70" s="315" t="s">
        <v>5415</v>
      </c>
      <c r="Q70" s="315" t="s">
        <v>5401</v>
      </c>
      <c r="R70" s="312" t="s">
        <v>6079</v>
      </c>
      <c r="S70" s="312" t="s">
        <v>5422</v>
      </c>
      <c r="T70" s="321"/>
      <c r="U70" s="315" t="s">
        <v>5657</v>
      </c>
      <c r="V70" s="239" t="s">
        <v>6247</v>
      </c>
      <c r="W70" s="315" t="s">
        <v>6248</v>
      </c>
      <c r="X70" s="239" t="s">
        <v>6249</v>
      </c>
      <c r="Y70" s="239" t="s">
        <v>5785</v>
      </c>
      <c r="Z70" s="239" t="s">
        <v>5442</v>
      </c>
      <c r="AA70" s="239" t="s">
        <v>6250</v>
      </c>
      <c r="AB70" s="315" t="s">
        <v>6251</v>
      </c>
      <c r="AC70" s="239" t="s">
        <v>6252</v>
      </c>
      <c r="AD70" s="239" t="s">
        <v>5772</v>
      </c>
      <c r="AE70" s="239" t="s">
        <v>5412</v>
      </c>
      <c r="AF70" s="312" t="s">
        <v>2932</v>
      </c>
      <c r="AG70" s="239"/>
      <c r="AH70" s="239">
        <v>2</v>
      </c>
      <c r="AI70" s="218" t="s">
        <v>6253</v>
      </c>
    </row>
    <row r="71" spans="1:35" ht="13.5" customHeight="1" x14ac:dyDescent="0.3">
      <c r="A71" s="203">
        <v>69</v>
      </c>
      <c r="B71" s="204" t="s">
        <v>6254</v>
      </c>
      <c r="C71" s="203" t="s">
        <v>1615</v>
      </c>
      <c r="D71" s="239" t="s">
        <v>5265</v>
      </c>
      <c r="E71" s="315" t="s">
        <v>6255</v>
      </c>
      <c r="F71" s="239" t="s">
        <v>2377</v>
      </c>
      <c r="G71" s="320">
        <v>40683</v>
      </c>
      <c r="H71" s="319" t="s">
        <v>53</v>
      </c>
      <c r="I71" s="210" t="s">
        <v>5396</v>
      </c>
      <c r="J71" s="315" t="s">
        <v>6256</v>
      </c>
      <c r="K71" s="315" t="s">
        <v>6257</v>
      </c>
      <c r="L71" s="239" t="s">
        <v>6258</v>
      </c>
      <c r="M71" s="239"/>
      <c r="N71" s="239"/>
      <c r="O71" s="239" t="s">
        <v>6224</v>
      </c>
      <c r="P71" s="315" t="s">
        <v>5415</v>
      </c>
      <c r="Q71" s="315" t="s">
        <v>5401</v>
      </c>
      <c r="R71" s="239" t="s">
        <v>6079</v>
      </c>
      <c r="S71" s="239" t="s">
        <v>5422</v>
      </c>
      <c r="T71" s="239"/>
      <c r="U71" s="315" t="s">
        <v>5657</v>
      </c>
      <c r="V71" s="239" t="s">
        <v>6259</v>
      </c>
      <c r="W71" s="315" t="s">
        <v>6260</v>
      </c>
      <c r="X71" s="239" t="s">
        <v>6261</v>
      </c>
      <c r="Y71" s="239" t="s">
        <v>5785</v>
      </c>
      <c r="Z71" s="239" t="s">
        <v>5442</v>
      </c>
      <c r="AA71" s="239" t="s">
        <v>2861</v>
      </c>
      <c r="AB71" s="315" t="s">
        <v>6262</v>
      </c>
      <c r="AC71" s="315" t="s">
        <v>6263</v>
      </c>
      <c r="AD71" s="239" t="s">
        <v>5772</v>
      </c>
      <c r="AE71" s="239" t="s">
        <v>5412</v>
      </c>
      <c r="AF71" s="312" t="s">
        <v>2932</v>
      </c>
      <c r="AG71" s="239"/>
      <c r="AH71" s="239">
        <v>2</v>
      </c>
      <c r="AI71" s="218" t="s">
        <v>6264</v>
      </c>
    </row>
    <row r="72" spans="1:35" ht="13.5" customHeight="1" x14ac:dyDescent="0.3">
      <c r="A72" s="203">
        <v>70</v>
      </c>
      <c r="B72" s="204" t="s">
        <v>6265</v>
      </c>
      <c r="C72" s="203" t="s">
        <v>1616</v>
      </c>
      <c r="D72" s="239" t="s">
        <v>5293</v>
      </c>
      <c r="E72" s="315" t="s">
        <v>6266</v>
      </c>
      <c r="F72" s="239" t="s">
        <v>2377</v>
      </c>
      <c r="G72" s="320">
        <v>40674</v>
      </c>
      <c r="H72" s="319" t="s">
        <v>53</v>
      </c>
      <c r="I72" s="210" t="s">
        <v>5396</v>
      </c>
      <c r="J72" s="315" t="s">
        <v>6267</v>
      </c>
      <c r="K72" s="315" t="s">
        <v>6268</v>
      </c>
      <c r="L72" s="239" t="s">
        <v>6269</v>
      </c>
      <c r="M72" s="239"/>
      <c r="N72" s="239"/>
      <c r="O72" s="239" t="s">
        <v>6224</v>
      </c>
      <c r="P72" s="315" t="s">
        <v>5394</v>
      </c>
      <c r="Q72" s="315" t="s">
        <v>5157</v>
      </c>
      <c r="R72" s="239" t="s">
        <v>6079</v>
      </c>
      <c r="S72" s="239" t="s">
        <v>5422</v>
      </c>
      <c r="T72" s="239"/>
      <c r="U72" s="315" t="s">
        <v>5657</v>
      </c>
      <c r="V72" s="239" t="s">
        <v>6270</v>
      </c>
      <c r="W72" s="315" t="s">
        <v>6271</v>
      </c>
      <c r="X72" s="239" t="s">
        <v>6272</v>
      </c>
      <c r="Y72" s="239" t="s">
        <v>6240</v>
      </c>
      <c r="Z72" s="239" t="s">
        <v>5442</v>
      </c>
      <c r="AA72" s="239" t="s">
        <v>6273</v>
      </c>
      <c r="AB72" s="315" t="s">
        <v>6274</v>
      </c>
      <c r="AC72" s="239" t="s">
        <v>6275</v>
      </c>
      <c r="AD72" s="239" t="s">
        <v>6240</v>
      </c>
      <c r="AE72" s="239" t="s">
        <v>5412</v>
      </c>
      <c r="AF72" s="312" t="s">
        <v>2932</v>
      </c>
      <c r="AG72" s="239"/>
      <c r="AH72" s="239">
        <v>2</v>
      </c>
      <c r="AI72" s="218" t="s">
        <v>6276</v>
      </c>
    </row>
    <row r="73" spans="1:35" ht="13.5" customHeight="1" x14ac:dyDescent="0.3">
      <c r="A73" s="203">
        <v>71</v>
      </c>
      <c r="B73" s="204" t="s">
        <v>6277</v>
      </c>
      <c r="C73" s="203" t="s">
        <v>1616</v>
      </c>
      <c r="D73" s="239" t="s">
        <v>5294</v>
      </c>
      <c r="E73" s="315" t="s">
        <v>6278</v>
      </c>
      <c r="F73" s="239" t="s">
        <v>4119</v>
      </c>
      <c r="G73" s="320">
        <v>40684</v>
      </c>
      <c r="H73" s="319" t="s">
        <v>53</v>
      </c>
      <c r="I73" s="210" t="s">
        <v>5396</v>
      </c>
      <c r="J73" s="315" t="s">
        <v>6279</v>
      </c>
      <c r="K73" s="315" t="s">
        <v>6280</v>
      </c>
      <c r="L73" s="239" t="s">
        <v>6281</v>
      </c>
      <c r="M73" s="239"/>
      <c r="N73" s="239"/>
      <c r="O73" s="239" t="s">
        <v>6282</v>
      </c>
      <c r="P73" s="315" t="s">
        <v>5520</v>
      </c>
      <c r="Q73" s="315" t="s">
        <v>5502</v>
      </c>
      <c r="R73" s="239" t="s">
        <v>6283</v>
      </c>
      <c r="S73" s="239" t="s">
        <v>6284</v>
      </c>
      <c r="T73" s="239"/>
      <c r="U73" s="315" t="s">
        <v>6285</v>
      </c>
      <c r="V73" s="239" t="s">
        <v>6286</v>
      </c>
      <c r="W73" s="315"/>
      <c r="X73" s="239" t="s">
        <v>6287</v>
      </c>
      <c r="Y73" s="239" t="s">
        <v>5772</v>
      </c>
      <c r="Z73" s="239" t="s">
        <v>6288</v>
      </c>
      <c r="AA73" s="239" t="s">
        <v>6289</v>
      </c>
      <c r="AB73" s="315"/>
      <c r="AC73" s="322" t="s">
        <v>6290</v>
      </c>
      <c r="AD73" s="239" t="s">
        <v>6240</v>
      </c>
      <c r="AE73" s="239" t="s">
        <v>5412</v>
      </c>
      <c r="AF73" s="312" t="s">
        <v>2932</v>
      </c>
      <c r="AG73" s="239"/>
      <c r="AH73" s="239">
        <v>1</v>
      </c>
      <c r="AI73" s="218" t="s">
        <v>6291</v>
      </c>
    </row>
    <row r="74" spans="1:35" ht="13.5" customHeight="1" x14ac:dyDescent="0.3">
      <c r="A74" s="106">
        <v>72</v>
      </c>
      <c r="B74" s="188" t="s">
        <v>6292</v>
      </c>
      <c r="C74" s="106" t="s">
        <v>1613</v>
      </c>
      <c r="D74" s="101" t="s">
        <v>5213</v>
      </c>
      <c r="E74" s="107">
        <v>3119006896</v>
      </c>
      <c r="F74" s="101" t="s">
        <v>2352</v>
      </c>
      <c r="G74" s="323">
        <v>40867</v>
      </c>
      <c r="H74" s="105" t="s">
        <v>52</v>
      </c>
      <c r="I74" s="193" t="s">
        <v>5396</v>
      </c>
      <c r="J74" s="107" t="s">
        <v>6293</v>
      </c>
      <c r="K74" s="107" t="s">
        <v>6294</v>
      </c>
      <c r="L74" s="101" t="s">
        <v>6295</v>
      </c>
      <c r="M74" s="101"/>
      <c r="N74" s="101"/>
      <c r="O74" s="101" t="s">
        <v>2469</v>
      </c>
      <c r="P74" s="107" t="s">
        <v>5448</v>
      </c>
      <c r="Q74" s="107" t="s">
        <v>5448</v>
      </c>
      <c r="R74" s="101" t="s">
        <v>2485</v>
      </c>
      <c r="S74" s="101" t="s">
        <v>5422</v>
      </c>
      <c r="T74" s="101"/>
      <c r="U74" s="101">
        <v>40562</v>
      </c>
      <c r="V74" s="101" t="s">
        <v>6296</v>
      </c>
      <c r="W74" s="107" t="s">
        <v>6297</v>
      </c>
      <c r="X74" s="101" t="s">
        <v>6298</v>
      </c>
      <c r="Y74" s="101" t="s">
        <v>5772</v>
      </c>
      <c r="Z74" s="101" t="s">
        <v>5442</v>
      </c>
      <c r="AA74" s="101" t="s">
        <v>6299</v>
      </c>
      <c r="AB74" s="107" t="s">
        <v>6300</v>
      </c>
      <c r="AC74" s="101" t="s">
        <v>6301</v>
      </c>
      <c r="AD74" s="101" t="s">
        <v>6240</v>
      </c>
      <c r="AE74" s="101" t="s">
        <v>5412</v>
      </c>
      <c r="AF74" s="296" t="s">
        <v>6302</v>
      </c>
      <c r="AG74" s="101"/>
      <c r="AH74" s="101">
        <v>2</v>
      </c>
      <c r="AI74" s="200">
        <v>83198389920</v>
      </c>
    </row>
    <row r="75" spans="1:35" ht="13.5" customHeight="1" x14ac:dyDescent="0.3">
      <c r="A75" s="106">
        <v>73</v>
      </c>
      <c r="B75" s="188" t="s">
        <v>6303</v>
      </c>
      <c r="C75" s="106" t="s">
        <v>13</v>
      </c>
      <c r="D75" s="101" t="s">
        <v>5214</v>
      </c>
      <c r="E75" s="107">
        <v>115484197</v>
      </c>
      <c r="F75" s="101" t="s">
        <v>2377</v>
      </c>
      <c r="G75" s="323">
        <v>40804</v>
      </c>
      <c r="H75" s="105" t="s">
        <v>53</v>
      </c>
      <c r="I75" s="193" t="s">
        <v>5396</v>
      </c>
      <c r="J75" s="107" t="s">
        <v>6304</v>
      </c>
      <c r="K75" s="107" t="s">
        <v>6305</v>
      </c>
      <c r="L75" s="101" t="s">
        <v>6306</v>
      </c>
      <c r="M75" s="101"/>
      <c r="N75" s="101"/>
      <c r="O75" s="101" t="s">
        <v>6307</v>
      </c>
      <c r="P75" s="107" t="s">
        <v>5461</v>
      </c>
      <c r="Q75" s="107" t="s">
        <v>5401</v>
      </c>
      <c r="R75" s="101" t="s">
        <v>3105</v>
      </c>
      <c r="S75" s="101" t="s">
        <v>5422</v>
      </c>
      <c r="T75" s="101"/>
      <c r="U75" s="101">
        <v>40562</v>
      </c>
      <c r="V75" s="101"/>
      <c r="W75" s="107"/>
      <c r="X75" s="101"/>
      <c r="Y75" s="101"/>
      <c r="Z75" s="101"/>
      <c r="AA75" s="101" t="s">
        <v>6308</v>
      </c>
      <c r="AB75" s="107" t="s">
        <v>6309</v>
      </c>
      <c r="AC75" s="101" t="s">
        <v>6310</v>
      </c>
      <c r="AD75" s="101" t="s">
        <v>6311</v>
      </c>
      <c r="AE75" s="101" t="s">
        <v>6229</v>
      </c>
      <c r="AF75" s="296" t="s">
        <v>6312</v>
      </c>
      <c r="AG75" s="101"/>
      <c r="AH75" s="101">
        <v>1</v>
      </c>
      <c r="AI75" s="200"/>
    </row>
    <row r="76" spans="1:35" ht="13.5" customHeight="1" x14ac:dyDescent="0.3">
      <c r="A76" s="203">
        <v>74</v>
      </c>
      <c r="B76" s="204" t="s">
        <v>6313</v>
      </c>
      <c r="C76" s="203" t="s">
        <v>1617</v>
      </c>
      <c r="D76" s="241" t="s">
        <v>5332</v>
      </c>
      <c r="E76" s="315" t="s">
        <v>6314</v>
      </c>
      <c r="F76" s="239" t="s">
        <v>2352</v>
      </c>
      <c r="G76" s="320">
        <v>40906</v>
      </c>
      <c r="H76" s="319" t="s">
        <v>53</v>
      </c>
      <c r="I76" s="210"/>
      <c r="J76" s="315" t="s">
        <v>6315</v>
      </c>
      <c r="K76" s="315" t="s">
        <v>6316</v>
      </c>
      <c r="L76" s="239" t="s">
        <v>6317</v>
      </c>
      <c r="M76" s="239"/>
      <c r="N76" s="315" t="s">
        <v>6318</v>
      </c>
      <c r="O76" s="239" t="s">
        <v>6319</v>
      </c>
      <c r="P76" s="315" t="s">
        <v>5415</v>
      </c>
      <c r="Q76" s="315" t="s">
        <v>5394</v>
      </c>
      <c r="R76" s="239" t="s">
        <v>6320</v>
      </c>
      <c r="S76" s="239" t="s">
        <v>3961</v>
      </c>
      <c r="T76" s="239"/>
      <c r="U76" s="239"/>
      <c r="V76" s="239" t="s">
        <v>6321</v>
      </c>
      <c r="W76" s="315" t="s">
        <v>6322</v>
      </c>
      <c r="X76" s="239" t="s">
        <v>6323</v>
      </c>
      <c r="Y76" s="239" t="s">
        <v>6240</v>
      </c>
      <c r="Z76" s="239" t="s">
        <v>5442</v>
      </c>
      <c r="AA76" s="239" t="s">
        <v>6324</v>
      </c>
      <c r="AB76" s="315" t="s">
        <v>6325</v>
      </c>
      <c r="AC76" s="239" t="s">
        <v>6326</v>
      </c>
      <c r="AD76" s="239" t="s">
        <v>6240</v>
      </c>
      <c r="AE76" s="239" t="s">
        <v>5412</v>
      </c>
      <c r="AF76" s="312" t="s">
        <v>6327</v>
      </c>
      <c r="AG76" s="239"/>
      <c r="AH76" s="239">
        <v>3</v>
      </c>
      <c r="AI76" s="218">
        <v>83315051071</v>
      </c>
    </row>
    <row r="77" spans="1:35" ht="13.5" customHeight="1" x14ac:dyDescent="0.3">
      <c r="A77" s="50">
        <v>75</v>
      </c>
      <c r="B77" s="324" t="s">
        <v>6328</v>
      </c>
      <c r="C77" s="50" t="s">
        <v>1613</v>
      </c>
      <c r="D77" s="78" t="s">
        <v>6329</v>
      </c>
      <c r="E77" s="325" t="s">
        <v>6330</v>
      </c>
      <c r="F77" s="78" t="s">
        <v>4169</v>
      </c>
      <c r="G77" s="326">
        <v>40801</v>
      </c>
      <c r="H77" s="327"/>
      <c r="I77" s="78"/>
      <c r="J77" s="325" t="s">
        <v>6331</v>
      </c>
      <c r="K77" s="325" t="s">
        <v>6332</v>
      </c>
      <c r="L77" s="78" t="s">
        <v>6333</v>
      </c>
      <c r="M77" s="78"/>
      <c r="N77" s="78"/>
      <c r="O77" s="78" t="s">
        <v>6334</v>
      </c>
      <c r="P77" s="78">
        <v>4</v>
      </c>
      <c r="Q77" s="78">
        <v>2</v>
      </c>
      <c r="R77" s="78" t="s">
        <v>6335</v>
      </c>
      <c r="S77" s="78" t="s">
        <v>6336</v>
      </c>
      <c r="T77" s="78"/>
      <c r="U77" s="78">
        <v>16110</v>
      </c>
      <c r="V77" s="78" t="s">
        <v>6337</v>
      </c>
      <c r="W77" s="325" t="s">
        <v>6338</v>
      </c>
      <c r="X77" s="78" t="s">
        <v>6339</v>
      </c>
      <c r="Y77" s="78" t="s">
        <v>6240</v>
      </c>
      <c r="Z77" s="78" t="s">
        <v>5551</v>
      </c>
      <c r="AA77" s="78" t="s">
        <v>6340</v>
      </c>
      <c r="AB77" s="325" t="s">
        <v>6341</v>
      </c>
      <c r="AC77" s="78" t="s">
        <v>6342</v>
      </c>
      <c r="AD77" s="78" t="s">
        <v>6240</v>
      </c>
      <c r="AE77" s="78" t="s">
        <v>5412</v>
      </c>
      <c r="AF77" s="328" t="s">
        <v>6343</v>
      </c>
      <c r="AG77" s="78"/>
      <c r="AH77" s="78">
        <v>1</v>
      </c>
      <c r="AI77" s="325" t="s">
        <v>6344</v>
      </c>
    </row>
    <row r="78" spans="1:35" ht="13.5" customHeight="1" x14ac:dyDescent="0.3">
      <c r="A78" s="203">
        <v>76</v>
      </c>
      <c r="B78" s="204" t="s">
        <v>6345</v>
      </c>
      <c r="C78" s="203" t="s">
        <v>1613</v>
      </c>
      <c r="D78" s="239" t="s">
        <v>5215</v>
      </c>
      <c r="E78" s="315" t="s">
        <v>6346</v>
      </c>
      <c r="F78" s="239" t="s">
        <v>2352</v>
      </c>
      <c r="G78" s="320">
        <v>41078</v>
      </c>
      <c r="H78" s="319" t="s">
        <v>52</v>
      </c>
      <c r="I78" s="210" t="s">
        <v>5396</v>
      </c>
      <c r="J78" s="315" t="s">
        <v>6347</v>
      </c>
      <c r="K78" s="315" t="s">
        <v>6348</v>
      </c>
      <c r="L78" s="239" t="s">
        <v>6349</v>
      </c>
      <c r="M78" s="239"/>
      <c r="N78" s="315" t="s">
        <v>6350</v>
      </c>
      <c r="O78" s="239" t="s">
        <v>6351</v>
      </c>
      <c r="P78" s="315" t="s">
        <v>5394</v>
      </c>
      <c r="Q78" s="315" t="s">
        <v>5520</v>
      </c>
      <c r="R78" s="239" t="s">
        <v>3189</v>
      </c>
      <c r="S78" s="239" t="s">
        <v>3961</v>
      </c>
      <c r="T78" s="239"/>
      <c r="U78" s="239">
        <v>40564</v>
      </c>
      <c r="V78" s="239" t="s">
        <v>6352</v>
      </c>
      <c r="W78" s="315" t="s">
        <v>6353</v>
      </c>
      <c r="X78" s="239" t="s">
        <v>6354</v>
      </c>
      <c r="Y78" s="239" t="s">
        <v>5785</v>
      </c>
      <c r="Z78" s="239" t="s">
        <v>5442</v>
      </c>
      <c r="AA78" s="239" t="s">
        <v>6355</v>
      </c>
      <c r="AB78" s="315" t="s">
        <v>6356</v>
      </c>
      <c r="AC78" s="239" t="s">
        <v>6357</v>
      </c>
      <c r="AD78" s="239" t="s">
        <v>5772</v>
      </c>
      <c r="AE78" s="239" t="s">
        <v>5412</v>
      </c>
      <c r="AF78" s="312" t="s">
        <v>6358</v>
      </c>
      <c r="AG78" s="239"/>
      <c r="AH78" s="239">
        <v>1</v>
      </c>
      <c r="AI78" s="218" t="s">
        <v>6359</v>
      </c>
    </row>
    <row r="79" spans="1:35" ht="13.5" customHeight="1" x14ac:dyDescent="0.3">
      <c r="A79" s="106">
        <v>77</v>
      </c>
      <c r="B79" s="188" t="s">
        <v>6360</v>
      </c>
      <c r="C79" s="106" t="s">
        <v>1613</v>
      </c>
      <c r="D79" s="101" t="s">
        <v>5216</v>
      </c>
      <c r="E79" s="107" t="s">
        <v>6361</v>
      </c>
      <c r="F79" s="101" t="s">
        <v>2352</v>
      </c>
      <c r="G79" s="323">
        <v>40990</v>
      </c>
      <c r="H79" s="105" t="s">
        <v>52</v>
      </c>
      <c r="I79" s="193"/>
      <c r="J79" s="107" t="s">
        <v>6362</v>
      </c>
      <c r="K79" s="107" t="s">
        <v>6363</v>
      </c>
      <c r="L79" s="101" t="s">
        <v>6364</v>
      </c>
      <c r="M79" s="101"/>
      <c r="N79" s="101"/>
      <c r="O79" s="101" t="s">
        <v>6365</v>
      </c>
      <c r="P79" s="107" t="s">
        <v>5432</v>
      </c>
      <c r="Q79" s="107" t="s">
        <v>5502</v>
      </c>
      <c r="R79" s="101" t="s">
        <v>3581</v>
      </c>
      <c r="S79" s="101" t="s">
        <v>5422</v>
      </c>
      <c r="T79" s="101"/>
      <c r="U79" s="101">
        <v>40562</v>
      </c>
      <c r="V79" s="107" t="s">
        <v>6366</v>
      </c>
      <c r="W79" s="219"/>
      <c r="X79" s="101"/>
      <c r="Y79" s="101"/>
      <c r="Z79" s="101"/>
      <c r="AA79" s="101" t="s">
        <v>6367</v>
      </c>
      <c r="AB79" s="107" t="s">
        <v>6368</v>
      </c>
      <c r="AC79" s="101" t="s">
        <v>6369</v>
      </c>
      <c r="AD79" s="101" t="s">
        <v>5904</v>
      </c>
      <c r="AE79" s="101" t="s">
        <v>5412</v>
      </c>
      <c r="AF79" s="296" t="s">
        <v>5917</v>
      </c>
      <c r="AG79" s="101"/>
      <c r="AH79" s="101">
        <v>1</v>
      </c>
      <c r="AI79" s="200"/>
    </row>
    <row r="80" spans="1:35" ht="13.5" customHeight="1" x14ac:dyDescent="0.3">
      <c r="A80" s="106">
        <v>78</v>
      </c>
      <c r="B80" s="188" t="s">
        <v>6370</v>
      </c>
      <c r="C80" s="106" t="s">
        <v>1613</v>
      </c>
      <c r="D80" s="101" t="s">
        <v>5217</v>
      </c>
      <c r="E80" s="107" t="s">
        <v>6371</v>
      </c>
      <c r="F80" s="101" t="s">
        <v>6016</v>
      </c>
      <c r="G80" s="323">
        <v>41100</v>
      </c>
      <c r="H80" s="105" t="s">
        <v>53</v>
      </c>
      <c r="I80" s="193"/>
      <c r="J80" s="107" t="s">
        <v>6372</v>
      </c>
      <c r="K80" s="107" t="s">
        <v>6373</v>
      </c>
      <c r="L80" s="101" t="s">
        <v>6374</v>
      </c>
      <c r="M80" s="101"/>
      <c r="N80" s="101"/>
      <c r="O80" s="101" t="s">
        <v>6375</v>
      </c>
      <c r="P80" s="107" t="s">
        <v>5461</v>
      </c>
      <c r="Q80" s="107" t="s">
        <v>5415</v>
      </c>
      <c r="R80" s="101" t="s">
        <v>6376</v>
      </c>
      <c r="S80" s="101" t="s">
        <v>6377</v>
      </c>
      <c r="T80" s="101"/>
      <c r="U80" s="101">
        <v>44172</v>
      </c>
      <c r="V80" s="101" t="s">
        <v>6378</v>
      </c>
      <c r="W80" s="107" t="s">
        <v>6379</v>
      </c>
      <c r="X80" s="101" t="s">
        <v>6380</v>
      </c>
      <c r="Y80" s="101" t="s">
        <v>5904</v>
      </c>
      <c r="Z80" s="101" t="s">
        <v>5551</v>
      </c>
      <c r="AA80" s="101" t="s">
        <v>6381</v>
      </c>
      <c r="AB80" s="107" t="s">
        <v>6382</v>
      </c>
      <c r="AC80" s="101" t="s">
        <v>6383</v>
      </c>
      <c r="AD80" s="101" t="s">
        <v>5904</v>
      </c>
      <c r="AE80" s="101" t="s">
        <v>5412</v>
      </c>
      <c r="AF80" s="101" t="s">
        <v>5917</v>
      </c>
      <c r="AG80" s="101"/>
      <c r="AH80" s="101">
        <v>3</v>
      </c>
      <c r="AI80" s="200" t="s">
        <v>6384</v>
      </c>
    </row>
    <row r="81" spans="1:35" ht="13.5" customHeight="1" x14ac:dyDescent="0.3">
      <c r="A81" s="106">
        <v>79</v>
      </c>
      <c r="B81" s="188" t="s">
        <v>6385</v>
      </c>
      <c r="C81" s="106" t="s">
        <v>1613</v>
      </c>
      <c r="D81" s="101" t="s">
        <v>5218</v>
      </c>
      <c r="E81" s="107">
        <v>3123576096</v>
      </c>
      <c r="F81" s="101" t="s">
        <v>2377</v>
      </c>
      <c r="G81" s="323">
        <v>40991</v>
      </c>
      <c r="H81" s="105" t="s">
        <v>52</v>
      </c>
      <c r="I81" s="193"/>
      <c r="J81" s="107" t="s">
        <v>6386</v>
      </c>
      <c r="K81" s="107" t="s">
        <v>6387</v>
      </c>
      <c r="L81" s="101" t="s">
        <v>6388</v>
      </c>
      <c r="M81" s="101"/>
      <c r="N81" s="101" t="s">
        <v>6389</v>
      </c>
      <c r="O81" s="101" t="s">
        <v>5626</v>
      </c>
      <c r="P81" s="107" t="s">
        <v>5448</v>
      </c>
      <c r="Q81" s="107" t="s">
        <v>5394</v>
      </c>
      <c r="R81" s="101" t="s">
        <v>3105</v>
      </c>
      <c r="S81" s="101" t="s">
        <v>5422</v>
      </c>
      <c r="T81" s="101"/>
      <c r="U81" s="101">
        <v>40562</v>
      </c>
      <c r="V81" s="101" t="s">
        <v>6390</v>
      </c>
      <c r="W81" s="107" t="s">
        <v>6391</v>
      </c>
      <c r="X81" s="101" t="s">
        <v>6392</v>
      </c>
      <c r="Y81" s="101" t="s">
        <v>5772</v>
      </c>
      <c r="Z81" s="101" t="s">
        <v>6393</v>
      </c>
      <c r="AA81" s="101" t="s">
        <v>6394</v>
      </c>
      <c r="AB81" s="107" t="s">
        <v>6395</v>
      </c>
      <c r="AC81" s="101" t="s">
        <v>6396</v>
      </c>
      <c r="AD81" s="101" t="s">
        <v>5772</v>
      </c>
      <c r="AE81" s="101" t="s">
        <v>5412</v>
      </c>
      <c r="AF81" s="101" t="s">
        <v>5917</v>
      </c>
      <c r="AG81" s="101"/>
      <c r="AH81" s="101">
        <v>2</v>
      </c>
      <c r="AI81" s="200"/>
    </row>
    <row r="82" spans="1:35" ht="13.5" customHeight="1" x14ac:dyDescent="0.3">
      <c r="A82" s="106">
        <v>80</v>
      </c>
      <c r="B82" s="188" t="s">
        <v>6397</v>
      </c>
      <c r="C82" s="106" t="s">
        <v>1613</v>
      </c>
      <c r="D82" s="101" t="s">
        <v>5219</v>
      </c>
      <c r="E82" s="107" t="s">
        <v>6398</v>
      </c>
      <c r="F82" s="101" t="s">
        <v>2377</v>
      </c>
      <c r="G82" s="323">
        <v>41141</v>
      </c>
      <c r="H82" s="105" t="s">
        <v>53</v>
      </c>
      <c r="I82" s="193"/>
      <c r="J82" s="107" t="s">
        <v>6399</v>
      </c>
      <c r="K82" s="329" t="s">
        <v>6400</v>
      </c>
      <c r="L82" s="101" t="s">
        <v>6401</v>
      </c>
      <c r="M82" s="101"/>
      <c r="N82" s="101" t="s">
        <v>6402</v>
      </c>
      <c r="O82" s="101" t="s">
        <v>5626</v>
      </c>
      <c r="P82" s="107" t="s">
        <v>5401</v>
      </c>
      <c r="Q82" s="107" t="s">
        <v>5394</v>
      </c>
      <c r="R82" s="101" t="s">
        <v>3105</v>
      </c>
      <c r="S82" s="101" t="s">
        <v>5422</v>
      </c>
      <c r="T82" s="101"/>
      <c r="U82" s="101">
        <v>40562</v>
      </c>
      <c r="V82" s="101" t="s">
        <v>6403</v>
      </c>
      <c r="W82" s="107" t="s">
        <v>6404</v>
      </c>
      <c r="X82" s="101" t="s">
        <v>6405</v>
      </c>
      <c r="Y82" s="101" t="s">
        <v>5785</v>
      </c>
      <c r="Z82" s="101" t="s">
        <v>6393</v>
      </c>
      <c r="AA82" s="101" t="s">
        <v>6406</v>
      </c>
      <c r="AB82" s="107" t="s">
        <v>6407</v>
      </c>
      <c r="AC82" s="101" t="s">
        <v>6408</v>
      </c>
      <c r="AD82" s="101" t="s">
        <v>5785</v>
      </c>
      <c r="AE82" s="101" t="s">
        <v>5412</v>
      </c>
      <c r="AF82" s="101" t="s">
        <v>5917</v>
      </c>
      <c r="AG82" s="101" t="s">
        <v>6409</v>
      </c>
      <c r="AH82" s="101">
        <v>3</v>
      </c>
      <c r="AI82" s="200" t="s">
        <v>6410</v>
      </c>
    </row>
    <row r="83" spans="1:35" ht="13.5" customHeight="1" x14ac:dyDescent="0.3">
      <c r="A83" s="106">
        <v>81</v>
      </c>
      <c r="B83" s="188" t="s">
        <v>6411</v>
      </c>
      <c r="C83" s="189" t="s">
        <v>1613</v>
      </c>
      <c r="D83" s="101" t="s">
        <v>5235</v>
      </c>
      <c r="E83" s="107" t="s">
        <v>6412</v>
      </c>
      <c r="F83" s="101" t="s">
        <v>2377</v>
      </c>
      <c r="G83" s="323">
        <v>41018</v>
      </c>
      <c r="H83" s="105" t="s">
        <v>53</v>
      </c>
      <c r="I83" s="193"/>
      <c r="J83" s="107" t="s">
        <v>6413</v>
      </c>
      <c r="K83" s="107" t="s">
        <v>6414</v>
      </c>
      <c r="L83" s="101" t="s">
        <v>6415</v>
      </c>
      <c r="M83" s="101"/>
      <c r="N83" s="101" t="s">
        <v>6416</v>
      </c>
      <c r="O83" s="101" t="s">
        <v>5626</v>
      </c>
      <c r="P83" s="107" t="s">
        <v>5401</v>
      </c>
      <c r="Q83" s="107" t="s">
        <v>5394</v>
      </c>
      <c r="R83" s="101" t="s">
        <v>3105</v>
      </c>
      <c r="S83" s="101" t="s">
        <v>5422</v>
      </c>
      <c r="T83" s="101"/>
      <c r="U83" s="101">
        <v>40562</v>
      </c>
      <c r="V83" s="101" t="s">
        <v>6417</v>
      </c>
      <c r="W83" s="107" t="s">
        <v>6418</v>
      </c>
      <c r="X83" s="101" t="s">
        <v>6419</v>
      </c>
      <c r="Y83" s="101" t="s">
        <v>5772</v>
      </c>
      <c r="Z83" s="101" t="s">
        <v>6393</v>
      </c>
      <c r="AA83" s="101" t="s">
        <v>6420</v>
      </c>
      <c r="AB83" s="107" t="s">
        <v>6421</v>
      </c>
      <c r="AC83" s="101" t="s">
        <v>6422</v>
      </c>
      <c r="AD83" s="101" t="s">
        <v>5904</v>
      </c>
      <c r="AE83" s="101" t="s">
        <v>5412</v>
      </c>
      <c r="AF83" s="101" t="s">
        <v>5917</v>
      </c>
      <c r="AG83" s="101"/>
      <c r="AH83" s="101">
        <v>1</v>
      </c>
      <c r="AI83" s="200" t="s">
        <v>6423</v>
      </c>
    </row>
    <row r="84" spans="1:35" ht="13.5" customHeight="1" x14ac:dyDescent="0.3">
      <c r="A84" s="106">
        <v>82</v>
      </c>
      <c r="B84" s="188" t="s">
        <v>6424</v>
      </c>
      <c r="C84" s="106" t="s">
        <v>1614</v>
      </c>
      <c r="D84" s="101" t="s">
        <v>5236</v>
      </c>
      <c r="E84" s="107" t="s">
        <v>6425</v>
      </c>
      <c r="F84" s="101" t="s">
        <v>2377</v>
      </c>
      <c r="G84" s="323">
        <v>41099</v>
      </c>
      <c r="H84" s="105" t="s">
        <v>53</v>
      </c>
      <c r="I84" s="193"/>
      <c r="J84" s="107" t="s">
        <v>6426</v>
      </c>
      <c r="K84" s="107" t="s">
        <v>6427</v>
      </c>
      <c r="L84" s="101"/>
      <c r="M84" s="101"/>
      <c r="N84" s="101" t="s">
        <v>6428</v>
      </c>
      <c r="O84" s="101"/>
      <c r="P84" s="107"/>
      <c r="Q84" s="107"/>
      <c r="R84" s="101"/>
      <c r="S84" s="101"/>
      <c r="T84" s="101"/>
      <c r="U84" s="101">
        <v>40562</v>
      </c>
      <c r="V84" s="101" t="s">
        <v>4123</v>
      </c>
      <c r="W84" s="107"/>
      <c r="X84" s="101"/>
      <c r="Y84" s="101"/>
      <c r="Z84" s="101"/>
      <c r="AA84" s="101" t="s">
        <v>6429</v>
      </c>
      <c r="AB84" s="107">
        <v>3602094407720000</v>
      </c>
      <c r="AC84" s="101" t="s">
        <v>6430</v>
      </c>
      <c r="AD84" s="101" t="s">
        <v>5904</v>
      </c>
      <c r="AE84" s="101" t="s">
        <v>5412</v>
      </c>
      <c r="AF84" s="101" t="s">
        <v>5917</v>
      </c>
      <c r="AG84" s="101"/>
      <c r="AH84" s="101">
        <v>1</v>
      </c>
      <c r="AI84" s="200"/>
    </row>
    <row r="85" spans="1:35" ht="13.5" customHeight="1" x14ac:dyDescent="0.3">
      <c r="A85" s="106">
        <v>83</v>
      </c>
      <c r="B85" s="188" t="s">
        <v>6431</v>
      </c>
      <c r="C85" s="106" t="s">
        <v>1614</v>
      </c>
      <c r="D85" s="101" t="s">
        <v>5237</v>
      </c>
      <c r="E85" s="107" t="s">
        <v>6432</v>
      </c>
      <c r="F85" s="101" t="s">
        <v>2377</v>
      </c>
      <c r="G85" s="323">
        <v>41025</v>
      </c>
      <c r="H85" s="105" t="s">
        <v>53</v>
      </c>
      <c r="I85" s="193"/>
      <c r="J85" s="107" t="s">
        <v>6433</v>
      </c>
      <c r="K85" s="107" t="s">
        <v>6434</v>
      </c>
      <c r="L85" s="101" t="s">
        <v>6435</v>
      </c>
      <c r="M85" s="101"/>
      <c r="N85" s="101" t="s">
        <v>6436</v>
      </c>
      <c r="O85" s="101" t="s">
        <v>5626</v>
      </c>
      <c r="P85" s="107" t="s">
        <v>5157</v>
      </c>
      <c r="Q85" s="107" t="s">
        <v>5394</v>
      </c>
      <c r="R85" s="101" t="s">
        <v>3105</v>
      </c>
      <c r="S85" s="101" t="s">
        <v>5422</v>
      </c>
      <c r="T85" s="101"/>
      <c r="U85" s="101">
        <v>40562</v>
      </c>
      <c r="V85" s="101" t="s">
        <v>6437</v>
      </c>
      <c r="W85" s="107" t="s">
        <v>6438</v>
      </c>
      <c r="X85" s="101" t="s">
        <v>6439</v>
      </c>
      <c r="Y85" s="101" t="s">
        <v>5772</v>
      </c>
      <c r="Z85" s="101" t="s">
        <v>6393</v>
      </c>
      <c r="AA85" s="101" t="s">
        <v>6440</v>
      </c>
      <c r="AB85" s="107" t="s">
        <v>6441</v>
      </c>
      <c r="AC85" s="101" t="s">
        <v>6442</v>
      </c>
      <c r="AD85" s="101" t="s">
        <v>5904</v>
      </c>
      <c r="AE85" s="101" t="s">
        <v>5412</v>
      </c>
      <c r="AF85" s="101" t="s">
        <v>5917</v>
      </c>
      <c r="AG85" s="101"/>
      <c r="AH85" s="101">
        <v>1</v>
      </c>
      <c r="AI85" s="200" t="s">
        <v>6443</v>
      </c>
    </row>
    <row r="86" spans="1:35" s="78" customFormat="1" ht="13.5" customHeight="1" x14ac:dyDescent="0.3">
      <c r="A86" s="50">
        <v>84</v>
      </c>
      <c r="B86" s="222" t="s">
        <v>6444</v>
      </c>
      <c r="C86" s="50" t="s">
        <v>1615</v>
      </c>
      <c r="D86" s="42" t="s">
        <v>8442</v>
      </c>
      <c r="E86" s="44" t="s">
        <v>6445</v>
      </c>
      <c r="F86" s="42" t="s">
        <v>2377</v>
      </c>
      <c r="G86" s="387" t="s">
        <v>6446</v>
      </c>
      <c r="H86" s="47"/>
      <c r="I86" s="48"/>
      <c r="J86" s="44" t="s">
        <v>6447</v>
      </c>
      <c r="K86" s="44" t="s">
        <v>6448</v>
      </c>
      <c r="L86" s="42" t="s">
        <v>6449</v>
      </c>
      <c r="M86" s="42"/>
      <c r="N86" s="42" t="s">
        <v>6450</v>
      </c>
      <c r="O86" s="42" t="s">
        <v>5626</v>
      </c>
      <c r="P86" s="44" t="s">
        <v>5401</v>
      </c>
      <c r="Q86" s="44" t="s">
        <v>5394</v>
      </c>
      <c r="R86" s="42" t="s">
        <v>3105</v>
      </c>
      <c r="S86" s="42" t="s">
        <v>5422</v>
      </c>
      <c r="T86" s="42"/>
      <c r="U86" s="42">
        <v>40562</v>
      </c>
      <c r="V86" s="42" t="s">
        <v>6451</v>
      </c>
      <c r="W86" s="44" t="s">
        <v>6452</v>
      </c>
      <c r="X86" s="42" t="s">
        <v>6453</v>
      </c>
      <c r="Y86" s="42" t="s">
        <v>5904</v>
      </c>
      <c r="Z86" s="42" t="s">
        <v>6393</v>
      </c>
      <c r="AA86" s="42" t="s">
        <v>6454</v>
      </c>
      <c r="AB86" s="44" t="s">
        <v>6455</v>
      </c>
      <c r="AC86" s="42" t="s">
        <v>6456</v>
      </c>
      <c r="AD86" s="42" t="s">
        <v>5904</v>
      </c>
      <c r="AE86" s="42" t="s">
        <v>5412</v>
      </c>
      <c r="AF86" s="42" t="s">
        <v>5917</v>
      </c>
      <c r="AG86" s="42"/>
      <c r="AH86" s="42">
        <v>4</v>
      </c>
      <c r="AI86" s="234" t="s">
        <v>6457</v>
      </c>
    </row>
    <row r="87" spans="1:35" ht="13.5" customHeight="1" x14ac:dyDescent="0.3">
      <c r="A87" s="106">
        <v>85</v>
      </c>
      <c r="B87" s="188" t="s">
        <v>6458</v>
      </c>
      <c r="C87" s="189" t="s">
        <v>1615</v>
      </c>
      <c r="D87" s="101" t="s">
        <v>5266</v>
      </c>
      <c r="E87" s="107" t="s">
        <v>6459</v>
      </c>
      <c r="F87" s="101" t="s">
        <v>2377</v>
      </c>
      <c r="G87" s="323">
        <v>40946</v>
      </c>
      <c r="H87" s="105" t="s">
        <v>53</v>
      </c>
      <c r="I87" s="193"/>
      <c r="J87" s="107" t="s">
        <v>6460</v>
      </c>
      <c r="K87" s="107" t="s">
        <v>6461</v>
      </c>
      <c r="L87" s="107" t="s">
        <v>6462</v>
      </c>
      <c r="M87" s="101"/>
      <c r="N87" s="101"/>
      <c r="O87" s="101" t="s">
        <v>5626</v>
      </c>
      <c r="P87" s="107" t="s">
        <v>5432</v>
      </c>
      <c r="Q87" s="107" t="s">
        <v>5415</v>
      </c>
      <c r="R87" s="101" t="s">
        <v>3105</v>
      </c>
      <c r="S87" s="101" t="s">
        <v>5422</v>
      </c>
      <c r="T87" s="101"/>
      <c r="U87" s="101">
        <v>40562</v>
      </c>
      <c r="V87" s="101" t="s">
        <v>6463</v>
      </c>
      <c r="W87" s="107" t="s">
        <v>6464</v>
      </c>
      <c r="X87" s="101" t="s">
        <v>6465</v>
      </c>
      <c r="Y87" s="101" t="s">
        <v>5785</v>
      </c>
      <c r="Z87" s="101" t="s">
        <v>6393</v>
      </c>
      <c r="AA87" s="101" t="s">
        <v>6466</v>
      </c>
      <c r="AB87" s="107" t="s">
        <v>6467</v>
      </c>
      <c r="AC87" s="101" t="s">
        <v>6468</v>
      </c>
      <c r="AD87" s="101" t="s">
        <v>5772</v>
      </c>
      <c r="AE87" s="101" t="s">
        <v>5412</v>
      </c>
      <c r="AF87" s="101" t="s">
        <v>5917</v>
      </c>
      <c r="AG87" s="101"/>
      <c r="AH87" s="101">
        <v>1</v>
      </c>
      <c r="AI87" s="200" t="s">
        <v>6469</v>
      </c>
    </row>
    <row r="88" spans="1:35" ht="13.5" customHeight="1" x14ac:dyDescent="0.3">
      <c r="A88" s="106">
        <v>86</v>
      </c>
      <c r="B88" s="188" t="s">
        <v>6470</v>
      </c>
      <c r="C88" s="106" t="s">
        <v>1614</v>
      </c>
      <c r="D88" s="101" t="s">
        <v>5238</v>
      </c>
      <c r="E88" s="107" t="s">
        <v>6471</v>
      </c>
      <c r="F88" s="101" t="s">
        <v>2377</v>
      </c>
      <c r="G88" s="323">
        <v>40710</v>
      </c>
      <c r="H88" s="105" t="s">
        <v>52</v>
      </c>
      <c r="I88" s="193"/>
      <c r="J88" s="107" t="s">
        <v>6472</v>
      </c>
      <c r="K88" s="107" t="s">
        <v>6473</v>
      </c>
      <c r="L88" s="101" t="s">
        <v>6474</v>
      </c>
      <c r="M88" s="101"/>
      <c r="N88" s="101" t="s">
        <v>6475</v>
      </c>
      <c r="O88" s="101" t="s">
        <v>6476</v>
      </c>
      <c r="P88" s="107" t="s">
        <v>5394</v>
      </c>
      <c r="Q88" s="107" t="s">
        <v>5157</v>
      </c>
      <c r="R88" s="101" t="s">
        <v>3637</v>
      </c>
      <c r="S88" s="101" t="s">
        <v>3961</v>
      </c>
      <c r="T88" s="101"/>
      <c r="U88" s="101">
        <v>40764</v>
      </c>
      <c r="V88" s="101" t="s">
        <v>6477</v>
      </c>
      <c r="W88" s="107" t="s">
        <v>6478</v>
      </c>
      <c r="X88" s="101" t="s">
        <v>6479</v>
      </c>
      <c r="Y88" s="101" t="s">
        <v>5772</v>
      </c>
      <c r="Z88" s="101" t="s">
        <v>6393</v>
      </c>
      <c r="AA88" s="101" t="s">
        <v>6480</v>
      </c>
      <c r="AB88" s="107" t="s">
        <v>6481</v>
      </c>
      <c r="AC88" s="101" t="s">
        <v>6482</v>
      </c>
      <c r="AD88" s="101" t="s">
        <v>5772</v>
      </c>
      <c r="AE88" s="101" t="s">
        <v>5412</v>
      </c>
      <c r="AF88" s="101" t="s">
        <v>5917</v>
      </c>
      <c r="AG88" s="101"/>
      <c r="AH88" s="101">
        <v>3</v>
      </c>
      <c r="AI88" s="200" t="s">
        <v>6483</v>
      </c>
    </row>
    <row r="89" spans="1:35" ht="13.5" customHeight="1" x14ac:dyDescent="0.3">
      <c r="A89" s="106">
        <v>87</v>
      </c>
      <c r="B89" s="188" t="s">
        <v>6484</v>
      </c>
      <c r="C89" s="106" t="s">
        <v>1614</v>
      </c>
      <c r="D89" s="101" t="s">
        <v>5239</v>
      </c>
      <c r="E89" s="107" t="s">
        <v>6485</v>
      </c>
      <c r="F89" s="101" t="s">
        <v>2377</v>
      </c>
      <c r="G89" s="323">
        <v>41077</v>
      </c>
      <c r="H89" s="105" t="s">
        <v>52</v>
      </c>
      <c r="I89" s="193"/>
      <c r="J89" s="107" t="s">
        <v>6486</v>
      </c>
      <c r="K89" s="107" t="s">
        <v>6487</v>
      </c>
      <c r="L89" s="101" t="s">
        <v>6488</v>
      </c>
      <c r="M89" s="101"/>
      <c r="N89" s="101" t="s">
        <v>6489</v>
      </c>
      <c r="O89" s="101" t="s">
        <v>5626</v>
      </c>
      <c r="P89" s="107" t="s">
        <v>5394</v>
      </c>
      <c r="Q89" s="107" t="s">
        <v>5415</v>
      </c>
      <c r="R89" s="101" t="s">
        <v>3105</v>
      </c>
      <c r="S89" s="101" t="s">
        <v>5422</v>
      </c>
      <c r="T89" s="101"/>
      <c r="U89" s="101">
        <v>40562</v>
      </c>
      <c r="V89" s="101" t="s">
        <v>6490</v>
      </c>
      <c r="W89" s="107" t="s">
        <v>6491</v>
      </c>
      <c r="X89" s="101" t="s">
        <v>6492</v>
      </c>
      <c r="Y89" s="101" t="s">
        <v>5904</v>
      </c>
      <c r="Z89" s="101" t="s">
        <v>6393</v>
      </c>
      <c r="AA89" s="101" t="s">
        <v>6493</v>
      </c>
      <c r="AB89" s="107" t="s">
        <v>6494</v>
      </c>
      <c r="AC89" s="101" t="s">
        <v>6495</v>
      </c>
      <c r="AD89" s="101" t="s">
        <v>5904</v>
      </c>
      <c r="AE89" s="101" t="s">
        <v>5412</v>
      </c>
      <c r="AF89" s="101" t="s">
        <v>5917</v>
      </c>
      <c r="AG89" s="101"/>
      <c r="AH89" s="101">
        <v>3</v>
      </c>
      <c r="AI89" s="200" t="s">
        <v>6496</v>
      </c>
    </row>
    <row r="90" spans="1:35" ht="13.5" customHeight="1" x14ac:dyDescent="0.3">
      <c r="A90" s="106">
        <v>88</v>
      </c>
      <c r="B90" s="188" t="s">
        <v>6497</v>
      </c>
      <c r="C90" s="189" t="s">
        <v>1615</v>
      </c>
      <c r="D90" s="101" t="s">
        <v>5267</v>
      </c>
      <c r="E90" s="107" t="s">
        <v>6498</v>
      </c>
      <c r="F90" s="101" t="s">
        <v>2377</v>
      </c>
      <c r="G90" s="323">
        <v>40946</v>
      </c>
      <c r="H90" s="105" t="s">
        <v>52</v>
      </c>
      <c r="I90" s="193"/>
      <c r="J90" s="107" t="s">
        <v>6499</v>
      </c>
      <c r="K90" s="107" t="s">
        <v>6500</v>
      </c>
      <c r="L90" s="101" t="s">
        <v>6501</v>
      </c>
      <c r="M90" s="219"/>
      <c r="N90" s="101" t="s">
        <v>6502</v>
      </c>
      <c r="O90" s="101" t="s">
        <v>6503</v>
      </c>
      <c r="P90" s="107" t="s">
        <v>5432</v>
      </c>
      <c r="Q90" s="107" t="s">
        <v>5502</v>
      </c>
      <c r="R90" s="101" t="s">
        <v>3064</v>
      </c>
      <c r="S90" s="101" t="s">
        <v>3064</v>
      </c>
      <c r="T90" s="101"/>
      <c r="U90" s="101">
        <v>40553</v>
      </c>
      <c r="V90" s="101" t="s">
        <v>6504</v>
      </c>
      <c r="W90" s="107" t="s">
        <v>6505</v>
      </c>
      <c r="X90" s="101" t="s">
        <v>6506</v>
      </c>
      <c r="Y90" s="101" t="s">
        <v>5785</v>
      </c>
      <c r="Z90" s="101" t="s">
        <v>6393</v>
      </c>
      <c r="AA90" s="101" t="s">
        <v>6507</v>
      </c>
      <c r="AB90" s="107" t="s">
        <v>6508</v>
      </c>
      <c r="AC90" s="101" t="s">
        <v>6509</v>
      </c>
      <c r="AD90" s="101" t="s">
        <v>5772</v>
      </c>
      <c r="AE90" s="101" t="s">
        <v>5412</v>
      </c>
      <c r="AF90" s="101" t="s">
        <v>5917</v>
      </c>
      <c r="AG90" s="101"/>
      <c r="AH90" s="101">
        <v>1</v>
      </c>
      <c r="AI90" s="200" t="s">
        <v>6510</v>
      </c>
    </row>
    <row r="91" spans="1:35" ht="13.5" customHeight="1" x14ac:dyDescent="0.3">
      <c r="A91" s="106">
        <v>89</v>
      </c>
      <c r="B91" s="188" t="s">
        <v>6511</v>
      </c>
      <c r="C91" s="189" t="s">
        <v>1613</v>
      </c>
      <c r="D91" s="289" t="s">
        <v>5220</v>
      </c>
      <c r="E91" s="330">
        <v>3114795840</v>
      </c>
      <c r="F91" s="101" t="s">
        <v>2377</v>
      </c>
      <c r="G91" s="331">
        <v>40730</v>
      </c>
      <c r="H91" s="332" t="s">
        <v>52</v>
      </c>
      <c r="I91" s="193"/>
      <c r="J91" s="330" t="s">
        <v>6512</v>
      </c>
      <c r="K91" s="330" t="s">
        <v>6513</v>
      </c>
      <c r="L91" s="289" t="s">
        <v>6514</v>
      </c>
      <c r="M91" s="101"/>
      <c r="N91" s="101" t="s">
        <v>6515</v>
      </c>
      <c r="O91" s="289" t="s">
        <v>5575</v>
      </c>
      <c r="P91" s="330" t="s">
        <v>5415</v>
      </c>
      <c r="Q91" s="330" t="s">
        <v>5432</v>
      </c>
      <c r="R91" s="289" t="s">
        <v>3637</v>
      </c>
      <c r="S91" s="289" t="s">
        <v>3961</v>
      </c>
      <c r="T91" s="289"/>
      <c r="U91" s="289"/>
      <c r="V91" s="289"/>
      <c r="W91" s="330"/>
      <c r="X91" s="289"/>
      <c r="Y91" s="101"/>
      <c r="Z91" s="101"/>
      <c r="AA91" s="289"/>
      <c r="AB91" s="330" t="s">
        <v>6516</v>
      </c>
      <c r="AC91" s="330"/>
      <c r="AD91" s="101"/>
      <c r="AE91" s="101"/>
      <c r="AF91" s="289" t="s">
        <v>5988</v>
      </c>
      <c r="AG91" s="289"/>
      <c r="AH91" s="289">
        <v>2</v>
      </c>
      <c r="AI91" s="294" t="s">
        <v>6517</v>
      </c>
    </row>
    <row r="92" spans="1:35" ht="13.5" customHeight="1" x14ac:dyDescent="0.3">
      <c r="A92" s="106">
        <v>90</v>
      </c>
      <c r="B92" s="188" t="s">
        <v>6518</v>
      </c>
      <c r="C92" s="189" t="s">
        <v>1613</v>
      </c>
      <c r="D92" s="101" t="s">
        <v>5221</v>
      </c>
      <c r="E92" s="107">
        <v>3116123169</v>
      </c>
      <c r="F92" s="101" t="s">
        <v>2468</v>
      </c>
      <c r="G92" s="333">
        <v>40700</v>
      </c>
      <c r="H92" s="105" t="s">
        <v>52</v>
      </c>
      <c r="I92" s="193"/>
      <c r="J92" s="107" t="s">
        <v>6519</v>
      </c>
      <c r="K92" s="107" t="s">
        <v>6520</v>
      </c>
      <c r="L92" s="101" t="s">
        <v>6521</v>
      </c>
      <c r="M92" s="101"/>
      <c r="N92" s="101" t="s">
        <v>6522</v>
      </c>
      <c r="O92" s="101" t="s">
        <v>6523</v>
      </c>
      <c r="P92" s="107" t="s">
        <v>5432</v>
      </c>
      <c r="Q92" s="107" t="s">
        <v>5157</v>
      </c>
      <c r="R92" s="289" t="s">
        <v>2399</v>
      </c>
      <c r="S92" s="289" t="s">
        <v>3961</v>
      </c>
      <c r="T92" s="101"/>
      <c r="U92" s="101">
        <v>40764</v>
      </c>
      <c r="V92" s="101" t="s">
        <v>6524</v>
      </c>
      <c r="W92" s="107" t="s">
        <v>6525</v>
      </c>
      <c r="X92" s="101" t="s">
        <v>6392</v>
      </c>
      <c r="Y92" s="101" t="s">
        <v>5904</v>
      </c>
      <c r="Z92" s="101" t="s">
        <v>6393</v>
      </c>
      <c r="AA92" s="101" t="s">
        <v>3481</v>
      </c>
      <c r="AB92" s="107" t="s">
        <v>6526</v>
      </c>
      <c r="AC92" s="101" t="s">
        <v>6527</v>
      </c>
      <c r="AD92" s="101" t="s">
        <v>5904</v>
      </c>
      <c r="AE92" s="101" t="s">
        <v>5412</v>
      </c>
      <c r="AF92" s="101" t="s">
        <v>6528</v>
      </c>
      <c r="AG92" s="101"/>
      <c r="AH92" s="101">
        <v>2</v>
      </c>
      <c r="AI92" s="200" t="s">
        <v>6529</v>
      </c>
    </row>
    <row r="93" spans="1:35" ht="13.5" customHeight="1" x14ac:dyDescent="0.3">
      <c r="A93" s="106">
        <v>91</v>
      </c>
      <c r="B93" s="188" t="s">
        <v>6530</v>
      </c>
      <c r="C93" s="189" t="s">
        <v>1613</v>
      </c>
      <c r="D93" s="101" t="s">
        <v>5222</v>
      </c>
      <c r="E93" s="107" t="s">
        <v>6531</v>
      </c>
      <c r="F93" s="101" t="s">
        <v>2377</v>
      </c>
      <c r="G93" s="323">
        <v>40896</v>
      </c>
      <c r="H93" s="105" t="s">
        <v>52</v>
      </c>
      <c r="I93" s="193"/>
      <c r="J93" s="107" t="s">
        <v>6532</v>
      </c>
      <c r="K93" s="107" t="s">
        <v>6533</v>
      </c>
      <c r="L93" s="101" t="s">
        <v>6534</v>
      </c>
      <c r="M93" s="101"/>
      <c r="N93" s="101" t="s">
        <v>6535</v>
      </c>
      <c r="O93" s="101" t="s">
        <v>6523</v>
      </c>
      <c r="P93" s="107" t="s">
        <v>5432</v>
      </c>
      <c r="Q93" s="107" t="s">
        <v>5157</v>
      </c>
      <c r="R93" s="289" t="s">
        <v>2399</v>
      </c>
      <c r="S93" s="101" t="s">
        <v>3961</v>
      </c>
      <c r="T93" s="101"/>
      <c r="U93" s="101"/>
      <c r="V93" s="101" t="s">
        <v>6536</v>
      </c>
      <c r="W93" s="107" t="s">
        <v>6537</v>
      </c>
      <c r="X93" s="101" t="s">
        <v>6538</v>
      </c>
      <c r="Y93" s="101" t="s">
        <v>5785</v>
      </c>
      <c r="Z93" s="101" t="s">
        <v>5551</v>
      </c>
      <c r="AA93" s="101" t="s">
        <v>6539</v>
      </c>
      <c r="AB93" s="107" t="s">
        <v>6540</v>
      </c>
      <c r="AC93" s="101" t="s">
        <v>6541</v>
      </c>
      <c r="AD93" s="101" t="s">
        <v>5785</v>
      </c>
      <c r="AE93" s="101" t="s">
        <v>5551</v>
      </c>
      <c r="AF93" s="101" t="s">
        <v>6528</v>
      </c>
      <c r="AG93" s="101"/>
      <c r="AH93" s="101">
        <v>1</v>
      </c>
      <c r="AI93" s="200" t="s">
        <v>6542</v>
      </c>
    </row>
    <row r="94" spans="1:35" ht="13.5" customHeight="1" x14ac:dyDescent="0.3">
      <c r="A94" s="106">
        <v>92</v>
      </c>
      <c r="B94" s="188" t="s">
        <v>6543</v>
      </c>
      <c r="C94" s="189" t="s">
        <v>1613</v>
      </c>
      <c r="D94" s="101" t="s">
        <v>5223</v>
      </c>
      <c r="E94" s="329" t="s">
        <v>6544</v>
      </c>
      <c r="F94" s="101" t="s">
        <v>2377</v>
      </c>
      <c r="G94" s="333">
        <v>40951</v>
      </c>
      <c r="H94" s="105" t="s">
        <v>53</v>
      </c>
      <c r="I94" s="193"/>
      <c r="J94" s="107" t="s">
        <v>6545</v>
      </c>
      <c r="K94" s="107" t="s">
        <v>6546</v>
      </c>
      <c r="L94" s="101" t="s">
        <v>6547</v>
      </c>
      <c r="M94" s="101"/>
      <c r="N94" s="101" t="s">
        <v>6548</v>
      </c>
      <c r="O94" s="101" t="s">
        <v>6549</v>
      </c>
      <c r="P94" s="107" t="s">
        <v>5415</v>
      </c>
      <c r="Q94" s="107" t="s">
        <v>5520</v>
      </c>
      <c r="R94" s="289" t="s">
        <v>3637</v>
      </c>
      <c r="S94" s="101" t="s">
        <v>3961</v>
      </c>
      <c r="T94" s="101"/>
      <c r="U94" s="101">
        <v>40764</v>
      </c>
      <c r="V94" s="101" t="s">
        <v>2734</v>
      </c>
      <c r="W94" s="107" t="s">
        <v>6550</v>
      </c>
      <c r="X94" s="101" t="s">
        <v>6551</v>
      </c>
      <c r="Y94" s="101" t="s">
        <v>5904</v>
      </c>
      <c r="Z94" s="101" t="s">
        <v>6393</v>
      </c>
      <c r="AA94" s="107" t="s">
        <v>6552</v>
      </c>
      <c r="AB94" s="329" t="s">
        <v>6553</v>
      </c>
      <c r="AC94" s="101" t="s">
        <v>6554</v>
      </c>
      <c r="AD94" s="101" t="s">
        <v>5904</v>
      </c>
      <c r="AE94" s="101" t="s">
        <v>5412</v>
      </c>
      <c r="AF94" s="101" t="s">
        <v>6555</v>
      </c>
      <c r="AG94" s="101"/>
      <c r="AH94" s="101">
        <v>3</v>
      </c>
      <c r="AI94" s="200" t="s">
        <v>6556</v>
      </c>
    </row>
    <row r="95" spans="1:35" ht="13.5" customHeight="1" x14ac:dyDescent="0.3">
      <c r="A95" s="106">
        <v>93</v>
      </c>
      <c r="B95" s="188" t="s">
        <v>6557</v>
      </c>
      <c r="C95" s="106" t="s">
        <v>1613</v>
      </c>
      <c r="D95" s="101" t="s">
        <v>5224</v>
      </c>
      <c r="E95" s="107" t="s">
        <v>6558</v>
      </c>
      <c r="F95" s="101" t="s">
        <v>2377</v>
      </c>
      <c r="G95" s="333">
        <v>40629</v>
      </c>
      <c r="H95" s="105" t="s">
        <v>52</v>
      </c>
      <c r="I95" s="193"/>
      <c r="J95" s="107"/>
      <c r="K95" s="107"/>
      <c r="L95" s="101"/>
      <c r="M95" s="101"/>
      <c r="N95" s="101" t="s">
        <v>6559</v>
      </c>
      <c r="O95" s="101"/>
      <c r="P95" s="107"/>
      <c r="Q95" s="107"/>
      <c r="R95" s="101"/>
      <c r="S95" s="101"/>
      <c r="T95" s="101"/>
      <c r="U95" s="101"/>
      <c r="V95" s="101"/>
      <c r="W95" s="107"/>
      <c r="X95" s="101"/>
      <c r="Y95" s="101"/>
      <c r="Z95" s="101"/>
      <c r="AA95" s="101"/>
      <c r="AB95" s="107"/>
      <c r="AC95" s="101"/>
      <c r="AD95" s="101"/>
      <c r="AE95" s="101"/>
      <c r="AF95" s="101" t="s">
        <v>6555</v>
      </c>
      <c r="AG95" s="101"/>
      <c r="AH95" s="101"/>
      <c r="AI95" s="200" t="s">
        <v>6560</v>
      </c>
    </row>
    <row r="96" spans="1:35" ht="13.5" customHeight="1" x14ac:dyDescent="0.3">
      <c r="A96" s="288">
        <v>94</v>
      </c>
      <c r="B96" s="188" t="s">
        <v>6561</v>
      </c>
      <c r="C96" s="189" t="s">
        <v>1613</v>
      </c>
      <c r="D96" s="289" t="s">
        <v>5225</v>
      </c>
      <c r="E96" s="330" t="s">
        <v>6562</v>
      </c>
      <c r="F96" s="101" t="s">
        <v>2377</v>
      </c>
      <c r="G96" s="331">
        <v>40897</v>
      </c>
      <c r="H96" s="332" t="s">
        <v>52</v>
      </c>
      <c r="I96" s="193"/>
      <c r="J96" s="330" t="s">
        <v>6563</v>
      </c>
      <c r="K96" s="330" t="s">
        <v>6564</v>
      </c>
      <c r="L96" s="289" t="s">
        <v>6565</v>
      </c>
      <c r="M96" s="289"/>
      <c r="N96" s="289"/>
      <c r="O96" s="289" t="s">
        <v>6566</v>
      </c>
      <c r="P96" s="330" t="s">
        <v>5415</v>
      </c>
      <c r="Q96" s="330" t="s">
        <v>5542</v>
      </c>
      <c r="R96" s="101" t="s">
        <v>3637</v>
      </c>
      <c r="S96" s="101" t="s">
        <v>3961</v>
      </c>
      <c r="T96" s="289"/>
      <c r="U96" s="101">
        <v>40764</v>
      </c>
      <c r="V96" s="289" t="s">
        <v>6567</v>
      </c>
      <c r="W96" s="330" t="s">
        <v>6568</v>
      </c>
      <c r="X96" s="289" t="s">
        <v>6569</v>
      </c>
      <c r="Y96" s="101" t="s">
        <v>5904</v>
      </c>
      <c r="Z96" s="101" t="s">
        <v>6393</v>
      </c>
      <c r="AA96" s="289" t="s">
        <v>6570</v>
      </c>
      <c r="AB96" s="330" t="s">
        <v>6571</v>
      </c>
      <c r="AC96" s="289" t="s">
        <v>6572</v>
      </c>
      <c r="AD96" s="101" t="s">
        <v>5904</v>
      </c>
      <c r="AE96" s="101" t="s">
        <v>5412</v>
      </c>
      <c r="AF96" s="101" t="s">
        <v>6555</v>
      </c>
      <c r="AG96" s="289"/>
      <c r="AH96" s="289">
        <v>2</v>
      </c>
      <c r="AI96" s="294" t="s">
        <v>6573</v>
      </c>
    </row>
    <row r="97" spans="1:35" ht="13.5" customHeight="1" x14ac:dyDescent="0.3">
      <c r="A97" s="288">
        <v>95</v>
      </c>
      <c r="B97" s="188" t="s">
        <v>6574</v>
      </c>
      <c r="C97" s="288" t="s">
        <v>1614</v>
      </c>
      <c r="D97" s="289" t="s">
        <v>5240</v>
      </c>
      <c r="E97" s="330" t="s">
        <v>6575</v>
      </c>
      <c r="F97" s="289" t="s">
        <v>2377</v>
      </c>
      <c r="G97" s="331">
        <v>41137</v>
      </c>
      <c r="H97" s="332" t="s">
        <v>52</v>
      </c>
      <c r="I97" s="193"/>
      <c r="J97" s="330" t="s">
        <v>6576</v>
      </c>
      <c r="K97" s="330" t="s">
        <v>6577</v>
      </c>
      <c r="L97" s="289" t="s">
        <v>6578</v>
      </c>
      <c r="M97" s="334"/>
      <c r="N97" s="101" t="s">
        <v>6579</v>
      </c>
      <c r="O97" s="335" t="s">
        <v>6028</v>
      </c>
      <c r="P97" s="330" t="s">
        <v>5415</v>
      </c>
      <c r="Q97" s="330" t="s">
        <v>5448</v>
      </c>
      <c r="R97" s="289" t="s">
        <v>3637</v>
      </c>
      <c r="S97" s="289" t="s">
        <v>3961</v>
      </c>
      <c r="T97" s="289"/>
      <c r="U97" s="101">
        <v>40764</v>
      </c>
      <c r="V97" s="289" t="s">
        <v>6580</v>
      </c>
      <c r="W97" s="330" t="s">
        <v>6581</v>
      </c>
      <c r="X97" s="289" t="s">
        <v>6582</v>
      </c>
      <c r="Y97" s="101" t="s">
        <v>5785</v>
      </c>
      <c r="Z97" s="289" t="s">
        <v>6393</v>
      </c>
      <c r="AA97" s="289" t="s">
        <v>2988</v>
      </c>
      <c r="AB97" s="330" t="s">
        <v>6583</v>
      </c>
      <c r="AC97" s="289" t="s">
        <v>6584</v>
      </c>
      <c r="AD97" s="289" t="s">
        <v>5904</v>
      </c>
      <c r="AE97" s="289" t="s">
        <v>5412</v>
      </c>
      <c r="AF97" s="101" t="s">
        <v>6555</v>
      </c>
      <c r="AG97" s="289"/>
      <c r="AH97" s="289">
        <v>2</v>
      </c>
      <c r="AI97" s="294" t="s">
        <v>6585</v>
      </c>
    </row>
    <row r="98" spans="1:35" ht="13.5" customHeight="1" x14ac:dyDescent="0.3">
      <c r="A98" s="288">
        <v>96</v>
      </c>
      <c r="B98" s="188" t="s">
        <v>6586</v>
      </c>
      <c r="C98" s="288" t="s">
        <v>1613</v>
      </c>
      <c r="D98" s="289" t="s">
        <v>5226</v>
      </c>
      <c r="E98" s="330" t="s">
        <v>6587</v>
      </c>
      <c r="F98" s="289" t="s">
        <v>2377</v>
      </c>
      <c r="G98" s="331">
        <v>40698</v>
      </c>
      <c r="H98" s="332" t="s">
        <v>53</v>
      </c>
      <c r="I98" s="193"/>
      <c r="J98" s="330" t="s">
        <v>6588</v>
      </c>
      <c r="K98" s="330" t="s">
        <v>6589</v>
      </c>
      <c r="L98" s="289" t="s">
        <v>6590</v>
      </c>
      <c r="M98" s="289"/>
      <c r="N98" s="101" t="s">
        <v>6591</v>
      </c>
      <c r="O98" s="289" t="s">
        <v>6592</v>
      </c>
      <c r="P98" s="330" t="s">
        <v>5415</v>
      </c>
      <c r="Q98" s="330" t="s">
        <v>5556</v>
      </c>
      <c r="R98" s="289" t="s">
        <v>3637</v>
      </c>
      <c r="S98" s="289" t="s">
        <v>3961</v>
      </c>
      <c r="T98" s="289"/>
      <c r="U98" s="101">
        <v>40764</v>
      </c>
      <c r="V98" s="289" t="s">
        <v>6593</v>
      </c>
      <c r="W98" s="330" t="s">
        <v>6594</v>
      </c>
      <c r="X98" s="289" t="s">
        <v>6595</v>
      </c>
      <c r="Y98" s="289" t="s">
        <v>5904</v>
      </c>
      <c r="Z98" s="289" t="s">
        <v>6393</v>
      </c>
      <c r="AA98" s="289" t="s">
        <v>6596</v>
      </c>
      <c r="AB98" s="330" t="s">
        <v>6597</v>
      </c>
      <c r="AC98" s="289" t="s">
        <v>6598</v>
      </c>
      <c r="AD98" s="289" t="s">
        <v>5904</v>
      </c>
      <c r="AE98" s="289" t="s">
        <v>5412</v>
      </c>
      <c r="AF98" s="289" t="s">
        <v>6555</v>
      </c>
      <c r="AG98" s="330"/>
      <c r="AH98" s="289">
        <v>1</v>
      </c>
      <c r="AI98" s="294" t="s">
        <v>6599</v>
      </c>
    </row>
    <row r="99" spans="1:35" ht="13.5" customHeight="1" x14ac:dyDescent="0.3">
      <c r="A99" s="288">
        <v>97</v>
      </c>
      <c r="B99" s="188" t="s">
        <v>6600</v>
      </c>
      <c r="C99" s="189" t="s">
        <v>1614</v>
      </c>
      <c r="D99" s="289" t="s">
        <v>5241</v>
      </c>
      <c r="E99" s="330" t="s">
        <v>6601</v>
      </c>
      <c r="F99" s="289" t="s">
        <v>2377</v>
      </c>
      <c r="G99" s="331">
        <v>40771</v>
      </c>
      <c r="H99" s="332" t="s">
        <v>52</v>
      </c>
      <c r="I99" s="193"/>
      <c r="J99" s="330" t="s">
        <v>6602</v>
      </c>
      <c r="K99" s="330" t="s">
        <v>6603</v>
      </c>
      <c r="L99" s="289"/>
      <c r="M99" s="289"/>
      <c r="N99" s="101" t="s">
        <v>6604</v>
      </c>
      <c r="O99" s="289" t="s">
        <v>6028</v>
      </c>
      <c r="P99" s="330" t="s">
        <v>5432</v>
      </c>
      <c r="Q99" s="330" t="s">
        <v>5448</v>
      </c>
      <c r="R99" s="289" t="s">
        <v>3637</v>
      </c>
      <c r="S99" s="289" t="s">
        <v>3961</v>
      </c>
      <c r="T99" s="289"/>
      <c r="U99" s="101">
        <v>40764</v>
      </c>
      <c r="V99" s="289" t="s">
        <v>6605</v>
      </c>
      <c r="W99" s="330" t="s">
        <v>6606</v>
      </c>
      <c r="X99" s="289" t="s">
        <v>6607</v>
      </c>
      <c r="Y99" s="289" t="s">
        <v>5772</v>
      </c>
      <c r="Z99" s="289" t="s">
        <v>6393</v>
      </c>
      <c r="AA99" s="289" t="s">
        <v>6608</v>
      </c>
      <c r="AB99" s="330" t="s">
        <v>6609</v>
      </c>
      <c r="AC99" s="289" t="s">
        <v>6610</v>
      </c>
      <c r="AD99" s="289" t="s">
        <v>5772</v>
      </c>
      <c r="AE99" s="289" t="s">
        <v>5412</v>
      </c>
      <c r="AF99" s="289" t="s">
        <v>6555</v>
      </c>
      <c r="AG99" s="330"/>
      <c r="AH99" s="330"/>
      <c r="AI99" s="294" t="s">
        <v>6611</v>
      </c>
    </row>
    <row r="100" spans="1:35" ht="13.5" customHeight="1" x14ac:dyDescent="0.3">
      <c r="A100" s="288">
        <v>98</v>
      </c>
      <c r="B100" s="188" t="s">
        <v>6612</v>
      </c>
      <c r="C100" s="189" t="s">
        <v>1614</v>
      </c>
      <c r="D100" s="289" t="s">
        <v>5242</v>
      </c>
      <c r="E100" s="330">
        <v>116257546</v>
      </c>
      <c r="F100" s="289" t="s">
        <v>2377</v>
      </c>
      <c r="G100" s="336">
        <v>40654</v>
      </c>
      <c r="H100" s="332" t="s">
        <v>53</v>
      </c>
      <c r="I100" s="193"/>
      <c r="J100" s="330" t="s">
        <v>6613</v>
      </c>
      <c r="K100" s="330" t="s">
        <v>6614</v>
      </c>
      <c r="L100" s="289" t="s">
        <v>6615</v>
      </c>
      <c r="M100" s="337"/>
      <c r="N100" s="101" t="s">
        <v>6616</v>
      </c>
      <c r="O100" s="289" t="s">
        <v>6592</v>
      </c>
      <c r="P100" s="330" t="s">
        <v>5415</v>
      </c>
      <c r="Q100" s="330" t="s">
        <v>5556</v>
      </c>
      <c r="R100" s="289" t="s">
        <v>3637</v>
      </c>
      <c r="S100" s="289" t="s">
        <v>3961</v>
      </c>
      <c r="T100" s="289"/>
      <c r="U100" s="101">
        <v>40764</v>
      </c>
      <c r="V100" s="289" t="s">
        <v>6617</v>
      </c>
      <c r="W100" s="330" t="s">
        <v>5606</v>
      </c>
      <c r="X100" s="289"/>
      <c r="Y100" s="289"/>
      <c r="Z100" s="289"/>
      <c r="AA100" s="289" t="s">
        <v>6618</v>
      </c>
      <c r="AB100" s="330" t="s">
        <v>6619</v>
      </c>
      <c r="AC100" s="289" t="s">
        <v>6620</v>
      </c>
      <c r="AD100" s="289" t="s">
        <v>5772</v>
      </c>
      <c r="AE100" s="289" t="s">
        <v>5412</v>
      </c>
      <c r="AF100" s="289" t="s">
        <v>6555</v>
      </c>
      <c r="AG100" s="289"/>
      <c r="AH100" s="289">
        <v>1</v>
      </c>
      <c r="AI100" s="294" t="s">
        <v>5606</v>
      </c>
    </row>
    <row r="101" spans="1:35" ht="13.5" customHeight="1" x14ac:dyDescent="0.3">
      <c r="A101" s="288">
        <v>99</v>
      </c>
      <c r="B101" s="188" t="s">
        <v>6621</v>
      </c>
      <c r="C101" s="189" t="s">
        <v>1615</v>
      </c>
      <c r="D101" s="289" t="s">
        <v>5268</v>
      </c>
      <c r="E101" s="330" t="s">
        <v>6622</v>
      </c>
      <c r="F101" s="289" t="s">
        <v>2377</v>
      </c>
      <c r="G101" s="331">
        <v>40754</v>
      </c>
      <c r="H101" s="332" t="s">
        <v>52</v>
      </c>
      <c r="I101" s="193"/>
      <c r="J101" s="330" t="s">
        <v>6623</v>
      </c>
      <c r="K101" s="330" t="s">
        <v>6624</v>
      </c>
      <c r="L101" s="289" t="s">
        <v>6625</v>
      </c>
      <c r="M101" s="289"/>
      <c r="N101" s="101" t="s">
        <v>6626</v>
      </c>
      <c r="O101" s="289" t="s">
        <v>6627</v>
      </c>
      <c r="P101" s="330" t="s">
        <v>5415</v>
      </c>
      <c r="Q101" s="330" t="s">
        <v>5432</v>
      </c>
      <c r="R101" s="289" t="s">
        <v>3637</v>
      </c>
      <c r="S101" s="289" t="s">
        <v>3961</v>
      </c>
      <c r="T101" s="289"/>
      <c r="U101" s="101">
        <v>40764</v>
      </c>
      <c r="V101" s="289" t="s">
        <v>2492</v>
      </c>
      <c r="W101" s="330" t="s">
        <v>6628</v>
      </c>
      <c r="X101" s="289" t="s">
        <v>6629</v>
      </c>
      <c r="Y101" s="289" t="s">
        <v>5772</v>
      </c>
      <c r="Z101" s="289" t="s">
        <v>6393</v>
      </c>
      <c r="AA101" s="289" t="s">
        <v>6630</v>
      </c>
      <c r="AB101" s="330"/>
      <c r="AC101" s="289"/>
      <c r="AD101" s="289"/>
      <c r="AE101" s="289"/>
      <c r="AF101" s="289" t="s">
        <v>6555</v>
      </c>
      <c r="AG101" s="289"/>
      <c r="AH101" s="289">
        <v>2</v>
      </c>
      <c r="AI101" s="294" t="s">
        <v>6631</v>
      </c>
    </row>
    <row r="102" spans="1:35" ht="13.5" customHeight="1" x14ac:dyDescent="0.3">
      <c r="A102" s="106">
        <v>100</v>
      </c>
      <c r="B102" s="188" t="s">
        <v>6632</v>
      </c>
      <c r="C102" s="106" t="s">
        <v>1615</v>
      </c>
      <c r="D102" s="101" t="s">
        <v>5269</v>
      </c>
      <c r="E102" s="107" t="s">
        <v>6633</v>
      </c>
      <c r="F102" s="101" t="s">
        <v>2377</v>
      </c>
      <c r="G102" s="333">
        <v>40892</v>
      </c>
      <c r="H102" s="105" t="s">
        <v>52</v>
      </c>
      <c r="I102" s="193"/>
      <c r="J102" s="107" t="s">
        <v>6634</v>
      </c>
      <c r="K102" s="107" t="s">
        <v>6635</v>
      </c>
      <c r="L102" s="101" t="s">
        <v>6636</v>
      </c>
      <c r="M102" s="101"/>
      <c r="N102" s="101" t="s">
        <v>6637</v>
      </c>
      <c r="O102" s="101" t="s">
        <v>6566</v>
      </c>
      <c r="P102" s="107" t="s">
        <v>5394</v>
      </c>
      <c r="Q102" s="107" t="s">
        <v>5542</v>
      </c>
      <c r="R102" s="101" t="s">
        <v>3637</v>
      </c>
      <c r="S102" s="101" t="s">
        <v>3961</v>
      </c>
      <c r="T102" s="101"/>
      <c r="U102" s="101"/>
      <c r="V102" s="101" t="s">
        <v>6638</v>
      </c>
      <c r="W102" s="107" t="s">
        <v>6639</v>
      </c>
      <c r="X102" s="101" t="s">
        <v>6640</v>
      </c>
      <c r="Y102" s="101" t="s">
        <v>5772</v>
      </c>
      <c r="Z102" s="101" t="s">
        <v>5551</v>
      </c>
      <c r="AA102" s="107" t="s">
        <v>6641</v>
      </c>
      <c r="AB102" s="329" t="s">
        <v>6642</v>
      </c>
      <c r="AC102" s="101" t="s">
        <v>6643</v>
      </c>
      <c r="AD102" s="101" t="s">
        <v>5772</v>
      </c>
      <c r="AE102" s="101" t="s">
        <v>5412</v>
      </c>
      <c r="AF102" s="289" t="s">
        <v>6555</v>
      </c>
      <c r="AG102" s="101"/>
      <c r="AH102" s="101">
        <v>3</v>
      </c>
      <c r="AI102" s="200" t="s">
        <v>6644</v>
      </c>
    </row>
    <row r="103" spans="1:35" ht="13.5" customHeight="1" x14ac:dyDescent="0.3">
      <c r="A103" s="106">
        <v>101</v>
      </c>
      <c r="B103" s="188" t="s">
        <v>6645</v>
      </c>
      <c r="C103" s="106" t="s">
        <v>1616</v>
      </c>
      <c r="D103" s="101" t="s">
        <v>5295</v>
      </c>
      <c r="E103" s="107" t="s">
        <v>6646</v>
      </c>
      <c r="F103" s="101" t="s">
        <v>2377</v>
      </c>
      <c r="G103" s="333">
        <v>40611</v>
      </c>
      <c r="H103" s="105" t="s">
        <v>52</v>
      </c>
      <c r="I103" s="193"/>
      <c r="J103" s="107" t="s">
        <v>6647</v>
      </c>
      <c r="K103" s="107" t="s">
        <v>6648</v>
      </c>
      <c r="L103" s="101" t="s">
        <v>6649</v>
      </c>
      <c r="M103" s="289"/>
      <c r="N103" s="101" t="s">
        <v>6650</v>
      </c>
      <c r="O103" s="101" t="s">
        <v>6627</v>
      </c>
      <c r="P103" s="107" t="s">
        <v>5394</v>
      </c>
      <c r="Q103" s="107" t="s">
        <v>5432</v>
      </c>
      <c r="R103" s="101" t="s">
        <v>3637</v>
      </c>
      <c r="S103" s="101" t="s">
        <v>3961</v>
      </c>
      <c r="T103" s="101"/>
      <c r="U103" s="101">
        <v>40764</v>
      </c>
      <c r="V103" s="101" t="s">
        <v>6651</v>
      </c>
      <c r="W103" s="107" t="s">
        <v>6652</v>
      </c>
      <c r="X103" s="101" t="s">
        <v>6653</v>
      </c>
      <c r="Y103" s="101" t="s">
        <v>5904</v>
      </c>
      <c r="Z103" s="101" t="s">
        <v>6393</v>
      </c>
      <c r="AA103" s="101" t="s">
        <v>6654</v>
      </c>
      <c r="AB103" s="338" t="s">
        <v>6655</v>
      </c>
      <c r="AC103" s="107" t="s">
        <v>6656</v>
      </c>
      <c r="AD103" s="101" t="s">
        <v>5904</v>
      </c>
      <c r="AE103" s="101" t="s">
        <v>5412</v>
      </c>
      <c r="AF103" s="289" t="s">
        <v>6555</v>
      </c>
      <c r="AG103" s="101"/>
      <c r="AH103" s="101">
        <v>2</v>
      </c>
      <c r="AI103" s="200" t="s">
        <v>6657</v>
      </c>
    </row>
    <row r="104" spans="1:35" ht="13.5" customHeight="1" x14ac:dyDescent="0.3">
      <c r="A104" s="106">
        <v>102</v>
      </c>
      <c r="B104" s="188" t="s">
        <v>6658</v>
      </c>
      <c r="C104" s="106" t="s">
        <v>1616</v>
      </c>
      <c r="D104" s="101" t="s">
        <v>5296</v>
      </c>
      <c r="E104" s="107" t="s">
        <v>6659</v>
      </c>
      <c r="F104" s="101" t="s">
        <v>3995</v>
      </c>
      <c r="G104" s="333">
        <v>41075</v>
      </c>
      <c r="H104" s="105" t="s">
        <v>52</v>
      </c>
      <c r="I104" s="193"/>
      <c r="J104" s="107" t="s">
        <v>6660</v>
      </c>
      <c r="K104" s="107" t="s">
        <v>6661</v>
      </c>
      <c r="L104" s="101"/>
      <c r="M104" s="289"/>
      <c r="N104" s="101" t="s">
        <v>6662</v>
      </c>
      <c r="O104" s="101" t="s">
        <v>6627</v>
      </c>
      <c r="P104" s="107" t="s">
        <v>5415</v>
      </c>
      <c r="Q104" s="107" t="s">
        <v>5432</v>
      </c>
      <c r="R104" s="101" t="s">
        <v>3637</v>
      </c>
      <c r="S104" s="101" t="s">
        <v>3961</v>
      </c>
      <c r="T104" s="101"/>
      <c r="U104" s="101">
        <v>40564</v>
      </c>
      <c r="V104" s="101" t="s">
        <v>6663</v>
      </c>
      <c r="W104" s="107" t="s">
        <v>6664</v>
      </c>
      <c r="X104" s="101" t="s">
        <v>6665</v>
      </c>
      <c r="Y104" s="101" t="s">
        <v>5904</v>
      </c>
      <c r="Z104" s="101" t="s">
        <v>6393</v>
      </c>
      <c r="AA104" s="101" t="s">
        <v>6666</v>
      </c>
      <c r="AB104" s="107" t="s">
        <v>6667</v>
      </c>
      <c r="AC104" s="101" t="s">
        <v>6668</v>
      </c>
      <c r="AD104" s="101" t="s">
        <v>5904</v>
      </c>
      <c r="AE104" s="101" t="s">
        <v>5412</v>
      </c>
      <c r="AF104" s="289" t="s">
        <v>6555</v>
      </c>
      <c r="AG104" s="101"/>
      <c r="AH104" s="101">
        <v>4</v>
      </c>
      <c r="AI104" s="200"/>
    </row>
    <row r="105" spans="1:35" ht="13.5" customHeight="1" x14ac:dyDescent="0.3">
      <c r="A105" s="106">
        <v>103</v>
      </c>
      <c r="B105" s="188" t="s">
        <v>6669</v>
      </c>
      <c r="C105" s="189" t="s">
        <v>1617</v>
      </c>
      <c r="D105" s="101" t="s">
        <v>5333</v>
      </c>
      <c r="E105" s="107" t="s">
        <v>6670</v>
      </c>
      <c r="F105" s="101" t="s">
        <v>6016</v>
      </c>
      <c r="G105" s="333">
        <v>41075</v>
      </c>
      <c r="H105" s="105" t="s">
        <v>53</v>
      </c>
      <c r="I105" s="193"/>
      <c r="J105" s="107" t="s">
        <v>6671</v>
      </c>
      <c r="K105" s="107" t="s">
        <v>6672</v>
      </c>
      <c r="L105" s="101" t="s">
        <v>6673</v>
      </c>
      <c r="M105" s="289"/>
      <c r="N105" s="101" t="s">
        <v>6674</v>
      </c>
      <c r="O105" s="101" t="s">
        <v>6627</v>
      </c>
      <c r="P105" s="107" t="s">
        <v>5394</v>
      </c>
      <c r="Q105" s="107" t="s">
        <v>5432</v>
      </c>
      <c r="R105" s="101" t="s">
        <v>3637</v>
      </c>
      <c r="S105" s="101" t="s">
        <v>3961</v>
      </c>
      <c r="T105" s="101"/>
      <c r="U105" s="101">
        <v>40764</v>
      </c>
      <c r="V105" s="101" t="s">
        <v>6675</v>
      </c>
      <c r="W105" s="107" t="s">
        <v>6676</v>
      </c>
      <c r="X105" s="101" t="s">
        <v>6677</v>
      </c>
      <c r="Y105" s="101" t="s">
        <v>5785</v>
      </c>
      <c r="Z105" s="101" t="s">
        <v>6393</v>
      </c>
      <c r="AA105" s="101" t="s">
        <v>6678</v>
      </c>
      <c r="AB105" s="107" t="s">
        <v>6679</v>
      </c>
      <c r="AC105" s="101" t="s">
        <v>6680</v>
      </c>
      <c r="AD105" s="101" t="s">
        <v>5785</v>
      </c>
      <c r="AE105" s="101" t="s">
        <v>5412</v>
      </c>
      <c r="AF105" s="289" t="s">
        <v>6555</v>
      </c>
      <c r="AG105" s="101"/>
      <c r="AH105" s="101">
        <v>1</v>
      </c>
      <c r="AI105" s="200" t="s">
        <v>6681</v>
      </c>
    </row>
    <row r="106" spans="1:35" ht="13.5" customHeight="1" x14ac:dyDescent="0.3">
      <c r="A106" s="106">
        <v>104</v>
      </c>
      <c r="B106" s="188" t="s">
        <v>6682</v>
      </c>
      <c r="C106" s="106" t="s">
        <v>1616</v>
      </c>
      <c r="D106" s="101" t="s">
        <v>5297</v>
      </c>
      <c r="E106" s="107">
        <v>126491006</v>
      </c>
      <c r="F106" s="101" t="s">
        <v>2377</v>
      </c>
      <c r="G106" s="333">
        <v>41186</v>
      </c>
      <c r="H106" s="105" t="s">
        <v>52</v>
      </c>
      <c r="I106" s="193" t="s">
        <v>5396</v>
      </c>
      <c r="J106" s="107" t="s">
        <v>6683</v>
      </c>
      <c r="K106" s="107" t="s">
        <v>6684</v>
      </c>
      <c r="L106" s="101" t="s">
        <v>6685</v>
      </c>
      <c r="M106" s="101"/>
      <c r="N106" s="101"/>
      <c r="O106" s="101" t="s">
        <v>6627</v>
      </c>
      <c r="P106" s="107" t="s">
        <v>5394</v>
      </c>
      <c r="Q106" s="107" t="s">
        <v>5432</v>
      </c>
      <c r="R106" s="101" t="s">
        <v>2355</v>
      </c>
      <c r="S106" s="101" t="s">
        <v>3961</v>
      </c>
      <c r="T106" s="101"/>
      <c r="U106" s="101">
        <v>40564</v>
      </c>
      <c r="V106" s="101" t="s">
        <v>4103</v>
      </c>
      <c r="W106" s="107" t="s">
        <v>6686</v>
      </c>
      <c r="X106" s="101" t="s">
        <v>6687</v>
      </c>
      <c r="Y106" s="101" t="s">
        <v>6240</v>
      </c>
      <c r="Z106" s="101" t="s">
        <v>5442</v>
      </c>
      <c r="AA106" s="101" t="s">
        <v>6688</v>
      </c>
      <c r="AB106" s="107" t="s">
        <v>6689</v>
      </c>
      <c r="AC106" s="101" t="s">
        <v>6690</v>
      </c>
      <c r="AD106" s="101" t="s">
        <v>6240</v>
      </c>
      <c r="AE106" s="101" t="s">
        <v>5412</v>
      </c>
      <c r="AF106" s="101" t="s">
        <v>6555</v>
      </c>
      <c r="AG106" s="101"/>
      <c r="AH106" s="101">
        <v>1</v>
      </c>
      <c r="AI106" s="200"/>
    </row>
    <row r="107" spans="1:35" ht="13.5" customHeight="1" x14ac:dyDescent="0.3">
      <c r="A107" s="106">
        <v>105</v>
      </c>
      <c r="B107" s="188" t="s">
        <v>6691</v>
      </c>
      <c r="C107" s="106" t="s">
        <v>1614</v>
      </c>
      <c r="D107" s="101" t="s">
        <v>5243</v>
      </c>
      <c r="E107" s="107">
        <v>125563417</v>
      </c>
      <c r="F107" s="101" t="s">
        <v>2377</v>
      </c>
      <c r="G107" s="333">
        <v>41124</v>
      </c>
      <c r="H107" s="105" t="s">
        <v>53</v>
      </c>
      <c r="I107" s="193" t="s">
        <v>5396</v>
      </c>
      <c r="J107" s="107" t="s">
        <v>6692</v>
      </c>
      <c r="K107" s="107" t="s">
        <v>6693</v>
      </c>
      <c r="L107" s="107" t="s">
        <v>6694</v>
      </c>
      <c r="M107" s="289"/>
      <c r="N107" s="101"/>
      <c r="O107" s="219" t="s">
        <v>6028</v>
      </c>
      <c r="P107" s="107" t="s">
        <v>5432</v>
      </c>
      <c r="Q107" s="107" t="s">
        <v>5448</v>
      </c>
      <c r="R107" s="101" t="s">
        <v>3637</v>
      </c>
      <c r="S107" s="101" t="s">
        <v>3961</v>
      </c>
      <c r="T107" s="101"/>
      <c r="U107" s="101">
        <v>40564</v>
      </c>
      <c r="V107" s="101" t="s">
        <v>6695</v>
      </c>
      <c r="W107" s="107" t="s">
        <v>6696</v>
      </c>
      <c r="X107" s="101" t="s">
        <v>6697</v>
      </c>
      <c r="Y107" s="101" t="s">
        <v>5785</v>
      </c>
      <c r="Z107" s="101" t="s">
        <v>5442</v>
      </c>
      <c r="AA107" s="101" t="s">
        <v>6698</v>
      </c>
      <c r="AB107" s="107" t="s">
        <v>6699</v>
      </c>
      <c r="AC107" s="101" t="s">
        <v>6700</v>
      </c>
      <c r="AD107" s="101" t="s">
        <v>5772</v>
      </c>
      <c r="AE107" s="101" t="s">
        <v>5412</v>
      </c>
      <c r="AF107" s="101" t="s">
        <v>6555</v>
      </c>
      <c r="AG107" s="101"/>
      <c r="AH107" s="101">
        <v>2</v>
      </c>
      <c r="AI107" s="200">
        <v>83821287496</v>
      </c>
    </row>
    <row r="108" spans="1:35" ht="13.5" customHeight="1" x14ac:dyDescent="0.3">
      <c r="A108" s="106">
        <v>106</v>
      </c>
      <c r="B108" s="188" t="s">
        <v>6701</v>
      </c>
      <c r="C108" s="106" t="s">
        <v>1613</v>
      </c>
      <c r="D108" s="101" t="s">
        <v>5270</v>
      </c>
      <c r="E108" s="107">
        <v>117925623</v>
      </c>
      <c r="F108" s="101" t="s">
        <v>2377</v>
      </c>
      <c r="G108" s="323">
        <v>40737</v>
      </c>
      <c r="H108" s="105" t="s">
        <v>53</v>
      </c>
      <c r="I108" s="193" t="s">
        <v>5396</v>
      </c>
      <c r="J108" s="107" t="s">
        <v>6702</v>
      </c>
      <c r="K108" s="107" t="s">
        <v>6703</v>
      </c>
      <c r="L108" s="101" t="s">
        <v>6704</v>
      </c>
      <c r="M108" s="289"/>
      <c r="N108" s="101"/>
      <c r="O108" s="101" t="s">
        <v>6705</v>
      </c>
      <c r="P108" s="107" t="s">
        <v>5415</v>
      </c>
      <c r="Q108" s="107" t="s">
        <v>5421</v>
      </c>
      <c r="R108" s="101" t="s">
        <v>3637</v>
      </c>
      <c r="S108" s="101" t="s">
        <v>3961</v>
      </c>
      <c r="T108" s="101"/>
      <c r="U108" s="101">
        <v>40564</v>
      </c>
      <c r="V108" s="101" t="s">
        <v>6706</v>
      </c>
      <c r="W108" s="107" t="s">
        <v>6707</v>
      </c>
      <c r="X108" s="101" t="s">
        <v>6708</v>
      </c>
      <c r="Y108" s="101" t="s">
        <v>6240</v>
      </c>
      <c r="Z108" s="101" t="s">
        <v>5442</v>
      </c>
      <c r="AA108" s="101" t="s">
        <v>6709</v>
      </c>
      <c r="AB108" s="107" t="s">
        <v>6710</v>
      </c>
      <c r="AC108" s="101" t="s">
        <v>6711</v>
      </c>
      <c r="AD108" s="101" t="s">
        <v>6240</v>
      </c>
      <c r="AE108" s="101"/>
      <c r="AF108" s="101" t="s">
        <v>6555</v>
      </c>
      <c r="AG108" s="107"/>
      <c r="AH108" s="101">
        <v>1</v>
      </c>
      <c r="AI108" s="200"/>
    </row>
    <row r="109" spans="1:35" ht="13.5" customHeight="1" x14ac:dyDescent="0.3">
      <c r="A109" s="106">
        <v>107</v>
      </c>
      <c r="B109" s="188" t="s">
        <v>6712</v>
      </c>
      <c r="C109" s="106" t="s">
        <v>1616</v>
      </c>
      <c r="D109" s="101" t="s">
        <v>5298</v>
      </c>
      <c r="E109" s="107">
        <v>114734298</v>
      </c>
      <c r="F109" s="101" t="s">
        <v>2377</v>
      </c>
      <c r="G109" s="323">
        <v>40642</v>
      </c>
      <c r="H109" s="105" t="s">
        <v>52</v>
      </c>
      <c r="I109" s="193" t="s">
        <v>5396</v>
      </c>
      <c r="J109" s="107" t="s">
        <v>6713</v>
      </c>
      <c r="K109" s="107" t="s">
        <v>6714</v>
      </c>
      <c r="L109" s="101" t="s">
        <v>6715</v>
      </c>
      <c r="M109" s="289"/>
      <c r="N109" s="101"/>
      <c r="O109" s="101" t="s">
        <v>6592</v>
      </c>
      <c r="P109" s="107" t="s">
        <v>5415</v>
      </c>
      <c r="Q109" s="107" t="s">
        <v>5556</v>
      </c>
      <c r="R109" s="101" t="s">
        <v>3637</v>
      </c>
      <c r="S109" s="101" t="s">
        <v>3961</v>
      </c>
      <c r="T109" s="101"/>
      <c r="U109" s="101"/>
      <c r="V109" s="101" t="s">
        <v>6716</v>
      </c>
      <c r="W109" s="107" t="s">
        <v>6717</v>
      </c>
      <c r="X109" s="101" t="s">
        <v>6718</v>
      </c>
      <c r="Y109" s="101" t="s">
        <v>6240</v>
      </c>
      <c r="Z109" s="101" t="s">
        <v>5442</v>
      </c>
      <c r="AA109" s="101" t="s">
        <v>6719</v>
      </c>
      <c r="AB109" s="107" t="s">
        <v>6720</v>
      </c>
      <c r="AC109" s="101" t="s">
        <v>6721</v>
      </c>
      <c r="AD109" s="101" t="s">
        <v>6240</v>
      </c>
      <c r="AE109" s="101" t="s">
        <v>5412</v>
      </c>
      <c r="AF109" s="101" t="s">
        <v>6555</v>
      </c>
      <c r="AG109" s="101"/>
      <c r="AH109" s="101">
        <v>1</v>
      </c>
      <c r="AI109" s="200">
        <v>82219859103</v>
      </c>
    </row>
    <row r="110" spans="1:35" ht="13.5" customHeight="1" x14ac:dyDescent="0.3">
      <c r="A110" s="106">
        <v>108</v>
      </c>
      <c r="B110" s="188" t="s">
        <v>6722</v>
      </c>
      <c r="C110" s="106" t="s">
        <v>1615</v>
      </c>
      <c r="D110" s="101" t="s">
        <v>5271</v>
      </c>
      <c r="E110" s="107">
        <v>181901001</v>
      </c>
      <c r="F110" s="101" t="s">
        <v>2377</v>
      </c>
      <c r="G110" s="333">
        <v>40810</v>
      </c>
      <c r="H110" s="105" t="s">
        <v>53</v>
      </c>
      <c r="I110" s="193" t="s">
        <v>5396</v>
      </c>
      <c r="J110" s="107" t="s">
        <v>6723</v>
      </c>
      <c r="K110" s="107" t="s">
        <v>6724</v>
      </c>
      <c r="L110" s="101" t="s">
        <v>6725</v>
      </c>
      <c r="M110" s="101"/>
      <c r="N110" s="101"/>
      <c r="O110" s="101" t="s">
        <v>6592</v>
      </c>
      <c r="P110" s="107" t="s">
        <v>5394</v>
      </c>
      <c r="Q110" s="107" t="s">
        <v>5556</v>
      </c>
      <c r="R110" s="101" t="s">
        <v>2355</v>
      </c>
      <c r="S110" s="101" t="s">
        <v>3961</v>
      </c>
      <c r="T110" s="101"/>
      <c r="U110" s="101">
        <v>40764</v>
      </c>
      <c r="V110" s="101" t="s">
        <v>6726</v>
      </c>
      <c r="W110" s="107" t="s">
        <v>6727</v>
      </c>
      <c r="X110" s="101" t="s">
        <v>6728</v>
      </c>
      <c r="Y110" s="101" t="s">
        <v>5772</v>
      </c>
      <c r="Z110" s="101" t="s">
        <v>5442</v>
      </c>
      <c r="AA110" s="101" t="s">
        <v>6729</v>
      </c>
      <c r="AB110" s="107" t="s">
        <v>6730</v>
      </c>
      <c r="AC110" s="101" t="s">
        <v>6731</v>
      </c>
      <c r="AD110" s="101" t="s">
        <v>5772</v>
      </c>
      <c r="AE110" s="101" t="s">
        <v>5412</v>
      </c>
      <c r="AF110" s="101" t="s">
        <v>6732</v>
      </c>
      <c r="AG110" s="101"/>
      <c r="AH110" s="101">
        <v>1</v>
      </c>
      <c r="AI110" s="200" t="s">
        <v>6733</v>
      </c>
    </row>
    <row r="111" spans="1:35" ht="13.5" customHeight="1" x14ac:dyDescent="0.3">
      <c r="A111" s="106">
        <v>109</v>
      </c>
      <c r="B111" s="188" t="s">
        <v>6734</v>
      </c>
      <c r="C111" s="106" t="s">
        <v>1616</v>
      </c>
      <c r="D111" s="101" t="s">
        <v>5299</v>
      </c>
      <c r="E111" s="107">
        <v>122766635</v>
      </c>
      <c r="F111" s="101" t="s">
        <v>2377</v>
      </c>
      <c r="G111" s="333">
        <v>41077</v>
      </c>
      <c r="H111" s="105" t="s">
        <v>53</v>
      </c>
      <c r="I111" s="193" t="s">
        <v>5396</v>
      </c>
      <c r="J111" s="107" t="s">
        <v>6735</v>
      </c>
      <c r="K111" s="107" t="s">
        <v>6736</v>
      </c>
      <c r="L111" s="101" t="s">
        <v>6737</v>
      </c>
      <c r="M111" s="101"/>
      <c r="N111" s="101"/>
      <c r="O111" s="101" t="s">
        <v>6549</v>
      </c>
      <c r="P111" s="107" t="s">
        <v>5432</v>
      </c>
      <c r="Q111" s="107" t="s">
        <v>5520</v>
      </c>
      <c r="R111" s="101" t="s">
        <v>3637</v>
      </c>
      <c r="S111" s="101" t="s">
        <v>3961</v>
      </c>
      <c r="T111" s="101"/>
      <c r="U111" s="101">
        <v>40764</v>
      </c>
      <c r="V111" s="101" t="s">
        <v>6738</v>
      </c>
      <c r="W111" s="107" t="s">
        <v>6739</v>
      </c>
      <c r="X111" s="101" t="s">
        <v>6740</v>
      </c>
      <c r="Y111" s="101" t="s">
        <v>5772</v>
      </c>
      <c r="Z111" s="101" t="s">
        <v>5442</v>
      </c>
      <c r="AA111" s="101" t="s">
        <v>6741</v>
      </c>
      <c r="AB111" s="107" t="s">
        <v>6742</v>
      </c>
      <c r="AC111" s="101" t="s">
        <v>2352</v>
      </c>
      <c r="AD111" s="101" t="s">
        <v>6240</v>
      </c>
      <c r="AE111" s="101" t="s">
        <v>5412</v>
      </c>
      <c r="AF111" s="101" t="s">
        <v>6732</v>
      </c>
      <c r="AG111" s="101"/>
      <c r="AH111" s="101">
        <v>1</v>
      </c>
      <c r="AI111" s="200"/>
    </row>
    <row r="112" spans="1:35" ht="13.5" customHeight="1" x14ac:dyDescent="0.3">
      <c r="A112" s="106">
        <v>110</v>
      </c>
      <c r="B112" s="235" t="s">
        <v>6743</v>
      </c>
      <c r="C112" s="106" t="s">
        <v>1615</v>
      </c>
      <c r="D112" s="101" t="s">
        <v>5244</v>
      </c>
      <c r="E112" s="107" t="s">
        <v>6744</v>
      </c>
      <c r="F112" s="101" t="s">
        <v>2352</v>
      </c>
      <c r="G112" s="333">
        <v>40967</v>
      </c>
      <c r="H112" s="105" t="s">
        <v>52</v>
      </c>
      <c r="I112" s="237" t="s">
        <v>5396</v>
      </c>
      <c r="J112" s="107" t="s">
        <v>6745</v>
      </c>
      <c r="K112" s="107" t="s">
        <v>6746</v>
      </c>
      <c r="L112" s="101" t="s">
        <v>6747</v>
      </c>
      <c r="M112" s="101"/>
      <c r="N112" s="101"/>
      <c r="O112" s="101" t="s">
        <v>6476</v>
      </c>
      <c r="P112" s="107" t="s">
        <v>5415</v>
      </c>
      <c r="Q112" s="107" t="s">
        <v>5157</v>
      </c>
      <c r="R112" s="101" t="s">
        <v>3637</v>
      </c>
      <c r="S112" s="101" t="s">
        <v>3961</v>
      </c>
      <c r="T112" s="101"/>
      <c r="U112" s="107" t="s">
        <v>5521</v>
      </c>
      <c r="V112" s="101" t="s">
        <v>6748</v>
      </c>
      <c r="W112" s="107" t="s">
        <v>6749</v>
      </c>
      <c r="X112" s="101" t="s">
        <v>6750</v>
      </c>
      <c r="Y112" s="101" t="s">
        <v>5785</v>
      </c>
      <c r="Z112" s="101" t="s">
        <v>5442</v>
      </c>
      <c r="AA112" s="101" t="s">
        <v>6751</v>
      </c>
      <c r="AB112" s="107" t="s">
        <v>6752</v>
      </c>
      <c r="AC112" s="101" t="s">
        <v>6753</v>
      </c>
      <c r="AD112" s="101" t="s">
        <v>5785</v>
      </c>
      <c r="AE112" s="101" t="s">
        <v>5412</v>
      </c>
      <c r="AF112" s="101" t="s">
        <v>6754</v>
      </c>
      <c r="AG112" s="101"/>
      <c r="AH112" s="101">
        <v>1</v>
      </c>
      <c r="AI112" s="200" t="s">
        <v>6755</v>
      </c>
    </row>
    <row r="113" spans="1:35" ht="13.5" customHeight="1" x14ac:dyDescent="0.3">
      <c r="A113" s="106">
        <v>111</v>
      </c>
      <c r="B113" s="188" t="s">
        <v>6756</v>
      </c>
      <c r="C113" s="106" t="s">
        <v>1614</v>
      </c>
      <c r="D113" s="101" t="s">
        <v>5245</v>
      </c>
      <c r="E113" s="107" t="s">
        <v>6757</v>
      </c>
      <c r="F113" s="101" t="s">
        <v>2377</v>
      </c>
      <c r="G113" s="323">
        <v>40909</v>
      </c>
      <c r="H113" s="105" t="s">
        <v>52</v>
      </c>
      <c r="I113" s="193" t="s">
        <v>5396</v>
      </c>
      <c r="J113" s="107" t="s">
        <v>6758</v>
      </c>
      <c r="K113" s="107" t="s">
        <v>6759</v>
      </c>
      <c r="L113" s="101" t="s">
        <v>6760</v>
      </c>
      <c r="M113" s="101"/>
      <c r="N113" s="54" t="s">
        <v>6761</v>
      </c>
      <c r="O113" s="101" t="s">
        <v>5626</v>
      </c>
      <c r="P113" s="107" t="s">
        <v>5394</v>
      </c>
      <c r="Q113" s="107" t="s">
        <v>5394</v>
      </c>
      <c r="R113" s="101" t="s">
        <v>3105</v>
      </c>
      <c r="S113" s="101" t="s">
        <v>5422</v>
      </c>
      <c r="T113" s="101"/>
      <c r="U113" s="101">
        <v>40562</v>
      </c>
      <c r="V113" s="101" t="s">
        <v>6762</v>
      </c>
      <c r="W113" s="107" t="s">
        <v>6763</v>
      </c>
      <c r="X113" s="101" t="s">
        <v>6764</v>
      </c>
      <c r="Y113" s="101" t="s">
        <v>5772</v>
      </c>
      <c r="Z113" s="101" t="s">
        <v>5442</v>
      </c>
      <c r="AA113" s="101" t="s">
        <v>6765</v>
      </c>
      <c r="AB113" s="107" t="s">
        <v>6766</v>
      </c>
      <c r="AC113" s="101" t="s">
        <v>6767</v>
      </c>
      <c r="AD113" s="101" t="s">
        <v>5772</v>
      </c>
      <c r="AE113" s="101" t="s">
        <v>5412</v>
      </c>
      <c r="AF113" s="101" t="s">
        <v>6754</v>
      </c>
      <c r="AG113" s="101"/>
      <c r="AH113" s="101">
        <v>1</v>
      </c>
      <c r="AI113" s="200" t="s">
        <v>6768</v>
      </c>
    </row>
    <row r="114" spans="1:35" ht="13.5" customHeight="1" x14ac:dyDescent="0.3">
      <c r="A114" s="106">
        <v>112</v>
      </c>
      <c r="B114" s="188" t="s">
        <v>6769</v>
      </c>
      <c r="C114" s="189" t="s">
        <v>1615</v>
      </c>
      <c r="D114" s="101" t="s">
        <v>5272</v>
      </c>
      <c r="E114" s="107" t="s">
        <v>6770</v>
      </c>
      <c r="F114" s="101" t="s">
        <v>2377</v>
      </c>
      <c r="G114" s="333">
        <v>40858</v>
      </c>
      <c r="H114" s="105" t="s">
        <v>52</v>
      </c>
      <c r="I114" s="193" t="s">
        <v>5396</v>
      </c>
      <c r="J114" s="107" t="s">
        <v>6771</v>
      </c>
      <c r="K114" s="107" t="s">
        <v>6772</v>
      </c>
      <c r="L114" s="101" t="s">
        <v>6773</v>
      </c>
      <c r="M114" s="289"/>
      <c r="N114" s="54" t="s">
        <v>6774</v>
      </c>
      <c r="O114" s="101" t="s">
        <v>6775</v>
      </c>
      <c r="P114" s="107" t="s">
        <v>5394</v>
      </c>
      <c r="Q114" s="107" t="s">
        <v>5514</v>
      </c>
      <c r="R114" s="101" t="s">
        <v>3581</v>
      </c>
      <c r="S114" s="101" t="s">
        <v>5422</v>
      </c>
      <c r="T114" s="101"/>
      <c r="U114" s="101">
        <v>40562</v>
      </c>
      <c r="V114" s="101" t="s">
        <v>2713</v>
      </c>
      <c r="W114" s="107"/>
      <c r="X114" s="101"/>
      <c r="Y114" s="101"/>
      <c r="Z114" s="101"/>
      <c r="AA114" s="101" t="s">
        <v>6776</v>
      </c>
      <c r="AB114" s="107" t="s">
        <v>6777</v>
      </c>
      <c r="AC114" s="101" t="s">
        <v>6778</v>
      </c>
      <c r="AD114" s="101" t="s">
        <v>5772</v>
      </c>
      <c r="AE114" s="101" t="s">
        <v>5412</v>
      </c>
      <c r="AF114" s="101" t="s">
        <v>6754</v>
      </c>
      <c r="AG114" s="101"/>
      <c r="AH114" s="101">
        <v>3</v>
      </c>
      <c r="AI114" s="200" t="s">
        <v>6779</v>
      </c>
    </row>
    <row r="115" spans="1:35" ht="13.5" customHeight="1" x14ac:dyDescent="0.3">
      <c r="A115" s="106">
        <v>113</v>
      </c>
      <c r="B115" s="188" t="s">
        <v>6780</v>
      </c>
      <c r="C115" s="106" t="s">
        <v>1615</v>
      </c>
      <c r="D115" s="101" t="s">
        <v>5273</v>
      </c>
      <c r="E115" s="107" t="s">
        <v>6781</v>
      </c>
      <c r="F115" s="101" t="s">
        <v>2377</v>
      </c>
      <c r="G115" s="333">
        <v>40739</v>
      </c>
      <c r="H115" s="105" t="s">
        <v>52</v>
      </c>
      <c r="I115" s="193" t="s">
        <v>5396</v>
      </c>
      <c r="J115" s="107" t="s">
        <v>6782</v>
      </c>
      <c r="K115" s="107" t="s">
        <v>6783</v>
      </c>
      <c r="L115" s="101" t="s">
        <v>6784</v>
      </c>
      <c r="M115" s="101"/>
      <c r="N115" s="54" t="s">
        <v>6785</v>
      </c>
      <c r="O115" s="101" t="s">
        <v>5626</v>
      </c>
      <c r="P115" s="107" t="s">
        <v>6786</v>
      </c>
      <c r="Q115" s="107" t="s">
        <v>5394</v>
      </c>
      <c r="R115" s="101" t="s">
        <v>3105</v>
      </c>
      <c r="S115" s="101" t="s">
        <v>5422</v>
      </c>
      <c r="T115" s="101"/>
      <c r="U115" s="101">
        <v>40562</v>
      </c>
      <c r="V115" s="101" t="s">
        <v>6787</v>
      </c>
      <c r="W115" s="107" t="s">
        <v>6788</v>
      </c>
      <c r="X115" s="101" t="s">
        <v>6789</v>
      </c>
      <c r="Y115" s="101" t="s">
        <v>5772</v>
      </c>
      <c r="Z115" s="101" t="s">
        <v>5442</v>
      </c>
      <c r="AA115" s="101" t="s">
        <v>6790</v>
      </c>
      <c r="AB115" s="107" t="s">
        <v>6791</v>
      </c>
      <c r="AC115" s="101" t="s">
        <v>6792</v>
      </c>
      <c r="AD115" s="101" t="s">
        <v>5772</v>
      </c>
      <c r="AE115" s="101" t="s">
        <v>5412</v>
      </c>
      <c r="AF115" s="101" t="s">
        <v>6754</v>
      </c>
      <c r="AG115" s="101"/>
      <c r="AH115" s="107">
        <v>1</v>
      </c>
      <c r="AI115" s="200" t="s">
        <v>6793</v>
      </c>
    </row>
    <row r="116" spans="1:35" ht="13.5" customHeight="1" x14ac:dyDescent="0.3">
      <c r="A116" s="106">
        <v>114</v>
      </c>
      <c r="B116" s="188" t="s">
        <v>6794</v>
      </c>
      <c r="C116" s="189" t="s">
        <v>1615</v>
      </c>
      <c r="D116" s="101" t="s">
        <v>1294</v>
      </c>
      <c r="E116" s="107" t="s">
        <v>6795</v>
      </c>
      <c r="F116" s="101" t="s">
        <v>2377</v>
      </c>
      <c r="G116" s="333">
        <v>40738</v>
      </c>
      <c r="H116" s="105" t="s">
        <v>52</v>
      </c>
      <c r="I116" s="193" t="s">
        <v>5396</v>
      </c>
      <c r="J116" s="107" t="s">
        <v>6796</v>
      </c>
      <c r="K116" s="107" t="s">
        <v>6797</v>
      </c>
      <c r="L116" s="101" t="s">
        <v>6798</v>
      </c>
      <c r="M116" s="101"/>
      <c r="N116" s="54" t="s">
        <v>6799</v>
      </c>
      <c r="O116" s="101" t="s">
        <v>6775</v>
      </c>
      <c r="P116" s="107" t="s">
        <v>5448</v>
      </c>
      <c r="Q116" s="107" t="s">
        <v>5514</v>
      </c>
      <c r="R116" s="101" t="s">
        <v>3581</v>
      </c>
      <c r="S116" s="101" t="s">
        <v>5422</v>
      </c>
      <c r="T116" s="101"/>
      <c r="U116" s="101">
        <v>40562</v>
      </c>
      <c r="V116" s="101" t="s">
        <v>2934</v>
      </c>
      <c r="W116" s="107" t="s">
        <v>6800</v>
      </c>
      <c r="X116" s="101" t="s">
        <v>6801</v>
      </c>
      <c r="Y116" s="101" t="s">
        <v>5904</v>
      </c>
      <c r="Z116" s="101" t="s">
        <v>5442</v>
      </c>
      <c r="AA116" s="101" t="s">
        <v>6802</v>
      </c>
      <c r="AB116" s="107" t="s">
        <v>6803</v>
      </c>
      <c r="AC116" s="101" t="s">
        <v>6804</v>
      </c>
      <c r="AD116" s="101" t="s">
        <v>5904</v>
      </c>
      <c r="AE116" s="101" t="s">
        <v>5412</v>
      </c>
      <c r="AF116" s="101" t="s">
        <v>6754</v>
      </c>
      <c r="AG116" s="101"/>
      <c r="AH116" s="101">
        <v>3</v>
      </c>
      <c r="AI116" s="200"/>
    </row>
    <row r="117" spans="1:35" ht="13.5" customHeight="1" x14ac:dyDescent="0.3">
      <c r="A117" s="106">
        <v>115</v>
      </c>
      <c r="B117" s="188" t="s">
        <v>6805</v>
      </c>
      <c r="C117" s="106" t="s">
        <v>1615</v>
      </c>
      <c r="D117" s="101" t="s">
        <v>5274</v>
      </c>
      <c r="E117" s="107" t="s">
        <v>6806</v>
      </c>
      <c r="F117" s="101" t="s">
        <v>2377</v>
      </c>
      <c r="G117" s="333">
        <v>40666</v>
      </c>
      <c r="H117" s="105" t="s">
        <v>52</v>
      </c>
      <c r="I117" s="193" t="s">
        <v>5396</v>
      </c>
      <c r="J117" s="107" t="s">
        <v>6807</v>
      </c>
      <c r="K117" s="107" t="s">
        <v>6808</v>
      </c>
      <c r="L117" s="101" t="s">
        <v>6809</v>
      </c>
      <c r="M117" s="101"/>
      <c r="N117" s="54" t="s">
        <v>6810</v>
      </c>
      <c r="O117" s="101" t="s">
        <v>6775</v>
      </c>
      <c r="P117" s="107" t="s">
        <v>5432</v>
      </c>
      <c r="Q117" s="107" t="s">
        <v>5514</v>
      </c>
      <c r="R117" s="101" t="s">
        <v>3581</v>
      </c>
      <c r="S117" s="101" t="s">
        <v>5422</v>
      </c>
      <c r="T117" s="101"/>
      <c r="U117" s="101">
        <v>40562</v>
      </c>
      <c r="V117" s="101" t="s">
        <v>6811</v>
      </c>
      <c r="W117" s="107" t="s">
        <v>6812</v>
      </c>
      <c r="X117" s="101" t="s">
        <v>6813</v>
      </c>
      <c r="Y117" s="101" t="s">
        <v>5904</v>
      </c>
      <c r="Z117" s="101" t="s">
        <v>5442</v>
      </c>
      <c r="AA117" s="101" t="s">
        <v>6814</v>
      </c>
      <c r="AB117" s="107" t="s">
        <v>6815</v>
      </c>
      <c r="AC117" s="101" t="s">
        <v>6816</v>
      </c>
      <c r="AD117" s="101" t="s">
        <v>5772</v>
      </c>
      <c r="AE117" s="101" t="s">
        <v>5412</v>
      </c>
      <c r="AF117" s="101" t="s">
        <v>6754</v>
      </c>
      <c r="AG117" s="101"/>
      <c r="AH117" s="101">
        <v>1</v>
      </c>
      <c r="AI117" s="200" t="s">
        <v>6817</v>
      </c>
    </row>
    <row r="118" spans="1:35" ht="13.5" customHeight="1" x14ac:dyDescent="0.3">
      <c r="A118" s="106">
        <v>116</v>
      </c>
      <c r="B118" s="188" t="s">
        <v>6818</v>
      </c>
      <c r="C118" s="106" t="s">
        <v>1616</v>
      </c>
      <c r="D118" s="101" t="s">
        <v>5300</v>
      </c>
      <c r="E118" s="107" t="s">
        <v>6819</v>
      </c>
      <c r="F118" s="101" t="s">
        <v>2377</v>
      </c>
      <c r="G118" s="333">
        <v>40904</v>
      </c>
      <c r="H118" s="105" t="s">
        <v>52</v>
      </c>
      <c r="I118" s="193" t="s">
        <v>5396</v>
      </c>
      <c r="J118" s="107" t="s">
        <v>6820</v>
      </c>
      <c r="K118" s="107" t="s">
        <v>6821</v>
      </c>
      <c r="L118" s="101" t="s">
        <v>6822</v>
      </c>
      <c r="M118" s="101"/>
      <c r="N118" s="54" t="s">
        <v>6823</v>
      </c>
      <c r="O118" s="101" t="s">
        <v>6775</v>
      </c>
      <c r="P118" s="107" t="s">
        <v>5394</v>
      </c>
      <c r="Q118" s="107" t="s">
        <v>5514</v>
      </c>
      <c r="R118" s="101" t="s">
        <v>3581</v>
      </c>
      <c r="S118" s="101" t="s">
        <v>5422</v>
      </c>
      <c r="T118" s="101"/>
      <c r="U118" s="101">
        <v>40562</v>
      </c>
      <c r="V118" s="101" t="s">
        <v>6824</v>
      </c>
      <c r="W118" s="107" t="s">
        <v>6825</v>
      </c>
      <c r="X118" s="101" t="s">
        <v>6826</v>
      </c>
      <c r="Y118" s="101" t="s">
        <v>5904</v>
      </c>
      <c r="Z118" s="101" t="s">
        <v>5442</v>
      </c>
      <c r="AA118" s="101" t="s">
        <v>6827</v>
      </c>
      <c r="AB118" s="107" t="s">
        <v>6828</v>
      </c>
      <c r="AC118" s="101" t="s">
        <v>6829</v>
      </c>
      <c r="AD118" s="101" t="s">
        <v>5904</v>
      </c>
      <c r="AE118" s="101" t="s">
        <v>5412</v>
      </c>
      <c r="AF118" s="101" t="s">
        <v>6754</v>
      </c>
      <c r="AG118" s="101"/>
      <c r="AH118" s="101">
        <v>3</v>
      </c>
      <c r="AI118" s="200" t="s">
        <v>6830</v>
      </c>
    </row>
    <row r="119" spans="1:35" ht="13.5" customHeight="1" x14ac:dyDescent="0.3">
      <c r="A119" s="106">
        <v>117</v>
      </c>
      <c r="B119" s="188" t="s">
        <v>6831</v>
      </c>
      <c r="C119" s="106" t="s">
        <v>1616</v>
      </c>
      <c r="D119" s="101" t="s">
        <v>5301</v>
      </c>
      <c r="E119" s="107" t="s">
        <v>6832</v>
      </c>
      <c r="F119" s="101" t="s">
        <v>2377</v>
      </c>
      <c r="G119" s="323">
        <v>40871</v>
      </c>
      <c r="H119" s="105" t="s">
        <v>53</v>
      </c>
      <c r="I119" s="193" t="s">
        <v>5396</v>
      </c>
      <c r="J119" s="107" t="s">
        <v>6833</v>
      </c>
      <c r="K119" s="107" t="s">
        <v>6834</v>
      </c>
      <c r="L119" s="101" t="s">
        <v>6835</v>
      </c>
      <c r="M119" s="101"/>
      <c r="N119" s="54" t="s">
        <v>6836</v>
      </c>
      <c r="O119" s="101" t="s">
        <v>6775</v>
      </c>
      <c r="P119" s="107" t="s">
        <v>5394</v>
      </c>
      <c r="Q119" s="107" t="s">
        <v>5514</v>
      </c>
      <c r="R119" s="101" t="s">
        <v>3581</v>
      </c>
      <c r="S119" s="101" t="s">
        <v>5422</v>
      </c>
      <c r="T119" s="101"/>
      <c r="U119" s="101">
        <v>40562</v>
      </c>
      <c r="V119" s="101" t="s">
        <v>6837</v>
      </c>
      <c r="W119" s="107" t="s">
        <v>6838</v>
      </c>
      <c r="X119" s="101" t="s">
        <v>6839</v>
      </c>
      <c r="Y119" s="101" t="s">
        <v>5772</v>
      </c>
      <c r="Z119" s="101" t="s">
        <v>5551</v>
      </c>
      <c r="AA119" s="101" t="s">
        <v>6840</v>
      </c>
      <c r="AB119" s="107" t="s">
        <v>6841</v>
      </c>
      <c r="AC119" s="101" t="s">
        <v>6842</v>
      </c>
      <c r="AD119" s="101" t="s">
        <v>5904</v>
      </c>
      <c r="AE119" s="101" t="s">
        <v>5412</v>
      </c>
      <c r="AF119" s="101" t="s">
        <v>6754</v>
      </c>
      <c r="AG119" s="101"/>
      <c r="AH119" s="101">
        <v>1</v>
      </c>
      <c r="AI119" s="200" t="s">
        <v>6843</v>
      </c>
    </row>
    <row r="120" spans="1:35" ht="13.5" customHeight="1" x14ac:dyDescent="0.3">
      <c r="A120" s="106">
        <v>118</v>
      </c>
      <c r="B120" s="188" t="s">
        <v>6844</v>
      </c>
      <c r="C120" s="189" t="s">
        <v>13</v>
      </c>
      <c r="D120" s="101" t="s">
        <v>5302</v>
      </c>
      <c r="E120" s="107" t="s">
        <v>6845</v>
      </c>
      <c r="F120" s="101" t="s">
        <v>2377</v>
      </c>
      <c r="G120" s="333">
        <v>41069</v>
      </c>
      <c r="H120" s="105" t="s">
        <v>52</v>
      </c>
      <c r="I120" s="193" t="s">
        <v>5396</v>
      </c>
      <c r="J120" s="107" t="s">
        <v>6846</v>
      </c>
      <c r="K120" s="107" t="s">
        <v>6847</v>
      </c>
      <c r="L120" s="101" t="s">
        <v>6848</v>
      </c>
      <c r="M120" s="101"/>
      <c r="N120" s="54" t="s">
        <v>6849</v>
      </c>
      <c r="O120" s="101" t="s">
        <v>5626</v>
      </c>
      <c r="P120" s="107" t="s">
        <v>5448</v>
      </c>
      <c r="Q120" s="107" t="s">
        <v>5394</v>
      </c>
      <c r="R120" s="101" t="s">
        <v>3105</v>
      </c>
      <c r="S120" s="101" t="s">
        <v>5422</v>
      </c>
      <c r="T120" s="101"/>
      <c r="U120" s="101">
        <v>40562</v>
      </c>
      <c r="V120" s="101" t="s">
        <v>6850</v>
      </c>
      <c r="W120" s="107" t="s">
        <v>6851</v>
      </c>
      <c r="X120" s="101" t="s">
        <v>6852</v>
      </c>
      <c r="Y120" s="101" t="s">
        <v>5904</v>
      </c>
      <c r="Z120" s="101" t="s">
        <v>5442</v>
      </c>
      <c r="AA120" s="101" t="s">
        <v>6853</v>
      </c>
      <c r="AB120" s="107" t="s">
        <v>6854</v>
      </c>
      <c r="AC120" s="101" t="s">
        <v>6855</v>
      </c>
      <c r="AD120" s="101" t="s">
        <v>5904</v>
      </c>
      <c r="AE120" s="101" t="s">
        <v>5412</v>
      </c>
      <c r="AF120" s="101" t="s">
        <v>6754</v>
      </c>
      <c r="AG120" s="101"/>
      <c r="AH120" s="101">
        <v>3</v>
      </c>
      <c r="AI120" s="200" t="s">
        <v>6856</v>
      </c>
    </row>
    <row r="121" spans="1:35" ht="13.5" customHeight="1" x14ac:dyDescent="0.3">
      <c r="A121" s="106">
        <v>119</v>
      </c>
      <c r="B121" s="188" t="s">
        <v>6857</v>
      </c>
      <c r="C121" s="106" t="s">
        <v>1616</v>
      </c>
      <c r="D121" s="101" t="s">
        <v>5303</v>
      </c>
      <c r="E121" s="107" t="s">
        <v>6858</v>
      </c>
      <c r="F121" s="101" t="s">
        <v>2377</v>
      </c>
      <c r="G121" s="323">
        <v>40947</v>
      </c>
      <c r="H121" s="105" t="s">
        <v>52</v>
      </c>
      <c r="I121" s="193" t="s">
        <v>5396</v>
      </c>
      <c r="J121" s="107" t="s">
        <v>6859</v>
      </c>
      <c r="K121" s="107" t="s">
        <v>6860</v>
      </c>
      <c r="L121" s="101" t="s">
        <v>6861</v>
      </c>
      <c r="M121" s="101"/>
      <c r="N121" s="54" t="s">
        <v>6862</v>
      </c>
      <c r="O121" s="101" t="s">
        <v>5626</v>
      </c>
      <c r="P121" s="107" t="s">
        <v>5461</v>
      </c>
      <c r="Q121" s="107" t="s">
        <v>5394</v>
      </c>
      <c r="R121" s="101" t="s">
        <v>3105</v>
      </c>
      <c r="S121" s="101" t="s">
        <v>5422</v>
      </c>
      <c r="T121" s="101"/>
      <c r="U121" s="101">
        <v>40562</v>
      </c>
      <c r="V121" s="101" t="s">
        <v>6863</v>
      </c>
      <c r="W121" s="107" t="s">
        <v>6864</v>
      </c>
      <c r="X121" s="101" t="s">
        <v>6392</v>
      </c>
      <c r="Y121" s="101" t="s">
        <v>5772</v>
      </c>
      <c r="Z121" s="101" t="s">
        <v>5442</v>
      </c>
      <c r="AA121" s="101" t="s">
        <v>6865</v>
      </c>
      <c r="AB121" s="107" t="s">
        <v>6866</v>
      </c>
      <c r="AC121" s="101" t="s">
        <v>6867</v>
      </c>
      <c r="AD121" s="101" t="s">
        <v>5772</v>
      </c>
      <c r="AE121" s="101" t="s">
        <v>5412</v>
      </c>
      <c r="AF121" s="101" t="s">
        <v>6754</v>
      </c>
      <c r="AG121" s="101"/>
      <c r="AH121" s="101">
        <v>1</v>
      </c>
      <c r="AI121" s="200" t="s">
        <v>6868</v>
      </c>
    </row>
    <row r="122" spans="1:35" ht="13.5" customHeight="1" x14ac:dyDescent="0.3">
      <c r="A122" s="106">
        <v>120</v>
      </c>
      <c r="B122" s="188" t="s">
        <v>6869</v>
      </c>
      <c r="C122" s="106" t="s">
        <v>1617</v>
      </c>
      <c r="D122" s="101" t="s">
        <v>5334</v>
      </c>
      <c r="E122" s="107" t="s">
        <v>6870</v>
      </c>
      <c r="F122" s="101" t="s">
        <v>2377</v>
      </c>
      <c r="G122" s="323">
        <v>40862</v>
      </c>
      <c r="H122" s="105" t="s">
        <v>52</v>
      </c>
      <c r="I122" s="193" t="s">
        <v>5396</v>
      </c>
      <c r="J122" s="107" t="s">
        <v>6871</v>
      </c>
      <c r="K122" s="107" t="s">
        <v>6872</v>
      </c>
      <c r="L122" s="101" t="s">
        <v>6873</v>
      </c>
      <c r="M122" s="101"/>
      <c r="N122" s="54" t="s">
        <v>6874</v>
      </c>
      <c r="O122" s="101" t="s">
        <v>5626</v>
      </c>
      <c r="P122" s="107" t="s">
        <v>5461</v>
      </c>
      <c r="Q122" s="107" t="s">
        <v>5394</v>
      </c>
      <c r="R122" s="101" t="s">
        <v>3105</v>
      </c>
      <c r="S122" s="101" t="s">
        <v>5422</v>
      </c>
      <c r="T122" s="101"/>
      <c r="U122" s="101">
        <v>40562</v>
      </c>
      <c r="V122" s="101" t="s">
        <v>6875</v>
      </c>
      <c r="W122" s="107" t="s">
        <v>6876</v>
      </c>
      <c r="X122" s="101" t="s">
        <v>6877</v>
      </c>
      <c r="Y122" s="101" t="s">
        <v>5772</v>
      </c>
      <c r="Z122" s="101" t="s">
        <v>5442</v>
      </c>
      <c r="AA122" s="101" t="s">
        <v>6878</v>
      </c>
      <c r="AB122" s="107" t="s">
        <v>6879</v>
      </c>
      <c r="AC122" s="101" t="s">
        <v>6880</v>
      </c>
      <c r="AD122" s="101" t="s">
        <v>5772</v>
      </c>
      <c r="AE122" s="101" t="s">
        <v>5412</v>
      </c>
      <c r="AF122" s="101" t="s">
        <v>6754</v>
      </c>
      <c r="AG122" s="101"/>
      <c r="AH122" s="101">
        <v>2</v>
      </c>
      <c r="AI122" s="200" t="s">
        <v>6881</v>
      </c>
    </row>
    <row r="123" spans="1:35" ht="13.5" customHeight="1" x14ac:dyDescent="0.3">
      <c r="A123" s="106">
        <v>121</v>
      </c>
      <c r="B123" s="188" t="s">
        <v>6882</v>
      </c>
      <c r="C123" s="106" t="s">
        <v>1615</v>
      </c>
      <c r="D123" s="101" t="s">
        <v>5335</v>
      </c>
      <c r="E123" s="107" t="s">
        <v>6883</v>
      </c>
      <c r="F123" s="101" t="s">
        <v>2377</v>
      </c>
      <c r="G123" s="323">
        <v>40899</v>
      </c>
      <c r="H123" s="105" t="s">
        <v>52</v>
      </c>
      <c r="I123" s="193" t="s">
        <v>5396</v>
      </c>
      <c r="J123" s="107" t="s">
        <v>6884</v>
      </c>
      <c r="K123" s="107" t="s">
        <v>6885</v>
      </c>
      <c r="L123" s="101" t="s">
        <v>6886</v>
      </c>
      <c r="M123" s="101"/>
      <c r="N123" s="54" t="s">
        <v>6887</v>
      </c>
      <c r="O123" s="107" t="s">
        <v>6775</v>
      </c>
      <c r="P123" s="107" t="s">
        <v>5394</v>
      </c>
      <c r="Q123" s="107" t="s">
        <v>5514</v>
      </c>
      <c r="R123" s="101" t="s">
        <v>3581</v>
      </c>
      <c r="S123" s="101" t="s">
        <v>5422</v>
      </c>
      <c r="T123" s="101"/>
      <c r="U123" s="101">
        <v>40562</v>
      </c>
      <c r="V123" s="101" t="s">
        <v>6888</v>
      </c>
      <c r="W123" s="107" t="s">
        <v>6889</v>
      </c>
      <c r="X123" s="101" t="s">
        <v>6890</v>
      </c>
      <c r="Y123" s="101" t="s">
        <v>5904</v>
      </c>
      <c r="Z123" s="101" t="s">
        <v>5551</v>
      </c>
      <c r="AA123" s="101" t="s">
        <v>6891</v>
      </c>
      <c r="AB123" s="107" t="s">
        <v>6892</v>
      </c>
      <c r="AC123" s="101" t="s">
        <v>6893</v>
      </c>
      <c r="AD123" s="101" t="s">
        <v>5772</v>
      </c>
      <c r="AE123" s="101" t="s">
        <v>5412</v>
      </c>
      <c r="AF123" s="101" t="s">
        <v>6754</v>
      </c>
      <c r="AG123" s="101"/>
      <c r="AH123" s="101">
        <v>2</v>
      </c>
      <c r="AI123" s="200" t="s">
        <v>6894</v>
      </c>
    </row>
    <row r="124" spans="1:35" ht="13.5" customHeight="1" x14ac:dyDescent="0.3">
      <c r="A124" s="106">
        <v>122</v>
      </c>
      <c r="B124" s="188" t="s">
        <v>6895</v>
      </c>
      <c r="C124" s="106" t="s">
        <v>1617</v>
      </c>
      <c r="D124" s="339" t="s">
        <v>5336</v>
      </c>
      <c r="E124" s="338" t="s">
        <v>6896</v>
      </c>
      <c r="F124" s="339" t="s">
        <v>2377</v>
      </c>
      <c r="G124" s="340">
        <v>40919</v>
      </c>
      <c r="H124" s="341" t="s">
        <v>52</v>
      </c>
      <c r="I124" s="342" t="s">
        <v>5396</v>
      </c>
      <c r="J124" s="338" t="s">
        <v>6897</v>
      </c>
      <c r="K124" s="338" t="s">
        <v>6898</v>
      </c>
      <c r="L124" s="339" t="s">
        <v>6899</v>
      </c>
      <c r="M124" s="219"/>
      <c r="N124" s="54" t="s">
        <v>6900</v>
      </c>
      <c r="O124" s="339" t="s">
        <v>5626</v>
      </c>
      <c r="P124" s="338" t="s">
        <v>5432</v>
      </c>
      <c r="Q124" s="338" t="s">
        <v>5394</v>
      </c>
      <c r="R124" s="339" t="s">
        <v>3105</v>
      </c>
      <c r="S124" s="339" t="s">
        <v>5422</v>
      </c>
      <c r="T124" s="219"/>
      <c r="U124" s="101">
        <v>40562</v>
      </c>
      <c r="V124" s="339" t="s">
        <v>6901</v>
      </c>
      <c r="W124" s="329" t="s">
        <v>6902</v>
      </c>
      <c r="X124" s="219" t="s">
        <v>6903</v>
      </c>
      <c r="Y124" s="219" t="s">
        <v>5772</v>
      </c>
      <c r="Z124" s="219" t="s">
        <v>5442</v>
      </c>
      <c r="AA124" s="339" t="s">
        <v>6083</v>
      </c>
      <c r="AB124" s="338" t="s">
        <v>6904</v>
      </c>
      <c r="AC124" s="339" t="s">
        <v>6905</v>
      </c>
      <c r="AD124" s="339" t="s">
        <v>5772</v>
      </c>
      <c r="AE124" s="339" t="s">
        <v>5412</v>
      </c>
      <c r="AF124" s="101" t="s">
        <v>6754</v>
      </c>
      <c r="AG124" s="219"/>
      <c r="AH124" s="339">
        <v>2</v>
      </c>
      <c r="AI124" s="329" t="s">
        <v>6906</v>
      </c>
    </row>
    <row r="125" spans="1:35" ht="13.5" customHeight="1" x14ac:dyDescent="0.3">
      <c r="A125" s="106">
        <v>123</v>
      </c>
      <c r="B125" s="188" t="s">
        <v>6907</v>
      </c>
      <c r="C125" s="189" t="s">
        <v>1615</v>
      </c>
      <c r="D125" s="101" t="s">
        <v>5227</v>
      </c>
      <c r="E125" s="107" t="s">
        <v>6908</v>
      </c>
      <c r="F125" s="101" t="s">
        <v>2377</v>
      </c>
      <c r="G125" s="323">
        <v>40920</v>
      </c>
      <c r="H125" s="105" t="s">
        <v>53</v>
      </c>
      <c r="I125" s="193" t="s">
        <v>5396</v>
      </c>
      <c r="J125" s="107" t="s">
        <v>6909</v>
      </c>
      <c r="K125" s="107" t="s">
        <v>6910</v>
      </c>
      <c r="L125" s="101" t="s">
        <v>6911</v>
      </c>
      <c r="M125" s="101"/>
      <c r="N125" s="54" t="s">
        <v>6912</v>
      </c>
      <c r="O125" s="101" t="s">
        <v>6775</v>
      </c>
      <c r="P125" s="107" t="s">
        <v>5432</v>
      </c>
      <c r="Q125" s="107" t="s">
        <v>5514</v>
      </c>
      <c r="R125" s="101" t="s">
        <v>3581</v>
      </c>
      <c r="S125" s="101" t="s">
        <v>5422</v>
      </c>
      <c r="T125" s="101"/>
      <c r="U125" s="101">
        <v>40562</v>
      </c>
      <c r="V125" s="101" t="s">
        <v>6913</v>
      </c>
      <c r="W125" s="107"/>
      <c r="X125" s="101"/>
      <c r="Y125" s="101"/>
      <c r="Z125" s="101"/>
      <c r="AA125" s="101" t="s">
        <v>6914</v>
      </c>
      <c r="AB125" s="107" t="s">
        <v>6915</v>
      </c>
      <c r="AC125" s="101" t="s">
        <v>6916</v>
      </c>
      <c r="AD125" s="101" t="s">
        <v>5772</v>
      </c>
      <c r="AE125" s="101" t="s">
        <v>5412</v>
      </c>
      <c r="AF125" s="101" t="s">
        <v>6754</v>
      </c>
      <c r="AG125" s="101"/>
      <c r="AH125" s="101">
        <v>2</v>
      </c>
      <c r="AI125" s="200" t="s">
        <v>6917</v>
      </c>
    </row>
    <row r="126" spans="1:35" ht="13.5" customHeight="1" x14ac:dyDescent="0.3">
      <c r="A126" s="106">
        <v>124</v>
      </c>
      <c r="B126" s="188" t="s">
        <v>6918</v>
      </c>
      <c r="C126" s="106" t="s">
        <v>1617</v>
      </c>
      <c r="D126" s="107" t="s">
        <v>5337</v>
      </c>
      <c r="E126" s="107" t="s">
        <v>6919</v>
      </c>
      <c r="F126" s="101" t="s">
        <v>2377</v>
      </c>
      <c r="G126" s="323">
        <v>41192</v>
      </c>
      <c r="H126" s="105" t="s">
        <v>52</v>
      </c>
      <c r="I126" s="193" t="s">
        <v>5396</v>
      </c>
      <c r="J126" s="107" t="s">
        <v>6920</v>
      </c>
      <c r="K126" s="107" t="s">
        <v>6921</v>
      </c>
      <c r="L126" s="101" t="s">
        <v>6922</v>
      </c>
      <c r="M126" s="101"/>
      <c r="N126" s="54" t="s">
        <v>6923</v>
      </c>
      <c r="O126" s="101" t="s">
        <v>6775</v>
      </c>
      <c r="P126" s="107" t="s">
        <v>5448</v>
      </c>
      <c r="Q126" s="107" t="s">
        <v>5514</v>
      </c>
      <c r="R126" s="101" t="s">
        <v>3581</v>
      </c>
      <c r="S126" s="101" t="s">
        <v>5422</v>
      </c>
      <c r="T126" s="101"/>
      <c r="U126" s="101">
        <v>40562</v>
      </c>
      <c r="V126" s="101" t="s">
        <v>6924</v>
      </c>
      <c r="W126" s="107" t="s">
        <v>6925</v>
      </c>
      <c r="X126" s="101" t="s">
        <v>6926</v>
      </c>
      <c r="Y126" s="101" t="s">
        <v>5904</v>
      </c>
      <c r="Z126" s="101" t="s">
        <v>5442</v>
      </c>
      <c r="AA126" s="101" t="s">
        <v>6927</v>
      </c>
      <c r="AB126" s="107" t="s">
        <v>6928</v>
      </c>
      <c r="AC126" s="101" t="s">
        <v>6929</v>
      </c>
      <c r="AD126" s="101" t="s">
        <v>5904</v>
      </c>
      <c r="AE126" s="101" t="s">
        <v>5412</v>
      </c>
      <c r="AF126" s="101" t="s">
        <v>6754</v>
      </c>
      <c r="AG126" s="101"/>
      <c r="AH126" s="101">
        <v>2</v>
      </c>
      <c r="AI126" s="200"/>
    </row>
    <row r="127" spans="1:35" ht="13.5" customHeight="1" x14ac:dyDescent="0.3">
      <c r="A127" s="106">
        <v>125</v>
      </c>
      <c r="B127" s="188" t="s">
        <v>6930</v>
      </c>
      <c r="C127" s="106" t="s">
        <v>1613</v>
      </c>
      <c r="D127" s="107" t="s">
        <v>5228</v>
      </c>
      <c r="E127" s="107" t="s">
        <v>6931</v>
      </c>
      <c r="F127" s="101" t="s">
        <v>2377</v>
      </c>
      <c r="G127" s="323">
        <v>41023</v>
      </c>
      <c r="H127" s="105" t="s">
        <v>53</v>
      </c>
      <c r="I127" s="193" t="s">
        <v>5396</v>
      </c>
      <c r="J127" s="107" t="s">
        <v>6932</v>
      </c>
      <c r="K127" s="107" t="s">
        <v>6933</v>
      </c>
      <c r="L127" s="101" t="s">
        <v>6934</v>
      </c>
      <c r="M127" s="101"/>
      <c r="N127" s="54" t="s">
        <v>6935</v>
      </c>
      <c r="O127" s="101" t="s">
        <v>6775</v>
      </c>
      <c r="P127" s="107" t="s">
        <v>5415</v>
      </c>
      <c r="Q127" s="107" t="s">
        <v>5514</v>
      </c>
      <c r="R127" s="101" t="s">
        <v>3581</v>
      </c>
      <c r="S127" s="101" t="s">
        <v>5422</v>
      </c>
      <c r="T127" s="101"/>
      <c r="U127" s="101">
        <v>40562</v>
      </c>
      <c r="V127" s="101" t="s">
        <v>6936</v>
      </c>
      <c r="W127" s="107" t="s">
        <v>6937</v>
      </c>
      <c r="X127" s="101" t="s">
        <v>6938</v>
      </c>
      <c r="Y127" s="101" t="s">
        <v>5785</v>
      </c>
      <c r="Z127" s="101" t="s">
        <v>5442</v>
      </c>
      <c r="AA127" s="101" t="s">
        <v>6939</v>
      </c>
      <c r="AB127" s="107" t="s">
        <v>6940</v>
      </c>
      <c r="AC127" s="101" t="s">
        <v>6941</v>
      </c>
      <c r="AD127" s="101" t="s">
        <v>5772</v>
      </c>
      <c r="AE127" s="101" t="s">
        <v>5412</v>
      </c>
      <c r="AF127" s="101" t="s">
        <v>6754</v>
      </c>
      <c r="AG127" s="101"/>
      <c r="AH127" s="101">
        <v>2</v>
      </c>
      <c r="AI127" s="200"/>
    </row>
    <row r="128" spans="1:35" ht="13.5" customHeight="1" x14ac:dyDescent="0.3">
      <c r="A128" s="106">
        <v>126</v>
      </c>
      <c r="B128" s="188" t="s">
        <v>6942</v>
      </c>
      <c r="C128" s="106" t="s">
        <v>1614</v>
      </c>
      <c r="D128" s="107" t="s">
        <v>5246</v>
      </c>
      <c r="E128" s="107" t="s">
        <v>6943</v>
      </c>
      <c r="F128" s="101" t="s">
        <v>2377</v>
      </c>
      <c r="G128" s="323">
        <v>41002</v>
      </c>
      <c r="H128" s="105" t="s">
        <v>53</v>
      </c>
      <c r="I128" s="193" t="s">
        <v>5396</v>
      </c>
      <c r="J128" s="107" t="s">
        <v>6944</v>
      </c>
      <c r="K128" s="107" t="s">
        <v>6945</v>
      </c>
      <c r="L128" s="101" t="s">
        <v>6946</v>
      </c>
      <c r="M128" s="219"/>
      <c r="N128" s="54" t="s">
        <v>6947</v>
      </c>
      <c r="O128" s="101" t="s">
        <v>5626</v>
      </c>
      <c r="P128" s="107" t="s">
        <v>5401</v>
      </c>
      <c r="Q128" s="107" t="s">
        <v>5415</v>
      </c>
      <c r="R128" s="101" t="s">
        <v>3105</v>
      </c>
      <c r="S128" s="101" t="s">
        <v>5422</v>
      </c>
      <c r="T128" s="101"/>
      <c r="U128" s="101">
        <v>40562</v>
      </c>
      <c r="V128" s="101" t="s">
        <v>6948</v>
      </c>
      <c r="W128" s="107" t="s">
        <v>6949</v>
      </c>
      <c r="X128" s="101" t="s">
        <v>6950</v>
      </c>
      <c r="Y128" s="101" t="s">
        <v>5785</v>
      </c>
      <c r="Z128" s="101" t="s">
        <v>5442</v>
      </c>
      <c r="AA128" s="101" t="s">
        <v>6951</v>
      </c>
      <c r="AB128" s="107"/>
      <c r="AC128" s="101"/>
      <c r="AD128" s="101"/>
      <c r="AE128" s="101"/>
      <c r="AF128" s="101" t="s">
        <v>6754</v>
      </c>
      <c r="AG128" s="101"/>
      <c r="AH128" s="101">
        <v>1</v>
      </c>
      <c r="AI128" s="200"/>
    </row>
    <row r="129" spans="1:35" ht="13.5" customHeight="1" x14ac:dyDescent="0.3">
      <c r="A129" s="106">
        <v>127</v>
      </c>
      <c r="B129" s="188" t="s">
        <v>6952</v>
      </c>
      <c r="C129" s="106" t="s">
        <v>1614</v>
      </c>
      <c r="D129" s="107" t="s">
        <v>5247</v>
      </c>
      <c r="E129" s="107" t="s">
        <v>6953</v>
      </c>
      <c r="F129" s="101" t="s">
        <v>2377</v>
      </c>
      <c r="G129" s="323">
        <v>40971</v>
      </c>
      <c r="H129" s="105" t="s">
        <v>53</v>
      </c>
      <c r="I129" s="193" t="s">
        <v>5396</v>
      </c>
      <c r="J129" s="107" t="s">
        <v>6954</v>
      </c>
      <c r="K129" s="107" t="s">
        <v>6955</v>
      </c>
      <c r="L129" s="101" t="s">
        <v>6956</v>
      </c>
      <c r="M129" s="101"/>
      <c r="N129" s="54" t="s">
        <v>6957</v>
      </c>
      <c r="O129" s="101" t="s">
        <v>5626</v>
      </c>
      <c r="P129" s="107" t="s">
        <v>5157</v>
      </c>
      <c r="Q129" s="107" t="s">
        <v>5394</v>
      </c>
      <c r="R129" s="101" t="s">
        <v>3105</v>
      </c>
      <c r="S129" s="101" t="s">
        <v>5422</v>
      </c>
      <c r="T129" s="101"/>
      <c r="U129" s="101">
        <v>40562</v>
      </c>
      <c r="V129" s="101" t="s">
        <v>6958</v>
      </c>
      <c r="W129" s="107" t="s">
        <v>6959</v>
      </c>
      <c r="X129" s="101" t="s">
        <v>6960</v>
      </c>
      <c r="Y129" s="101" t="s">
        <v>5904</v>
      </c>
      <c r="Z129" s="101" t="s">
        <v>5442</v>
      </c>
      <c r="AA129" s="101" t="s">
        <v>3417</v>
      </c>
      <c r="AB129" s="107" t="s">
        <v>6961</v>
      </c>
      <c r="AC129" s="101" t="s">
        <v>6962</v>
      </c>
      <c r="AD129" s="101" t="s">
        <v>5904</v>
      </c>
      <c r="AE129" s="101" t="s">
        <v>5412</v>
      </c>
      <c r="AF129" s="101" t="s">
        <v>6754</v>
      </c>
      <c r="AG129" s="101"/>
      <c r="AH129" s="101">
        <v>1</v>
      </c>
      <c r="AI129" s="200"/>
    </row>
    <row r="130" spans="1:35" ht="13.5" customHeight="1" x14ac:dyDescent="0.3">
      <c r="A130" s="106">
        <v>128</v>
      </c>
      <c r="B130" s="188" t="s">
        <v>6963</v>
      </c>
      <c r="C130" s="189" t="s">
        <v>13</v>
      </c>
      <c r="D130" s="107" t="s">
        <v>5304</v>
      </c>
      <c r="E130" s="107" t="s">
        <v>6964</v>
      </c>
      <c r="F130" s="101" t="s">
        <v>2377</v>
      </c>
      <c r="G130" s="323">
        <v>40708</v>
      </c>
      <c r="H130" s="105" t="s">
        <v>52</v>
      </c>
      <c r="I130" s="193" t="s">
        <v>5396</v>
      </c>
      <c r="J130" s="107" t="s">
        <v>6965</v>
      </c>
      <c r="K130" s="107" t="s">
        <v>6966</v>
      </c>
      <c r="L130" s="101" t="s">
        <v>6967</v>
      </c>
      <c r="M130" s="101"/>
      <c r="N130" s="54" t="s">
        <v>6968</v>
      </c>
      <c r="O130" s="101" t="s">
        <v>6775</v>
      </c>
      <c r="P130" s="107" t="s">
        <v>5432</v>
      </c>
      <c r="Q130" s="107" t="s">
        <v>5514</v>
      </c>
      <c r="R130" s="101" t="s">
        <v>3581</v>
      </c>
      <c r="S130" s="101" t="s">
        <v>5422</v>
      </c>
      <c r="T130" s="101"/>
      <c r="U130" s="101">
        <v>40562</v>
      </c>
      <c r="V130" s="101" t="s">
        <v>4076</v>
      </c>
      <c r="W130" s="107" t="s">
        <v>6969</v>
      </c>
      <c r="X130" s="101" t="s">
        <v>6970</v>
      </c>
      <c r="Y130" s="101" t="s">
        <v>5772</v>
      </c>
      <c r="Z130" s="101" t="s">
        <v>5442</v>
      </c>
      <c r="AA130" s="101" t="s">
        <v>6971</v>
      </c>
      <c r="AB130" s="107" t="s">
        <v>6972</v>
      </c>
      <c r="AC130" s="101" t="s">
        <v>6973</v>
      </c>
      <c r="AD130" s="101" t="s">
        <v>5772</v>
      </c>
      <c r="AE130" s="101" t="s">
        <v>5412</v>
      </c>
      <c r="AF130" s="101" t="s">
        <v>6754</v>
      </c>
      <c r="AG130" s="101"/>
      <c r="AH130" s="101">
        <v>2</v>
      </c>
      <c r="AI130" s="200" t="s">
        <v>6974</v>
      </c>
    </row>
    <row r="131" spans="1:35" ht="13.5" customHeight="1" x14ac:dyDescent="0.3">
      <c r="A131" s="106">
        <v>129</v>
      </c>
      <c r="B131" s="188" t="s">
        <v>6975</v>
      </c>
      <c r="C131" s="189" t="s">
        <v>1616</v>
      </c>
      <c r="D131" s="107" t="s">
        <v>5305</v>
      </c>
      <c r="E131" s="107" t="s">
        <v>6976</v>
      </c>
      <c r="F131" s="101" t="s">
        <v>2377</v>
      </c>
      <c r="G131" s="323">
        <v>40603</v>
      </c>
      <c r="H131" s="105" t="s">
        <v>52</v>
      </c>
      <c r="I131" s="193" t="s">
        <v>5396</v>
      </c>
      <c r="J131" s="107" t="s">
        <v>6977</v>
      </c>
      <c r="K131" s="107" t="s">
        <v>6978</v>
      </c>
      <c r="L131" s="101" t="s">
        <v>6979</v>
      </c>
      <c r="M131" s="101" t="s">
        <v>6980</v>
      </c>
      <c r="N131" s="54" t="s">
        <v>6981</v>
      </c>
      <c r="O131" s="101" t="s">
        <v>6775</v>
      </c>
      <c r="P131" s="107" t="s">
        <v>5394</v>
      </c>
      <c r="Q131" s="107" t="s">
        <v>5514</v>
      </c>
      <c r="R131" s="101" t="s">
        <v>3581</v>
      </c>
      <c r="S131" s="101" t="s">
        <v>5422</v>
      </c>
      <c r="T131" s="101"/>
      <c r="U131" s="101">
        <v>40562</v>
      </c>
      <c r="V131" s="101" t="s">
        <v>6982</v>
      </c>
      <c r="W131" s="107" t="s">
        <v>6983</v>
      </c>
      <c r="X131" s="101" t="s">
        <v>6984</v>
      </c>
      <c r="Y131" s="101" t="s">
        <v>5904</v>
      </c>
      <c r="Z131" s="101" t="s">
        <v>5551</v>
      </c>
      <c r="AA131" s="101" t="s">
        <v>6985</v>
      </c>
      <c r="AB131" s="107" t="s">
        <v>6986</v>
      </c>
      <c r="AC131" s="101" t="s">
        <v>6987</v>
      </c>
      <c r="AD131" s="101" t="s">
        <v>5904</v>
      </c>
      <c r="AE131" s="101" t="s">
        <v>5412</v>
      </c>
      <c r="AF131" s="101" t="s">
        <v>6754</v>
      </c>
      <c r="AG131" s="101" t="s">
        <v>6988</v>
      </c>
      <c r="AH131" s="101">
        <v>2</v>
      </c>
      <c r="AI131" s="200" t="s">
        <v>6989</v>
      </c>
    </row>
    <row r="132" spans="1:35" ht="13.5" customHeight="1" x14ac:dyDescent="0.3">
      <c r="A132" s="106">
        <v>130</v>
      </c>
      <c r="B132" s="188" t="s">
        <v>6990</v>
      </c>
      <c r="C132" s="106" t="s">
        <v>1616</v>
      </c>
      <c r="D132" s="107" t="s">
        <v>5306</v>
      </c>
      <c r="E132" s="107" t="s">
        <v>6991</v>
      </c>
      <c r="F132" s="101" t="s">
        <v>2377</v>
      </c>
      <c r="G132" s="323">
        <v>41083</v>
      </c>
      <c r="H132" s="105" t="s">
        <v>53</v>
      </c>
      <c r="I132" s="193" t="s">
        <v>5396</v>
      </c>
      <c r="J132" s="107" t="s">
        <v>6992</v>
      </c>
      <c r="K132" s="107" t="s">
        <v>6993</v>
      </c>
      <c r="L132" s="101" t="s">
        <v>6994</v>
      </c>
      <c r="M132" s="101"/>
      <c r="N132" s="54" t="s">
        <v>6995</v>
      </c>
      <c r="O132" s="101" t="s">
        <v>6057</v>
      </c>
      <c r="P132" s="107" t="s">
        <v>5448</v>
      </c>
      <c r="Q132" s="107" t="s">
        <v>5448</v>
      </c>
      <c r="R132" s="101" t="s">
        <v>2845</v>
      </c>
      <c r="S132" s="101" t="s">
        <v>3961</v>
      </c>
      <c r="T132" s="101"/>
      <c r="U132" s="101">
        <v>40764</v>
      </c>
      <c r="V132" s="101" t="s">
        <v>6996</v>
      </c>
      <c r="W132" s="107" t="s">
        <v>5606</v>
      </c>
      <c r="X132" s="101"/>
      <c r="Y132" s="101"/>
      <c r="Z132" s="101"/>
      <c r="AA132" s="339" t="s">
        <v>6997</v>
      </c>
      <c r="AB132" s="338" t="s">
        <v>6998</v>
      </c>
      <c r="AC132" s="339" t="s">
        <v>6999</v>
      </c>
      <c r="AD132" s="101" t="s">
        <v>5785</v>
      </c>
      <c r="AE132" s="101" t="s">
        <v>5412</v>
      </c>
      <c r="AF132" s="101" t="s">
        <v>6754</v>
      </c>
      <c r="AG132" s="101"/>
      <c r="AH132" s="101">
        <v>2</v>
      </c>
      <c r="AI132" s="200" t="s">
        <v>7000</v>
      </c>
    </row>
    <row r="133" spans="1:35" ht="13.5" customHeight="1" x14ac:dyDescent="0.3">
      <c r="A133" s="203">
        <v>131</v>
      </c>
      <c r="B133" s="204" t="s">
        <v>7001</v>
      </c>
      <c r="C133" s="203" t="s">
        <v>1614</v>
      </c>
      <c r="D133" s="315" t="s">
        <v>5248</v>
      </c>
      <c r="E133" s="315">
        <v>3126537297</v>
      </c>
      <c r="F133" s="239" t="s">
        <v>2377</v>
      </c>
      <c r="G133" s="320">
        <v>41051</v>
      </c>
      <c r="H133" s="319" t="s">
        <v>52</v>
      </c>
      <c r="I133" s="343" t="s">
        <v>5396</v>
      </c>
      <c r="J133" s="315" t="s">
        <v>7002</v>
      </c>
      <c r="K133" s="315" t="s">
        <v>7003</v>
      </c>
      <c r="L133" s="239" t="s">
        <v>7004</v>
      </c>
      <c r="M133" s="239" t="s">
        <v>7005</v>
      </c>
      <c r="N133" s="239" t="s">
        <v>7006</v>
      </c>
      <c r="O133" s="239" t="s">
        <v>5821</v>
      </c>
      <c r="P133" s="315" t="s">
        <v>5461</v>
      </c>
      <c r="Q133" s="315" t="s">
        <v>5461</v>
      </c>
      <c r="R133" s="239" t="s">
        <v>2485</v>
      </c>
      <c r="S133" s="239" t="s">
        <v>5422</v>
      </c>
      <c r="T133" s="239"/>
      <c r="U133" s="239">
        <v>40562</v>
      </c>
      <c r="V133" s="239" t="s">
        <v>7007</v>
      </c>
      <c r="W133" s="315" t="s">
        <v>7008</v>
      </c>
      <c r="X133" s="239" t="s">
        <v>7009</v>
      </c>
      <c r="Y133" s="239" t="s">
        <v>5785</v>
      </c>
      <c r="Z133" s="239" t="s">
        <v>5442</v>
      </c>
      <c r="AA133" s="239" t="s">
        <v>7010</v>
      </c>
      <c r="AB133" s="315" t="s">
        <v>7011</v>
      </c>
      <c r="AC133" s="239" t="s">
        <v>7012</v>
      </c>
      <c r="AD133" s="239" t="s">
        <v>5772</v>
      </c>
      <c r="AE133" s="239" t="s">
        <v>5412</v>
      </c>
      <c r="AF133" s="239" t="s">
        <v>4816</v>
      </c>
      <c r="AG133" s="239"/>
      <c r="AH133" s="239">
        <v>1</v>
      </c>
      <c r="AI133" s="218"/>
    </row>
    <row r="134" spans="1:35" ht="13.5" customHeight="1" x14ac:dyDescent="0.3">
      <c r="A134" s="203">
        <v>132</v>
      </c>
      <c r="B134" s="204" t="s">
        <v>7013</v>
      </c>
      <c r="C134" s="203" t="s">
        <v>1614</v>
      </c>
      <c r="D134" s="315" t="s">
        <v>5249</v>
      </c>
      <c r="E134" s="315">
        <v>3125741494</v>
      </c>
      <c r="F134" s="239" t="s">
        <v>2352</v>
      </c>
      <c r="G134" s="320">
        <v>40837</v>
      </c>
      <c r="H134" s="319" t="s">
        <v>52</v>
      </c>
      <c r="I134" s="210" t="s">
        <v>5396</v>
      </c>
      <c r="J134" s="315" t="s">
        <v>7014</v>
      </c>
      <c r="K134" s="315" t="s">
        <v>7015</v>
      </c>
      <c r="L134" s="239" t="s">
        <v>7016</v>
      </c>
      <c r="M134" s="239"/>
      <c r="N134" s="239" t="s">
        <v>7017</v>
      </c>
      <c r="O134" s="239" t="s">
        <v>7018</v>
      </c>
      <c r="P134" s="315" t="s">
        <v>5394</v>
      </c>
      <c r="Q134" s="315" t="s">
        <v>5502</v>
      </c>
      <c r="R134" s="239" t="s">
        <v>2845</v>
      </c>
      <c r="S134" s="239" t="s">
        <v>3961</v>
      </c>
      <c r="T134" s="239"/>
      <c r="U134" s="239">
        <v>40764</v>
      </c>
      <c r="V134" s="239" t="s">
        <v>3318</v>
      </c>
      <c r="W134" s="315" t="s">
        <v>7019</v>
      </c>
      <c r="X134" s="239" t="s">
        <v>7020</v>
      </c>
      <c r="Y134" s="239" t="s">
        <v>5904</v>
      </c>
      <c r="Z134" s="239" t="s">
        <v>5442</v>
      </c>
      <c r="AA134" s="239" t="s">
        <v>7021</v>
      </c>
      <c r="AB134" s="315" t="s">
        <v>7022</v>
      </c>
      <c r="AC134" s="239" t="s">
        <v>7023</v>
      </c>
      <c r="AD134" s="239" t="s">
        <v>5904</v>
      </c>
      <c r="AE134" s="239" t="s">
        <v>5412</v>
      </c>
      <c r="AF134" s="239" t="s">
        <v>7024</v>
      </c>
      <c r="AG134" s="239"/>
      <c r="AH134" s="239">
        <v>2</v>
      </c>
      <c r="AI134" s="218" t="s">
        <v>7025</v>
      </c>
    </row>
    <row r="135" spans="1:35" ht="13.5" customHeight="1" x14ac:dyDescent="0.3">
      <c r="A135" s="106">
        <v>133</v>
      </c>
      <c r="B135" s="235" t="s">
        <v>7026</v>
      </c>
      <c r="C135" s="106" t="s">
        <v>1614</v>
      </c>
      <c r="D135" s="107" t="s">
        <v>5250</v>
      </c>
      <c r="E135" s="107" t="s">
        <v>7027</v>
      </c>
      <c r="F135" s="101" t="s">
        <v>2377</v>
      </c>
      <c r="G135" s="323">
        <v>41142</v>
      </c>
      <c r="H135" s="105" t="s">
        <v>53</v>
      </c>
      <c r="I135" s="237" t="s">
        <v>5396</v>
      </c>
      <c r="J135" s="107" t="s">
        <v>7028</v>
      </c>
      <c r="K135" s="107" t="s">
        <v>7029</v>
      </c>
      <c r="L135" s="101"/>
      <c r="M135" s="101"/>
      <c r="N135" s="101" t="s">
        <v>7030</v>
      </c>
      <c r="O135" s="101" t="s">
        <v>7031</v>
      </c>
      <c r="P135" s="107" t="s">
        <v>5394</v>
      </c>
      <c r="Q135" s="107" t="s">
        <v>5415</v>
      </c>
      <c r="R135" s="101" t="s">
        <v>3637</v>
      </c>
      <c r="S135" s="101" t="s">
        <v>3961</v>
      </c>
      <c r="T135" s="101"/>
      <c r="U135" s="107" t="s">
        <v>5547</v>
      </c>
      <c r="V135" s="101" t="s">
        <v>7032</v>
      </c>
      <c r="W135" s="107" t="s">
        <v>7033</v>
      </c>
      <c r="X135" s="101" t="s">
        <v>7034</v>
      </c>
      <c r="Y135" s="101" t="s">
        <v>6240</v>
      </c>
      <c r="Z135" s="101" t="s">
        <v>5442</v>
      </c>
      <c r="AA135" s="101" t="s">
        <v>7035</v>
      </c>
      <c r="AB135" s="107" t="s">
        <v>7036</v>
      </c>
      <c r="AC135" s="101" t="s">
        <v>7037</v>
      </c>
      <c r="AD135" s="101" t="s">
        <v>6240</v>
      </c>
      <c r="AE135" s="101" t="s">
        <v>5412</v>
      </c>
      <c r="AF135" s="101" t="s">
        <v>7038</v>
      </c>
      <c r="AG135" s="101"/>
      <c r="AH135" s="101">
        <v>2</v>
      </c>
      <c r="AI135" s="200"/>
    </row>
    <row r="136" spans="1:35" ht="13.5" customHeight="1" x14ac:dyDescent="0.3">
      <c r="A136" s="106">
        <v>134</v>
      </c>
      <c r="B136" s="235" t="s">
        <v>7039</v>
      </c>
      <c r="C136" s="106" t="s">
        <v>1614</v>
      </c>
      <c r="D136" s="107" t="s">
        <v>5251</v>
      </c>
      <c r="E136" s="107" t="s">
        <v>7040</v>
      </c>
      <c r="F136" s="101" t="s">
        <v>2377</v>
      </c>
      <c r="G136" s="323">
        <v>40829</v>
      </c>
      <c r="H136" s="105" t="s">
        <v>53</v>
      </c>
      <c r="I136" s="237" t="s">
        <v>5396</v>
      </c>
      <c r="J136" s="107" t="s">
        <v>7041</v>
      </c>
      <c r="K136" s="107" t="s">
        <v>7042</v>
      </c>
      <c r="L136" s="107" t="s">
        <v>7043</v>
      </c>
      <c r="M136" s="101"/>
      <c r="N136" s="101"/>
      <c r="O136" s="101" t="s">
        <v>7031</v>
      </c>
      <c r="P136" s="107" t="s">
        <v>5415</v>
      </c>
      <c r="Q136" s="107" t="s">
        <v>5421</v>
      </c>
      <c r="R136" s="101" t="s">
        <v>3637</v>
      </c>
      <c r="S136" s="101" t="s">
        <v>3961</v>
      </c>
      <c r="T136" s="101"/>
      <c r="U136" s="107" t="s">
        <v>5547</v>
      </c>
      <c r="V136" s="101" t="s">
        <v>7044</v>
      </c>
      <c r="W136" s="107"/>
      <c r="X136" s="101" t="s">
        <v>7045</v>
      </c>
      <c r="Y136" s="101"/>
      <c r="Z136" s="101"/>
      <c r="AA136" s="101" t="s">
        <v>7046</v>
      </c>
      <c r="AB136" s="107" t="s">
        <v>7047</v>
      </c>
      <c r="AC136" s="101" t="s">
        <v>7048</v>
      </c>
      <c r="AD136" s="101"/>
      <c r="AE136" s="101" t="s">
        <v>5412</v>
      </c>
      <c r="AF136" s="101" t="s">
        <v>7038</v>
      </c>
      <c r="AG136" s="101" t="s">
        <v>7049</v>
      </c>
      <c r="AH136" s="101">
        <v>1</v>
      </c>
      <c r="AI136" s="200"/>
    </row>
    <row r="137" spans="1:35" ht="13.5" customHeight="1" x14ac:dyDescent="0.3">
      <c r="A137" s="106">
        <v>135</v>
      </c>
      <c r="B137" s="235" t="s">
        <v>7050</v>
      </c>
      <c r="C137" s="106" t="s">
        <v>1614</v>
      </c>
      <c r="D137" s="107" t="s">
        <v>5252</v>
      </c>
      <c r="E137" s="107" t="s">
        <v>7051</v>
      </c>
      <c r="F137" s="101" t="s">
        <v>2377</v>
      </c>
      <c r="G137" s="333" t="s">
        <v>7052</v>
      </c>
      <c r="H137" s="105" t="s">
        <v>52</v>
      </c>
      <c r="I137" s="237" t="s">
        <v>5396</v>
      </c>
      <c r="J137" s="107" t="s">
        <v>7053</v>
      </c>
      <c r="K137" s="107" t="s">
        <v>7054</v>
      </c>
      <c r="L137" s="101"/>
      <c r="M137" s="101"/>
      <c r="N137" s="101"/>
      <c r="O137" s="101" t="s">
        <v>7055</v>
      </c>
      <c r="P137" s="107" t="s">
        <v>5415</v>
      </c>
      <c r="Q137" s="107" t="s">
        <v>5432</v>
      </c>
      <c r="R137" s="101" t="s">
        <v>3637</v>
      </c>
      <c r="S137" s="101" t="s">
        <v>3961</v>
      </c>
      <c r="T137" s="101"/>
      <c r="U137" s="107" t="s">
        <v>5521</v>
      </c>
      <c r="V137" s="101" t="s">
        <v>7056</v>
      </c>
      <c r="W137" s="107" t="s">
        <v>7057</v>
      </c>
      <c r="X137" s="101" t="s">
        <v>7058</v>
      </c>
      <c r="Y137" s="101" t="s">
        <v>6240</v>
      </c>
      <c r="Z137" s="101" t="s">
        <v>5442</v>
      </c>
      <c r="AA137" s="101" t="s">
        <v>7059</v>
      </c>
      <c r="AB137" s="107" t="s">
        <v>7060</v>
      </c>
      <c r="AC137" s="101" t="s">
        <v>7061</v>
      </c>
      <c r="AD137" s="101" t="s">
        <v>6240</v>
      </c>
      <c r="AE137" s="101" t="s">
        <v>5412</v>
      </c>
      <c r="AF137" s="101" t="s">
        <v>7038</v>
      </c>
      <c r="AG137" s="107"/>
      <c r="AH137" s="101">
        <v>2</v>
      </c>
      <c r="AI137" s="200"/>
    </row>
    <row r="138" spans="1:35" ht="13.5" customHeight="1" x14ac:dyDescent="0.3">
      <c r="A138" s="106">
        <v>136</v>
      </c>
      <c r="B138" s="235" t="s">
        <v>7062</v>
      </c>
      <c r="C138" s="106" t="s">
        <v>1614</v>
      </c>
      <c r="D138" s="107" t="s">
        <v>5253</v>
      </c>
      <c r="E138" s="107" t="s">
        <v>7063</v>
      </c>
      <c r="F138" s="101" t="s">
        <v>2377</v>
      </c>
      <c r="G138" s="333" t="s">
        <v>7064</v>
      </c>
      <c r="H138" s="105" t="s">
        <v>52</v>
      </c>
      <c r="I138" s="237" t="s">
        <v>5396</v>
      </c>
      <c r="J138" s="107" t="s">
        <v>7065</v>
      </c>
      <c r="K138" s="107" t="s">
        <v>7066</v>
      </c>
      <c r="L138" s="101"/>
      <c r="M138" s="101"/>
      <c r="N138" s="101"/>
      <c r="O138" s="101" t="s">
        <v>7031</v>
      </c>
      <c r="P138" s="107" t="s">
        <v>5394</v>
      </c>
      <c r="Q138" s="107" t="s">
        <v>5542</v>
      </c>
      <c r="R138" s="101" t="s">
        <v>3637</v>
      </c>
      <c r="S138" s="101" t="s">
        <v>3961</v>
      </c>
      <c r="T138" s="101"/>
      <c r="U138" s="107" t="s">
        <v>5521</v>
      </c>
      <c r="V138" s="101" t="s">
        <v>2902</v>
      </c>
      <c r="W138" s="107" t="s">
        <v>7067</v>
      </c>
      <c r="X138" s="101" t="s">
        <v>7068</v>
      </c>
      <c r="Y138" s="101" t="s">
        <v>6240</v>
      </c>
      <c r="Z138" s="101" t="s">
        <v>5442</v>
      </c>
      <c r="AA138" s="101" t="s">
        <v>7069</v>
      </c>
      <c r="AB138" s="107" t="s">
        <v>7070</v>
      </c>
      <c r="AC138" s="101" t="s">
        <v>7071</v>
      </c>
      <c r="AD138" s="101" t="s">
        <v>5772</v>
      </c>
      <c r="AE138" s="101" t="s">
        <v>5412</v>
      </c>
      <c r="AF138" s="101" t="s">
        <v>7038</v>
      </c>
      <c r="AG138" s="107"/>
      <c r="AH138" s="101">
        <v>1</v>
      </c>
      <c r="AI138" s="200"/>
    </row>
    <row r="139" spans="1:35" ht="13.5" customHeight="1" x14ac:dyDescent="0.3">
      <c r="A139" s="106">
        <v>137</v>
      </c>
      <c r="B139" s="235" t="s">
        <v>7072</v>
      </c>
      <c r="C139" s="106" t="s">
        <v>1615</v>
      </c>
      <c r="D139" s="107" t="s">
        <v>5275</v>
      </c>
      <c r="E139" s="107" t="s">
        <v>7073</v>
      </c>
      <c r="F139" s="101" t="s">
        <v>2377</v>
      </c>
      <c r="G139" s="333" t="s">
        <v>7074</v>
      </c>
      <c r="H139" s="105" t="s">
        <v>52</v>
      </c>
      <c r="I139" s="237" t="s">
        <v>5396</v>
      </c>
      <c r="J139" s="107" t="s">
        <v>7075</v>
      </c>
      <c r="K139" s="107" t="s">
        <v>7076</v>
      </c>
      <c r="L139" s="101"/>
      <c r="M139" s="101"/>
      <c r="N139" s="101"/>
      <c r="O139" s="101" t="s">
        <v>7031</v>
      </c>
      <c r="P139" s="107" t="s">
        <v>5415</v>
      </c>
      <c r="Q139" s="107" t="s">
        <v>5421</v>
      </c>
      <c r="R139" s="101" t="s">
        <v>3637</v>
      </c>
      <c r="S139" s="101" t="s">
        <v>3961</v>
      </c>
      <c r="T139" s="101"/>
      <c r="U139" s="107" t="s">
        <v>5521</v>
      </c>
      <c r="V139" s="101" t="s">
        <v>5843</v>
      </c>
      <c r="W139" s="107" t="s">
        <v>7077</v>
      </c>
      <c r="X139" s="101" t="s">
        <v>6804</v>
      </c>
      <c r="Y139" s="101" t="s">
        <v>5772</v>
      </c>
      <c r="Z139" s="101" t="s">
        <v>5442</v>
      </c>
      <c r="AA139" s="101" t="s">
        <v>7078</v>
      </c>
      <c r="AB139" s="107" t="s">
        <v>7079</v>
      </c>
      <c r="AC139" s="101" t="s">
        <v>7080</v>
      </c>
      <c r="AD139" s="101" t="s">
        <v>5772</v>
      </c>
      <c r="AE139" s="101" t="s">
        <v>5412</v>
      </c>
      <c r="AF139" s="101" t="s">
        <v>7038</v>
      </c>
      <c r="AG139" s="101"/>
      <c r="AH139" s="101">
        <v>3</v>
      </c>
      <c r="AI139" s="200"/>
    </row>
    <row r="140" spans="1:35" ht="13.5" customHeight="1" x14ac:dyDescent="0.3">
      <c r="A140" s="106">
        <v>138</v>
      </c>
      <c r="B140" s="235" t="s">
        <v>7081</v>
      </c>
      <c r="C140" s="106" t="s">
        <v>1615</v>
      </c>
      <c r="D140" s="107" t="s">
        <v>5276</v>
      </c>
      <c r="E140" s="107" t="s">
        <v>7082</v>
      </c>
      <c r="F140" s="101" t="s">
        <v>2468</v>
      </c>
      <c r="G140" s="333" t="s">
        <v>7083</v>
      </c>
      <c r="H140" s="105" t="s">
        <v>52</v>
      </c>
      <c r="I140" s="237" t="s">
        <v>5396</v>
      </c>
      <c r="J140" s="107" t="s">
        <v>7084</v>
      </c>
      <c r="K140" s="107" t="s">
        <v>7085</v>
      </c>
      <c r="L140" s="101"/>
      <c r="M140" s="101"/>
      <c r="N140" s="101"/>
      <c r="O140" s="101" t="s">
        <v>7086</v>
      </c>
      <c r="P140" s="107" t="s">
        <v>5556</v>
      </c>
      <c r="Q140" s="107" t="s">
        <v>5415</v>
      </c>
      <c r="R140" s="101" t="s">
        <v>7087</v>
      </c>
      <c r="S140" s="101" t="s">
        <v>7088</v>
      </c>
      <c r="T140" s="101"/>
      <c r="U140" s="101"/>
      <c r="V140" s="101" t="s">
        <v>7089</v>
      </c>
      <c r="W140" s="107" t="s">
        <v>7090</v>
      </c>
      <c r="X140" s="101" t="s">
        <v>7091</v>
      </c>
      <c r="Y140" s="101" t="s">
        <v>5772</v>
      </c>
      <c r="Z140" s="101" t="s">
        <v>5442</v>
      </c>
      <c r="AA140" s="101" t="s">
        <v>7092</v>
      </c>
      <c r="AB140" s="107" t="s">
        <v>7093</v>
      </c>
      <c r="AC140" s="101" t="s">
        <v>7094</v>
      </c>
      <c r="AD140" s="101" t="s">
        <v>5772</v>
      </c>
      <c r="AE140" s="101" t="s">
        <v>5412</v>
      </c>
      <c r="AF140" s="101" t="s">
        <v>7038</v>
      </c>
      <c r="AG140" s="101"/>
      <c r="AH140" s="101">
        <v>2</v>
      </c>
      <c r="AI140" s="200"/>
    </row>
    <row r="141" spans="1:35" ht="13.5" customHeight="1" x14ac:dyDescent="0.3">
      <c r="A141" s="106">
        <v>139</v>
      </c>
      <c r="B141" s="235" t="s">
        <v>7095</v>
      </c>
      <c r="C141" s="106" t="s">
        <v>1615</v>
      </c>
      <c r="D141" s="107" t="s">
        <v>5277</v>
      </c>
      <c r="E141" s="107" t="s">
        <v>7096</v>
      </c>
      <c r="F141" s="101" t="s">
        <v>2352</v>
      </c>
      <c r="G141" s="344">
        <v>40968</v>
      </c>
      <c r="H141" s="105" t="s">
        <v>53</v>
      </c>
      <c r="I141" s="237" t="s">
        <v>5396</v>
      </c>
      <c r="J141" s="107" t="s">
        <v>7097</v>
      </c>
      <c r="K141" s="107" t="s">
        <v>7098</v>
      </c>
      <c r="L141" s="107" t="s">
        <v>7099</v>
      </c>
      <c r="M141" s="101"/>
      <c r="N141" s="101"/>
      <c r="O141" s="101" t="s">
        <v>7055</v>
      </c>
      <c r="P141" s="107" t="s">
        <v>5394</v>
      </c>
      <c r="Q141" s="107" t="s">
        <v>5432</v>
      </c>
      <c r="R141" s="101" t="s">
        <v>3637</v>
      </c>
      <c r="S141" s="101" t="s">
        <v>3961</v>
      </c>
      <c r="T141" s="101"/>
      <c r="U141" s="107" t="s">
        <v>5521</v>
      </c>
      <c r="V141" s="101" t="s">
        <v>5936</v>
      </c>
      <c r="W141" s="107" t="s">
        <v>7100</v>
      </c>
      <c r="X141" s="101" t="s">
        <v>7101</v>
      </c>
      <c r="Y141" s="101" t="s">
        <v>5772</v>
      </c>
      <c r="Z141" s="101" t="s">
        <v>5442</v>
      </c>
      <c r="AA141" s="101" t="s">
        <v>7102</v>
      </c>
      <c r="AB141" s="107" t="s">
        <v>7103</v>
      </c>
      <c r="AC141" s="101" t="s">
        <v>7104</v>
      </c>
      <c r="AD141" s="101" t="s">
        <v>5772</v>
      </c>
      <c r="AE141" s="101" t="s">
        <v>5412</v>
      </c>
      <c r="AF141" s="101" t="s">
        <v>7038</v>
      </c>
      <c r="AG141" s="107"/>
      <c r="AH141" s="101">
        <v>2</v>
      </c>
      <c r="AI141" s="200"/>
    </row>
    <row r="142" spans="1:35" ht="13.5" customHeight="1" x14ac:dyDescent="0.3">
      <c r="A142" s="106">
        <v>140</v>
      </c>
      <c r="B142" s="235" t="s">
        <v>7105</v>
      </c>
      <c r="C142" s="106" t="s">
        <v>1616</v>
      </c>
      <c r="D142" s="107" t="s">
        <v>5307</v>
      </c>
      <c r="E142" s="107" t="s">
        <v>7106</v>
      </c>
      <c r="F142" s="101" t="s">
        <v>7107</v>
      </c>
      <c r="G142" s="323">
        <v>40694</v>
      </c>
      <c r="H142" s="105" t="s">
        <v>52</v>
      </c>
      <c r="I142" s="237" t="s">
        <v>5396</v>
      </c>
      <c r="J142" s="107" t="s">
        <v>7108</v>
      </c>
      <c r="K142" s="107" t="s">
        <v>7109</v>
      </c>
      <c r="L142" s="101"/>
      <c r="M142" s="101"/>
      <c r="N142" s="101"/>
      <c r="O142" s="101" t="s">
        <v>6028</v>
      </c>
      <c r="P142" s="107" t="s">
        <v>5415</v>
      </c>
      <c r="Q142" s="107" t="s">
        <v>5448</v>
      </c>
      <c r="R142" s="101" t="s">
        <v>3637</v>
      </c>
      <c r="S142" s="101" t="s">
        <v>3961</v>
      </c>
      <c r="T142" s="101"/>
      <c r="U142" s="107" t="s">
        <v>5521</v>
      </c>
      <c r="V142" s="101" t="s">
        <v>7110</v>
      </c>
      <c r="W142" s="107" t="s">
        <v>7111</v>
      </c>
      <c r="X142" s="101" t="s">
        <v>7112</v>
      </c>
      <c r="Y142" s="101" t="s">
        <v>5772</v>
      </c>
      <c r="Z142" s="101" t="s">
        <v>5442</v>
      </c>
      <c r="AA142" s="101" t="s">
        <v>7113</v>
      </c>
      <c r="AB142" s="107" t="s">
        <v>7114</v>
      </c>
      <c r="AC142" s="101" t="s">
        <v>7115</v>
      </c>
      <c r="AD142" s="101" t="s">
        <v>5772</v>
      </c>
      <c r="AE142" s="101" t="s">
        <v>5412</v>
      </c>
      <c r="AF142" s="101" t="s">
        <v>7038</v>
      </c>
      <c r="AG142" s="101"/>
      <c r="AH142" s="101">
        <v>1</v>
      </c>
      <c r="AI142" s="200"/>
    </row>
    <row r="143" spans="1:35" ht="13.5" customHeight="1" x14ac:dyDescent="0.3">
      <c r="A143" s="106">
        <v>141</v>
      </c>
      <c r="B143" s="235" t="s">
        <v>7116</v>
      </c>
      <c r="C143" s="106" t="s">
        <v>1616</v>
      </c>
      <c r="D143" s="107" t="s">
        <v>5308</v>
      </c>
      <c r="E143" s="107" t="s">
        <v>7117</v>
      </c>
      <c r="F143" s="101" t="s">
        <v>2377</v>
      </c>
      <c r="G143" s="323">
        <v>40859</v>
      </c>
      <c r="H143" s="105" t="s">
        <v>52</v>
      </c>
      <c r="I143" s="237" t="s">
        <v>5396</v>
      </c>
      <c r="J143" s="107" t="s">
        <v>7118</v>
      </c>
      <c r="K143" s="107" t="s">
        <v>7119</v>
      </c>
      <c r="L143" s="101"/>
      <c r="M143" s="101"/>
      <c r="N143" s="101"/>
      <c r="O143" s="101" t="s">
        <v>6028</v>
      </c>
      <c r="P143" s="107" t="s">
        <v>5394</v>
      </c>
      <c r="Q143" s="107" t="s">
        <v>5448</v>
      </c>
      <c r="R143" s="101" t="s">
        <v>3637</v>
      </c>
      <c r="S143" s="101" t="s">
        <v>3961</v>
      </c>
      <c r="T143" s="101"/>
      <c r="U143" s="107" t="s">
        <v>5521</v>
      </c>
      <c r="V143" s="101" t="s">
        <v>7120</v>
      </c>
      <c r="W143" s="107" t="s">
        <v>7121</v>
      </c>
      <c r="X143" s="101" t="s">
        <v>7122</v>
      </c>
      <c r="Y143" s="101" t="s">
        <v>5772</v>
      </c>
      <c r="Z143" s="101" t="s">
        <v>5442</v>
      </c>
      <c r="AA143" s="101" t="s">
        <v>7123</v>
      </c>
      <c r="AB143" s="107" t="s">
        <v>7124</v>
      </c>
      <c r="AC143" s="101" t="s">
        <v>7125</v>
      </c>
      <c r="AD143" s="101" t="s">
        <v>5772</v>
      </c>
      <c r="AE143" s="101" t="s">
        <v>5412</v>
      </c>
      <c r="AF143" s="101" t="s">
        <v>7038</v>
      </c>
      <c r="AG143" s="101"/>
      <c r="AH143" s="101">
        <v>1</v>
      </c>
      <c r="AI143" s="200" t="s">
        <v>7126</v>
      </c>
    </row>
    <row r="144" spans="1:35" ht="13.5" customHeight="1" x14ac:dyDescent="0.3">
      <c r="A144" s="106">
        <v>142</v>
      </c>
      <c r="B144" s="235" t="s">
        <v>7127</v>
      </c>
      <c r="C144" s="106" t="s">
        <v>1615</v>
      </c>
      <c r="D144" s="107" t="s">
        <v>5278</v>
      </c>
      <c r="E144" s="107" t="s">
        <v>7128</v>
      </c>
      <c r="F144" s="101" t="s">
        <v>2377</v>
      </c>
      <c r="G144" s="323">
        <v>40850</v>
      </c>
      <c r="H144" s="105" t="s">
        <v>53</v>
      </c>
      <c r="I144" s="237" t="s">
        <v>5396</v>
      </c>
      <c r="J144" s="107" t="s">
        <v>7129</v>
      </c>
      <c r="K144" s="107" t="s">
        <v>7130</v>
      </c>
      <c r="L144" s="101"/>
      <c r="M144" s="101"/>
      <c r="N144" s="101"/>
      <c r="O144" s="101" t="s">
        <v>6549</v>
      </c>
      <c r="P144" s="107" t="s">
        <v>5415</v>
      </c>
      <c r="Q144" s="107" t="s">
        <v>5520</v>
      </c>
      <c r="R144" s="101" t="s">
        <v>3637</v>
      </c>
      <c r="S144" s="101" t="s">
        <v>3961</v>
      </c>
      <c r="T144" s="101"/>
      <c r="U144" s="107" t="s">
        <v>5521</v>
      </c>
      <c r="V144" s="101" t="s">
        <v>7131</v>
      </c>
      <c r="W144" s="107" t="s">
        <v>7132</v>
      </c>
      <c r="X144" s="101" t="s">
        <v>7133</v>
      </c>
      <c r="Y144" s="101" t="s">
        <v>5772</v>
      </c>
      <c r="Z144" s="101" t="s">
        <v>5442</v>
      </c>
      <c r="AA144" s="101" t="s">
        <v>7134</v>
      </c>
      <c r="AB144" s="107" t="s">
        <v>7135</v>
      </c>
      <c r="AC144" s="101" t="s">
        <v>7136</v>
      </c>
      <c r="AD144" s="101" t="s">
        <v>6240</v>
      </c>
      <c r="AE144" s="101" t="s">
        <v>5412</v>
      </c>
      <c r="AF144" s="101" t="s">
        <v>7038</v>
      </c>
      <c r="AG144" s="219"/>
      <c r="AH144" s="101">
        <v>1</v>
      </c>
      <c r="AI144" s="200"/>
    </row>
    <row r="145" spans="1:35" ht="13.5" customHeight="1" x14ac:dyDescent="0.3">
      <c r="A145" s="203">
        <v>143</v>
      </c>
      <c r="B145" s="204" t="s">
        <v>7137</v>
      </c>
      <c r="C145" s="203" t="s">
        <v>1614</v>
      </c>
      <c r="D145" s="315" t="s">
        <v>5254</v>
      </c>
      <c r="E145" s="315">
        <v>3115115972</v>
      </c>
      <c r="F145" s="239" t="s">
        <v>2377</v>
      </c>
      <c r="G145" s="320">
        <v>40869</v>
      </c>
      <c r="H145" s="319" t="s">
        <v>53</v>
      </c>
      <c r="I145" s="210"/>
      <c r="J145" s="315" t="s">
        <v>7138</v>
      </c>
      <c r="K145" s="315" t="s">
        <v>7139</v>
      </c>
      <c r="L145" s="239" t="s">
        <v>7140</v>
      </c>
      <c r="M145" s="239"/>
      <c r="N145" s="239" t="s">
        <v>7141</v>
      </c>
      <c r="O145" s="239" t="s">
        <v>6211</v>
      </c>
      <c r="P145" s="315" t="s">
        <v>5415</v>
      </c>
      <c r="Q145" s="315" t="s">
        <v>5401</v>
      </c>
      <c r="R145" s="239" t="s">
        <v>3581</v>
      </c>
      <c r="S145" s="239" t="s">
        <v>5422</v>
      </c>
      <c r="T145" s="239"/>
      <c r="U145" s="239">
        <v>40562</v>
      </c>
      <c r="V145" s="239" t="s">
        <v>5297</v>
      </c>
      <c r="W145" s="315" t="s">
        <v>7142</v>
      </c>
      <c r="X145" s="239" t="s">
        <v>7143</v>
      </c>
      <c r="Y145" s="239" t="s">
        <v>5772</v>
      </c>
      <c r="Z145" s="239" t="s">
        <v>6393</v>
      </c>
      <c r="AA145" s="239" t="s">
        <v>7144</v>
      </c>
      <c r="AB145" s="315" t="s">
        <v>7145</v>
      </c>
      <c r="AC145" s="239" t="s">
        <v>7146</v>
      </c>
      <c r="AD145" s="239" t="s">
        <v>5785</v>
      </c>
      <c r="AE145" s="239" t="s">
        <v>5412</v>
      </c>
      <c r="AF145" s="239" t="s">
        <v>7147</v>
      </c>
      <c r="AG145" s="315"/>
      <c r="AH145" s="239">
        <v>1</v>
      </c>
      <c r="AI145" s="218" t="s">
        <v>7148</v>
      </c>
    </row>
    <row r="146" spans="1:35" ht="13.5" customHeight="1" x14ac:dyDescent="0.3">
      <c r="A146" s="203">
        <v>144</v>
      </c>
      <c r="B146" s="204" t="s">
        <v>7149</v>
      </c>
      <c r="C146" s="203" t="s">
        <v>1614</v>
      </c>
      <c r="D146" s="315" t="s">
        <v>5255</v>
      </c>
      <c r="E146" s="315">
        <v>3121610477</v>
      </c>
      <c r="F146" s="239" t="s">
        <v>2377</v>
      </c>
      <c r="G146" s="320">
        <v>40891</v>
      </c>
      <c r="H146" s="319" t="s">
        <v>53</v>
      </c>
      <c r="I146" s="210"/>
      <c r="J146" s="315" t="s">
        <v>7150</v>
      </c>
      <c r="K146" s="315" t="s">
        <v>7151</v>
      </c>
      <c r="L146" s="239" t="s">
        <v>7152</v>
      </c>
      <c r="M146" s="239"/>
      <c r="N146" s="239" t="s">
        <v>7153</v>
      </c>
      <c r="O146" s="239" t="s">
        <v>6211</v>
      </c>
      <c r="P146" s="315" t="s">
        <v>5415</v>
      </c>
      <c r="Q146" s="315" t="s">
        <v>5401</v>
      </c>
      <c r="R146" s="239" t="s">
        <v>3581</v>
      </c>
      <c r="S146" s="239" t="s">
        <v>5422</v>
      </c>
      <c r="T146" s="239"/>
      <c r="U146" s="239">
        <v>40562</v>
      </c>
      <c r="V146" s="239" t="s">
        <v>7154</v>
      </c>
      <c r="W146" s="315"/>
      <c r="X146" s="239"/>
      <c r="Y146" s="239"/>
      <c r="Z146" s="239"/>
      <c r="AA146" s="239" t="s">
        <v>7155</v>
      </c>
      <c r="AB146" s="315" t="s">
        <v>7156</v>
      </c>
      <c r="AC146" s="239" t="s">
        <v>7157</v>
      </c>
      <c r="AD146" s="239" t="s">
        <v>5772</v>
      </c>
      <c r="AE146" s="239" t="s">
        <v>5412</v>
      </c>
      <c r="AF146" s="239" t="s">
        <v>7147</v>
      </c>
      <c r="AG146" s="315"/>
      <c r="AH146" s="239">
        <v>2</v>
      </c>
      <c r="AI146" s="218" t="s">
        <v>7158</v>
      </c>
    </row>
    <row r="147" spans="1:35" ht="13.5" customHeight="1" x14ac:dyDescent="0.3">
      <c r="A147" s="203">
        <v>145</v>
      </c>
      <c r="B147" s="204" t="s">
        <v>7159</v>
      </c>
      <c r="C147" s="205" t="s">
        <v>1614</v>
      </c>
      <c r="D147" s="315" t="s">
        <v>5256</v>
      </c>
      <c r="E147" s="315">
        <v>3124475277</v>
      </c>
      <c r="F147" s="239" t="s">
        <v>2377</v>
      </c>
      <c r="G147" s="320">
        <v>40998</v>
      </c>
      <c r="H147" s="319" t="s">
        <v>52</v>
      </c>
      <c r="I147" s="210"/>
      <c r="J147" s="315" t="s">
        <v>7160</v>
      </c>
      <c r="K147" s="315" t="s">
        <v>7161</v>
      </c>
      <c r="L147" s="239" t="s">
        <v>7162</v>
      </c>
      <c r="M147" s="239"/>
      <c r="N147" s="239" t="s">
        <v>7163</v>
      </c>
      <c r="O147" s="239" t="s">
        <v>5420</v>
      </c>
      <c r="P147" s="315" t="s">
        <v>5432</v>
      </c>
      <c r="Q147" s="315" t="s">
        <v>5421</v>
      </c>
      <c r="R147" s="239" t="s">
        <v>3581</v>
      </c>
      <c r="S147" s="239" t="s">
        <v>5422</v>
      </c>
      <c r="T147" s="239"/>
      <c r="U147" s="239">
        <v>40562</v>
      </c>
      <c r="V147" s="239" t="s">
        <v>7164</v>
      </c>
      <c r="W147" s="315" t="s">
        <v>7165</v>
      </c>
      <c r="X147" s="239" t="s">
        <v>7166</v>
      </c>
      <c r="Y147" s="239" t="s">
        <v>5772</v>
      </c>
      <c r="Z147" s="239" t="s">
        <v>6393</v>
      </c>
      <c r="AA147" s="239" t="s">
        <v>7167</v>
      </c>
      <c r="AB147" s="315" t="s">
        <v>7168</v>
      </c>
      <c r="AC147" s="239" t="s">
        <v>7169</v>
      </c>
      <c r="AD147" s="239" t="s">
        <v>5772</v>
      </c>
      <c r="AE147" s="239" t="s">
        <v>5412</v>
      </c>
      <c r="AF147" s="239" t="s">
        <v>7147</v>
      </c>
      <c r="AG147" s="239"/>
      <c r="AH147" s="239">
        <v>1</v>
      </c>
      <c r="AI147" s="218" t="s">
        <v>7170</v>
      </c>
    </row>
    <row r="148" spans="1:35" ht="13.5" customHeight="1" x14ac:dyDescent="0.3">
      <c r="A148" s="203">
        <v>146</v>
      </c>
      <c r="B148" s="204" t="s">
        <v>7171</v>
      </c>
      <c r="C148" s="203" t="s">
        <v>1615</v>
      </c>
      <c r="D148" s="315" t="s">
        <v>5279</v>
      </c>
      <c r="E148" s="315">
        <v>3124195861</v>
      </c>
      <c r="F148" s="239" t="s">
        <v>2377</v>
      </c>
      <c r="G148" s="320">
        <v>40878</v>
      </c>
      <c r="H148" s="319" t="s">
        <v>53</v>
      </c>
      <c r="I148" s="210"/>
      <c r="J148" s="315" t="s">
        <v>7172</v>
      </c>
      <c r="K148" s="315" t="s">
        <v>7173</v>
      </c>
      <c r="L148" s="239" t="s">
        <v>7174</v>
      </c>
      <c r="M148" s="239"/>
      <c r="N148" s="239" t="s">
        <v>7175</v>
      </c>
      <c r="O148" s="239" t="s">
        <v>6211</v>
      </c>
      <c r="P148" s="315" t="s">
        <v>5415</v>
      </c>
      <c r="Q148" s="315" t="s">
        <v>5401</v>
      </c>
      <c r="R148" s="239" t="s">
        <v>3581</v>
      </c>
      <c r="S148" s="239" t="s">
        <v>5422</v>
      </c>
      <c r="T148" s="239"/>
      <c r="U148" s="239">
        <v>40562</v>
      </c>
      <c r="V148" s="239" t="s">
        <v>7176</v>
      </c>
      <c r="W148" s="315" t="s">
        <v>7177</v>
      </c>
      <c r="X148" s="239" t="s">
        <v>7178</v>
      </c>
      <c r="Y148" s="239" t="s">
        <v>5904</v>
      </c>
      <c r="Z148" s="239" t="s">
        <v>6393</v>
      </c>
      <c r="AA148" s="239" t="s">
        <v>7179</v>
      </c>
      <c r="AB148" s="315" t="s">
        <v>7180</v>
      </c>
      <c r="AC148" s="239" t="s">
        <v>7181</v>
      </c>
      <c r="AD148" s="239" t="s">
        <v>5772</v>
      </c>
      <c r="AE148" s="239" t="s">
        <v>5412</v>
      </c>
      <c r="AF148" s="239" t="s">
        <v>7147</v>
      </c>
      <c r="AG148" s="239"/>
      <c r="AH148" s="239">
        <v>2</v>
      </c>
      <c r="AI148" s="218" t="s">
        <v>7182</v>
      </c>
    </row>
    <row r="149" spans="1:35" ht="13.5" customHeight="1" x14ac:dyDescent="0.3">
      <c r="A149" s="203">
        <v>147</v>
      </c>
      <c r="B149" s="204" t="s">
        <v>7183</v>
      </c>
      <c r="C149" s="203" t="s">
        <v>1615</v>
      </c>
      <c r="D149" s="315" t="s">
        <v>5360</v>
      </c>
      <c r="E149" s="315">
        <v>3118599321</v>
      </c>
      <c r="F149" s="239" t="s">
        <v>3995</v>
      </c>
      <c r="G149" s="345">
        <v>40834</v>
      </c>
      <c r="H149" s="319" t="s">
        <v>53</v>
      </c>
      <c r="I149" s="210"/>
      <c r="J149" s="315" t="s">
        <v>7184</v>
      </c>
      <c r="K149" s="315" t="s">
        <v>7185</v>
      </c>
      <c r="L149" s="320" t="s">
        <v>7186</v>
      </c>
      <c r="M149" s="239"/>
      <c r="N149" s="239" t="s">
        <v>7187</v>
      </c>
      <c r="O149" s="239" t="s">
        <v>6211</v>
      </c>
      <c r="P149" s="315" t="s">
        <v>5415</v>
      </c>
      <c r="Q149" s="315" t="s">
        <v>5401</v>
      </c>
      <c r="R149" s="239" t="s">
        <v>3581</v>
      </c>
      <c r="S149" s="239" t="s">
        <v>5422</v>
      </c>
      <c r="T149" s="239"/>
      <c r="U149" s="239">
        <v>40562</v>
      </c>
      <c r="V149" s="239" t="s">
        <v>1151</v>
      </c>
      <c r="W149" s="315" t="s">
        <v>7188</v>
      </c>
      <c r="X149" s="239" t="s">
        <v>7189</v>
      </c>
      <c r="Y149" s="239" t="s">
        <v>5772</v>
      </c>
      <c r="Z149" s="239" t="s">
        <v>6393</v>
      </c>
      <c r="AA149" s="239" t="s">
        <v>7190</v>
      </c>
      <c r="AB149" s="315" t="s">
        <v>7191</v>
      </c>
      <c r="AC149" s="239" t="s">
        <v>7192</v>
      </c>
      <c r="AD149" s="239" t="s">
        <v>5904</v>
      </c>
      <c r="AE149" s="239" t="s">
        <v>5412</v>
      </c>
      <c r="AF149" s="239" t="s">
        <v>7147</v>
      </c>
      <c r="AG149" s="315"/>
      <c r="AH149" s="239">
        <v>1</v>
      </c>
      <c r="AI149" s="218" t="s">
        <v>7193</v>
      </c>
    </row>
    <row r="150" spans="1:35" ht="13.5" customHeight="1" x14ac:dyDescent="0.3">
      <c r="A150" s="203">
        <v>148</v>
      </c>
      <c r="B150" s="204" t="s">
        <v>7194</v>
      </c>
      <c r="C150" s="205" t="s">
        <v>1614</v>
      </c>
      <c r="D150" s="315" t="s">
        <v>5257</v>
      </c>
      <c r="E150" s="315">
        <v>3111409552</v>
      </c>
      <c r="F150" s="239" t="s">
        <v>2377</v>
      </c>
      <c r="G150" s="320">
        <v>40721</v>
      </c>
      <c r="H150" s="319" t="s">
        <v>52</v>
      </c>
      <c r="I150" s="210"/>
      <c r="J150" s="315" t="s">
        <v>7195</v>
      </c>
      <c r="K150" s="315" t="s">
        <v>7196</v>
      </c>
      <c r="L150" s="239" t="s">
        <v>7197</v>
      </c>
      <c r="M150" s="239"/>
      <c r="N150" s="239" t="s">
        <v>7198</v>
      </c>
      <c r="O150" s="239" t="s">
        <v>5507</v>
      </c>
      <c r="P150" s="315" t="s">
        <v>5432</v>
      </c>
      <c r="Q150" s="315" t="s">
        <v>5401</v>
      </c>
      <c r="R150" s="239" t="s">
        <v>3581</v>
      </c>
      <c r="S150" s="239" t="s">
        <v>5422</v>
      </c>
      <c r="T150" s="239"/>
      <c r="U150" s="239">
        <v>40562</v>
      </c>
      <c r="V150" s="239" t="s">
        <v>7199</v>
      </c>
      <c r="W150" s="315" t="s">
        <v>7200</v>
      </c>
      <c r="X150" s="239" t="s">
        <v>7201</v>
      </c>
      <c r="Y150" s="239" t="s">
        <v>5772</v>
      </c>
      <c r="Z150" s="239" t="s">
        <v>6393</v>
      </c>
      <c r="AA150" s="239" t="s">
        <v>2847</v>
      </c>
      <c r="AB150" s="315" t="s">
        <v>7202</v>
      </c>
      <c r="AC150" s="239" t="s">
        <v>7203</v>
      </c>
      <c r="AD150" s="239" t="s">
        <v>5904</v>
      </c>
      <c r="AE150" s="239" t="s">
        <v>5412</v>
      </c>
      <c r="AF150" s="239" t="s">
        <v>7147</v>
      </c>
      <c r="AG150" s="239"/>
      <c r="AH150" s="239">
        <v>3</v>
      </c>
      <c r="AI150" s="218" t="s">
        <v>7204</v>
      </c>
    </row>
    <row r="151" spans="1:35" ht="13.5" customHeight="1" x14ac:dyDescent="0.3">
      <c r="A151" s="203">
        <v>149</v>
      </c>
      <c r="B151" s="204" t="s">
        <v>7205</v>
      </c>
      <c r="C151" s="203" t="s">
        <v>1616</v>
      </c>
      <c r="D151" s="315" t="s">
        <v>5309</v>
      </c>
      <c r="E151" s="315">
        <v>3111365221</v>
      </c>
      <c r="F151" s="239" t="s">
        <v>2377</v>
      </c>
      <c r="G151" s="320">
        <v>40701</v>
      </c>
      <c r="H151" s="319" t="s">
        <v>53</v>
      </c>
      <c r="I151" s="210"/>
      <c r="J151" s="315" t="s">
        <v>7206</v>
      </c>
      <c r="K151" s="315" t="s">
        <v>7207</v>
      </c>
      <c r="L151" s="239" t="s">
        <v>7208</v>
      </c>
      <c r="M151" s="239"/>
      <c r="N151" s="239" t="s">
        <v>7209</v>
      </c>
      <c r="O151" s="239" t="s">
        <v>5507</v>
      </c>
      <c r="P151" s="315" t="s">
        <v>5432</v>
      </c>
      <c r="Q151" s="315" t="s">
        <v>5401</v>
      </c>
      <c r="R151" s="239" t="s">
        <v>3581</v>
      </c>
      <c r="S151" s="239" t="s">
        <v>5422</v>
      </c>
      <c r="T151" s="239"/>
      <c r="U151" s="239">
        <v>40533</v>
      </c>
      <c r="V151" s="239" t="s">
        <v>7210</v>
      </c>
      <c r="W151" s="315" t="s">
        <v>7211</v>
      </c>
      <c r="X151" s="239" t="s">
        <v>7212</v>
      </c>
      <c r="Y151" s="239" t="s">
        <v>5772</v>
      </c>
      <c r="Z151" s="239" t="s">
        <v>6393</v>
      </c>
      <c r="AA151" s="239" t="s">
        <v>7213</v>
      </c>
      <c r="AB151" s="315" t="s">
        <v>7214</v>
      </c>
      <c r="AC151" s="239" t="s">
        <v>7215</v>
      </c>
      <c r="AD151" s="239" t="s">
        <v>5785</v>
      </c>
      <c r="AE151" s="239" t="s">
        <v>5412</v>
      </c>
      <c r="AF151" s="239" t="s">
        <v>7147</v>
      </c>
      <c r="AG151" s="315"/>
      <c r="AH151" s="239">
        <v>1</v>
      </c>
      <c r="AI151" s="218" t="s">
        <v>7216</v>
      </c>
    </row>
    <row r="152" spans="1:35" ht="13.5" customHeight="1" x14ac:dyDescent="0.3">
      <c r="A152" s="203">
        <v>150</v>
      </c>
      <c r="B152" s="204" t="s">
        <v>7217</v>
      </c>
      <c r="C152" s="203" t="s">
        <v>1617</v>
      </c>
      <c r="D152" s="346" t="s">
        <v>5338</v>
      </c>
      <c r="E152" s="315">
        <v>3126093102</v>
      </c>
      <c r="F152" s="239" t="s">
        <v>2377</v>
      </c>
      <c r="G152" s="320">
        <v>40940</v>
      </c>
      <c r="H152" s="319" t="s">
        <v>53</v>
      </c>
      <c r="I152" s="210"/>
      <c r="J152" s="315" t="s">
        <v>7218</v>
      </c>
      <c r="K152" s="315" t="s">
        <v>7219</v>
      </c>
      <c r="L152" s="239" t="s">
        <v>7220</v>
      </c>
      <c r="M152" s="239"/>
      <c r="N152" s="239" t="s">
        <v>7221</v>
      </c>
      <c r="O152" s="239" t="s">
        <v>6365</v>
      </c>
      <c r="P152" s="315" t="s">
        <v>5394</v>
      </c>
      <c r="Q152" s="315" t="s">
        <v>5584</v>
      </c>
      <c r="R152" s="239" t="s">
        <v>3581</v>
      </c>
      <c r="S152" s="239" t="s">
        <v>5422</v>
      </c>
      <c r="T152" s="239"/>
      <c r="U152" s="239">
        <v>40562</v>
      </c>
      <c r="V152" s="239" t="s">
        <v>7222</v>
      </c>
      <c r="W152" s="315" t="s">
        <v>7223</v>
      </c>
      <c r="X152" s="239" t="s">
        <v>7224</v>
      </c>
      <c r="Y152" s="239" t="s">
        <v>5904</v>
      </c>
      <c r="Z152" s="239" t="s">
        <v>6393</v>
      </c>
      <c r="AA152" s="239" t="s">
        <v>7225</v>
      </c>
      <c r="AB152" s="315" t="s">
        <v>7226</v>
      </c>
      <c r="AC152" s="239" t="s">
        <v>7227</v>
      </c>
      <c r="AD152" s="239" t="s">
        <v>5772</v>
      </c>
      <c r="AE152" s="239" t="s">
        <v>5412</v>
      </c>
      <c r="AF152" s="239" t="s">
        <v>7147</v>
      </c>
      <c r="AG152" s="239"/>
      <c r="AH152" s="239">
        <v>1</v>
      </c>
      <c r="AI152" s="218" t="s">
        <v>7228</v>
      </c>
    </row>
    <row r="153" spans="1:35" ht="13.5" customHeight="1" x14ac:dyDescent="0.3">
      <c r="A153" s="203">
        <v>151</v>
      </c>
      <c r="B153" s="204" t="s">
        <v>7229</v>
      </c>
      <c r="C153" s="203" t="s">
        <v>1617</v>
      </c>
      <c r="D153" s="241" t="s">
        <v>5339</v>
      </c>
      <c r="E153" s="315">
        <v>3125018145</v>
      </c>
      <c r="F153" s="239" t="s">
        <v>2377</v>
      </c>
      <c r="G153" s="320">
        <v>40914</v>
      </c>
      <c r="H153" s="319" t="s">
        <v>52</v>
      </c>
      <c r="I153" s="210"/>
      <c r="J153" s="315" t="s">
        <v>7230</v>
      </c>
      <c r="K153" s="315" t="s">
        <v>7231</v>
      </c>
      <c r="L153" s="239"/>
      <c r="M153" s="239"/>
      <c r="N153" s="239" t="s">
        <v>7232</v>
      </c>
      <c r="O153" s="239" t="s">
        <v>7233</v>
      </c>
      <c r="P153" s="315" t="s">
        <v>5448</v>
      </c>
      <c r="Q153" s="315" t="s">
        <v>5584</v>
      </c>
      <c r="R153" s="239" t="s">
        <v>3581</v>
      </c>
      <c r="S153" s="239" t="s">
        <v>5422</v>
      </c>
      <c r="T153" s="239"/>
      <c r="U153" s="239">
        <v>40562</v>
      </c>
      <c r="V153" s="239" t="s">
        <v>7234</v>
      </c>
      <c r="W153" s="315" t="s">
        <v>7235</v>
      </c>
      <c r="X153" s="239" t="s">
        <v>7236</v>
      </c>
      <c r="Y153" s="239" t="s">
        <v>5772</v>
      </c>
      <c r="Z153" s="239" t="s">
        <v>6393</v>
      </c>
      <c r="AA153" s="239" t="s">
        <v>7237</v>
      </c>
      <c r="AB153" s="315" t="s">
        <v>7238</v>
      </c>
      <c r="AC153" s="239" t="s">
        <v>7239</v>
      </c>
      <c r="AD153" s="239" t="s">
        <v>5904</v>
      </c>
      <c r="AE153" s="239" t="s">
        <v>5412</v>
      </c>
      <c r="AF153" s="239" t="s">
        <v>7147</v>
      </c>
      <c r="AG153" s="315" t="s">
        <v>7240</v>
      </c>
      <c r="AH153" s="239"/>
      <c r="AI153" s="218" t="s">
        <v>7241</v>
      </c>
    </row>
    <row r="154" spans="1:35" ht="13.5" customHeight="1" x14ac:dyDescent="0.3">
      <c r="A154" s="203">
        <v>152</v>
      </c>
      <c r="B154" s="204" t="s">
        <v>7242</v>
      </c>
      <c r="C154" s="203" t="s">
        <v>1616</v>
      </c>
      <c r="D154" s="239" t="s">
        <v>5310</v>
      </c>
      <c r="E154" s="315">
        <v>3115138819</v>
      </c>
      <c r="F154" s="239" t="s">
        <v>2377</v>
      </c>
      <c r="G154" s="320">
        <v>41226</v>
      </c>
      <c r="H154" s="319" t="s">
        <v>53</v>
      </c>
      <c r="I154" s="210"/>
      <c r="J154" s="315" t="s">
        <v>7243</v>
      </c>
      <c r="K154" s="315" t="s">
        <v>7244</v>
      </c>
      <c r="L154" s="239" t="s">
        <v>7245</v>
      </c>
      <c r="M154" s="239"/>
      <c r="N154" s="239" t="s">
        <v>7246</v>
      </c>
      <c r="O154" s="239" t="s">
        <v>5420</v>
      </c>
      <c r="P154" s="315" t="s">
        <v>5394</v>
      </c>
      <c r="Q154" s="315" t="s">
        <v>5421</v>
      </c>
      <c r="R154" s="239" t="s">
        <v>3581</v>
      </c>
      <c r="S154" s="239" t="s">
        <v>5422</v>
      </c>
      <c r="T154" s="239"/>
      <c r="U154" s="239">
        <v>40562</v>
      </c>
      <c r="V154" s="239" t="s">
        <v>3985</v>
      </c>
      <c r="W154" s="315" t="s">
        <v>7247</v>
      </c>
      <c r="X154" s="239" t="s">
        <v>7248</v>
      </c>
      <c r="Y154" s="239" t="s">
        <v>5904</v>
      </c>
      <c r="Z154" s="239" t="s">
        <v>6393</v>
      </c>
      <c r="AA154" s="239" t="s">
        <v>7249</v>
      </c>
      <c r="AB154" s="315" t="s">
        <v>7250</v>
      </c>
      <c r="AC154" s="239" t="s">
        <v>7251</v>
      </c>
      <c r="AD154" s="239" t="s">
        <v>5772</v>
      </c>
      <c r="AE154" s="239" t="s">
        <v>5412</v>
      </c>
      <c r="AF154" s="239" t="s">
        <v>7147</v>
      </c>
      <c r="AG154" s="315" t="s">
        <v>7252</v>
      </c>
      <c r="AH154" s="239">
        <v>1</v>
      </c>
      <c r="AI154" s="218" t="s">
        <v>7253</v>
      </c>
    </row>
    <row r="155" spans="1:35" ht="13.5" customHeight="1" x14ac:dyDescent="0.3">
      <c r="A155" s="203">
        <v>153</v>
      </c>
      <c r="B155" s="204" t="s">
        <v>7254</v>
      </c>
      <c r="C155" s="203" t="s">
        <v>1616</v>
      </c>
      <c r="D155" s="239" t="s">
        <v>5311</v>
      </c>
      <c r="E155" s="315">
        <v>3129668220</v>
      </c>
      <c r="F155" s="239" t="s">
        <v>2377</v>
      </c>
      <c r="G155" s="320">
        <v>40900</v>
      </c>
      <c r="H155" s="319" t="s">
        <v>53</v>
      </c>
      <c r="I155" s="210"/>
      <c r="J155" s="315" t="s">
        <v>7255</v>
      </c>
      <c r="K155" s="315" t="s">
        <v>7256</v>
      </c>
      <c r="L155" s="239" t="s">
        <v>7257</v>
      </c>
      <c r="M155" s="239"/>
      <c r="N155" s="239" t="s">
        <v>7258</v>
      </c>
      <c r="O155" s="239" t="s">
        <v>5420</v>
      </c>
      <c r="P155" s="315" t="s">
        <v>5448</v>
      </c>
      <c r="Q155" s="315" t="s">
        <v>5421</v>
      </c>
      <c r="R155" s="239" t="s">
        <v>3581</v>
      </c>
      <c r="S155" s="239" t="s">
        <v>5422</v>
      </c>
      <c r="T155" s="239"/>
      <c r="U155" s="239">
        <v>40562</v>
      </c>
      <c r="V155" s="239" t="s">
        <v>7259</v>
      </c>
      <c r="W155" s="315" t="s">
        <v>7260</v>
      </c>
      <c r="X155" s="239" t="s">
        <v>7261</v>
      </c>
      <c r="Y155" s="239" t="s">
        <v>5785</v>
      </c>
      <c r="Z155" s="239" t="s">
        <v>6393</v>
      </c>
      <c r="AA155" s="239" t="s">
        <v>7262</v>
      </c>
      <c r="AB155" s="315" t="s">
        <v>7263</v>
      </c>
      <c r="AC155" s="239" t="s">
        <v>7264</v>
      </c>
      <c r="AD155" s="239" t="s">
        <v>5785</v>
      </c>
      <c r="AE155" s="239" t="s">
        <v>5412</v>
      </c>
      <c r="AF155" s="239" t="s">
        <v>7147</v>
      </c>
      <c r="AG155" s="315" t="s">
        <v>7265</v>
      </c>
      <c r="AH155" s="239">
        <v>1</v>
      </c>
      <c r="AI155" s="218" t="s">
        <v>7266</v>
      </c>
    </row>
    <row r="156" spans="1:35" ht="13.5" customHeight="1" x14ac:dyDescent="0.3">
      <c r="A156" s="203">
        <v>154</v>
      </c>
      <c r="B156" s="204" t="s">
        <v>7267</v>
      </c>
      <c r="C156" s="203" t="s">
        <v>1616</v>
      </c>
      <c r="D156" s="239" t="s">
        <v>5312</v>
      </c>
      <c r="E156" s="315">
        <v>3118944408</v>
      </c>
      <c r="F156" s="239" t="s">
        <v>2352</v>
      </c>
      <c r="G156" s="320">
        <v>40798</v>
      </c>
      <c r="H156" s="319" t="s">
        <v>53</v>
      </c>
      <c r="I156" s="210"/>
      <c r="J156" s="315" t="s">
        <v>7268</v>
      </c>
      <c r="K156" s="315" t="s">
        <v>7269</v>
      </c>
      <c r="L156" s="239"/>
      <c r="M156" s="239"/>
      <c r="N156" s="239" t="s">
        <v>7270</v>
      </c>
      <c r="O156" s="239" t="s">
        <v>5420</v>
      </c>
      <c r="P156" s="315" t="s">
        <v>5156</v>
      </c>
      <c r="Q156" s="315" t="s">
        <v>5421</v>
      </c>
      <c r="R156" s="239" t="s">
        <v>3581</v>
      </c>
      <c r="S156" s="239" t="s">
        <v>5422</v>
      </c>
      <c r="T156" s="239"/>
      <c r="U156" s="239">
        <v>40562</v>
      </c>
      <c r="V156" s="239" t="s">
        <v>4184</v>
      </c>
      <c r="W156" s="315" t="s">
        <v>7271</v>
      </c>
      <c r="X156" s="239" t="s">
        <v>7272</v>
      </c>
      <c r="Y156" s="239" t="s">
        <v>5904</v>
      </c>
      <c r="Z156" s="239" t="s">
        <v>6393</v>
      </c>
      <c r="AA156" s="239" t="s">
        <v>7273</v>
      </c>
      <c r="AB156" s="315" t="s">
        <v>7274</v>
      </c>
      <c r="AC156" s="239" t="s">
        <v>7275</v>
      </c>
      <c r="AD156" s="239" t="s">
        <v>5904</v>
      </c>
      <c r="AE156" s="239" t="s">
        <v>5412</v>
      </c>
      <c r="AF156" s="239" t="s">
        <v>7147</v>
      </c>
      <c r="AG156" s="315" t="s">
        <v>7276</v>
      </c>
      <c r="AH156" s="239"/>
      <c r="AI156" s="218" t="s">
        <v>7277</v>
      </c>
    </row>
    <row r="157" spans="1:35" ht="13.5" customHeight="1" x14ac:dyDescent="0.3">
      <c r="A157" s="203">
        <v>155</v>
      </c>
      <c r="B157" s="204" t="s">
        <v>7278</v>
      </c>
      <c r="C157" s="203" t="s">
        <v>1617</v>
      </c>
      <c r="D157" s="241" t="s">
        <v>5340</v>
      </c>
      <c r="E157" s="315">
        <v>3120650298</v>
      </c>
      <c r="F157" s="239" t="s">
        <v>2377</v>
      </c>
      <c r="G157" s="320">
        <v>41013</v>
      </c>
      <c r="H157" s="319" t="s">
        <v>52</v>
      </c>
      <c r="I157" s="210"/>
      <c r="J157" s="315" t="s">
        <v>7279</v>
      </c>
      <c r="K157" s="315" t="s">
        <v>7280</v>
      </c>
      <c r="L157" s="239" t="s">
        <v>7281</v>
      </c>
      <c r="M157" s="239"/>
      <c r="N157" s="239" t="s">
        <v>7282</v>
      </c>
      <c r="O157" s="239" t="s">
        <v>5420</v>
      </c>
      <c r="P157" s="315" t="s">
        <v>5448</v>
      </c>
      <c r="Q157" s="315" t="s">
        <v>5421</v>
      </c>
      <c r="R157" s="239" t="s">
        <v>3581</v>
      </c>
      <c r="S157" s="239" t="s">
        <v>5422</v>
      </c>
      <c r="T157" s="239"/>
      <c r="U157" s="239">
        <v>40562</v>
      </c>
      <c r="V157" s="239" t="s">
        <v>7283</v>
      </c>
      <c r="W157" s="315" t="s">
        <v>7284</v>
      </c>
      <c r="X157" s="239" t="s">
        <v>7285</v>
      </c>
      <c r="Y157" s="239" t="s">
        <v>5785</v>
      </c>
      <c r="Z157" s="239" t="s">
        <v>6393</v>
      </c>
      <c r="AA157" s="239" t="s">
        <v>7286</v>
      </c>
      <c r="AB157" s="315" t="s">
        <v>7287</v>
      </c>
      <c r="AC157" s="239" t="s">
        <v>7288</v>
      </c>
      <c r="AD157" s="239" t="s">
        <v>5772</v>
      </c>
      <c r="AE157" s="239" t="s">
        <v>5412</v>
      </c>
      <c r="AF157" s="239" t="s">
        <v>7147</v>
      </c>
      <c r="AG157" s="315" t="s">
        <v>7289</v>
      </c>
      <c r="AH157" s="239">
        <v>2</v>
      </c>
      <c r="AI157" s="218" t="s">
        <v>7290</v>
      </c>
    </row>
    <row r="158" spans="1:35" ht="13.5" customHeight="1" x14ac:dyDescent="0.3">
      <c r="A158" s="203">
        <v>156</v>
      </c>
      <c r="B158" s="204" t="s">
        <v>7291</v>
      </c>
      <c r="C158" s="203" t="s">
        <v>1616</v>
      </c>
      <c r="D158" s="239" t="s">
        <v>5313</v>
      </c>
      <c r="E158" s="315">
        <v>3116947292</v>
      </c>
      <c r="F158" s="239" t="s">
        <v>2377</v>
      </c>
      <c r="G158" s="320">
        <v>40899</v>
      </c>
      <c r="H158" s="319" t="s">
        <v>53</v>
      </c>
      <c r="I158" s="210"/>
      <c r="J158" s="315" t="s">
        <v>7292</v>
      </c>
      <c r="K158" s="315" t="s">
        <v>7293</v>
      </c>
      <c r="L158" s="239" t="s">
        <v>7294</v>
      </c>
      <c r="M158" s="239"/>
      <c r="N158" s="239" t="s">
        <v>7295</v>
      </c>
      <c r="O158" s="239" t="s">
        <v>2986</v>
      </c>
      <c r="P158" s="315" t="s">
        <v>5394</v>
      </c>
      <c r="Q158" s="315" t="s">
        <v>5556</v>
      </c>
      <c r="R158" s="239" t="s">
        <v>3581</v>
      </c>
      <c r="S158" s="239" t="s">
        <v>5422</v>
      </c>
      <c r="T158" s="239"/>
      <c r="U158" s="239">
        <v>40562</v>
      </c>
      <c r="V158" s="239" t="s">
        <v>476</v>
      </c>
      <c r="W158" s="315" t="s">
        <v>7296</v>
      </c>
      <c r="X158" s="239" t="s">
        <v>7297</v>
      </c>
      <c r="Y158" s="347" t="s">
        <v>5904</v>
      </c>
      <c r="Z158" s="239" t="s">
        <v>6393</v>
      </c>
      <c r="AA158" s="239" t="s">
        <v>7298</v>
      </c>
      <c r="AB158" s="315" t="s">
        <v>7299</v>
      </c>
      <c r="AC158" s="239" t="s">
        <v>7300</v>
      </c>
      <c r="AD158" s="239" t="s">
        <v>5904</v>
      </c>
      <c r="AE158" s="239" t="s">
        <v>5412</v>
      </c>
      <c r="AF158" s="239" t="s">
        <v>7147</v>
      </c>
      <c r="AG158" s="315" t="s">
        <v>7301</v>
      </c>
      <c r="AH158" s="239">
        <v>5</v>
      </c>
      <c r="AI158" s="218" t="s">
        <v>7302</v>
      </c>
    </row>
    <row r="159" spans="1:35" ht="13.5" customHeight="1" x14ac:dyDescent="0.3">
      <c r="A159" s="203">
        <v>157</v>
      </c>
      <c r="B159" s="204" t="s">
        <v>7303</v>
      </c>
      <c r="C159" s="203" t="s">
        <v>1616</v>
      </c>
      <c r="D159" s="239" t="s">
        <v>5314</v>
      </c>
      <c r="E159" s="315">
        <v>3119272845</v>
      </c>
      <c r="F159" s="239" t="s">
        <v>2377</v>
      </c>
      <c r="G159" s="320">
        <v>40854</v>
      </c>
      <c r="H159" s="319" t="s">
        <v>53</v>
      </c>
      <c r="I159" s="210"/>
      <c r="J159" s="315" t="s">
        <v>7304</v>
      </c>
      <c r="K159" s="315" t="s">
        <v>7305</v>
      </c>
      <c r="L159" s="239" t="s">
        <v>7306</v>
      </c>
      <c r="M159" s="239"/>
      <c r="N159" s="239" t="s">
        <v>7307</v>
      </c>
      <c r="O159" s="239" t="s">
        <v>2986</v>
      </c>
      <c r="P159" s="315" t="s">
        <v>7308</v>
      </c>
      <c r="Q159" s="315" t="s">
        <v>7309</v>
      </c>
      <c r="R159" s="239" t="s">
        <v>3581</v>
      </c>
      <c r="S159" s="239" t="s">
        <v>5422</v>
      </c>
      <c r="T159" s="239"/>
      <c r="U159" s="239">
        <v>40562</v>
      </c>
      <c r="V159" s="239" t="s">
        <v>7310</v>
      </c>
      <c r="W159" s="315" t="s">
        <v>7311</v>
      </c>
      <c r="X159" s="239" t="s">
        <v>7312</v>
      </c>
      <c r="Y159" s="239" t="s">
        <v>5904</v>
      </c>
      <c r="Z159" s="239" t="s">
        <v>6393</v>
      </c>
      <c r="AA159" s="239" t="s">
        <v>4063</v>
      </c>
      <c r="AB159" s="315" t="s">
        <v>7313</v>
      </c>
      <c r="AC159" s="239" t="s">
        <v>7314</v>
      </c>
      <c r="AD159" s="239" t="s">
        <v>5904</v>
      </c>
      <c r="AE159" s="239" t="s">
        <v>5412</v>
      </c>
      <c r="AF159" s="239" t="s">
        <v>7147</v>
      </c>
      <c r="AG159" s="315" t="s">
        <v>7315</v>
      </c>
      <c r="AH159" s="239">
        <v>5</v>
      </c>
      <c r="AI159" s="218"/>
    </row>
    <row r="160" spans="1:35" ht="13.5" customHeight="1" x14ac:dyDescent="0.3">
      <c r="A160" s="203">
        <v>158</v>
      </c>
      <c r="B160" s="204" t="s">
        <v>7316</v>
      </c>
      <c r="C160" s="203" t="s">
        <v>1616</v>
      </c>
      <c r="D160" s="239" t="s">
        <v>5315</v>
      </c>
      <c r="E160" s="315">
        <v>3112823108</v>
      </c>
      <c r="F160" s="239" t="s">
        <v>2352</v>
      </c>
      <c r="G160" s="320">
        <v>40722</v>
      </c>
      <c r="H160" s="319" t="s">
        <v>53</v>
      </c>
      <c r="I160" s="210"/>
      <c r="J160" s="315" t="s">
        <v>7317</v>
      </c>
      <c r="K160" s="315" t="s">
        <v>7318</v>
      </c>
      <c r="L160" s="239" t="s">
        <v>7319</v>
      </c>
      <c r="M160" s="239"/>
      <c r="N160" s="239" t="s">
        <v>7320</v>
      </c>
      <c r="O160" s="239" t="s">
        <v>7233</v>
      </c>
      <c r="P160" s="315" t="s">
        <v>5448</v>
      </c>
      <c r="Q160" s="315" t="s">
        <v>7321</v>
      </c>
      <c r="R160" s="239" t="s">
        <v>3581</v>
      </c>
      <c r="S160" s="239" t="s">
        <v>5422</v>
      </c>
      <c r="T160" s="239"/>
      <c r="U160" s="239">
        <v>40562</v>
      </c>
      <c r="V160" s="239" t="s">
        <v>7322</v>
      </c>
      <c r="W160" s="315" t="s">
        <v>7323</v>
      </c>
      <c r="X160" s="239" t="s">
        <v>7324</v>
      </c>
      <c r="Y160" s="239" t="s">
        <v>5904</v>
      </c>
      <c r="Z160" s="239" t="s">
        <v>6393</v>
      </c>
      <c r="AA160" s="239" t="s">
        <v>7325</v>
      </c>
      <c r="AB160" s="315" t="s">
        <v>7326</v>
      </c>
      <c r="AC160" s="239" t="s">
        <v>7327</v>
      </c>
      <c r="AD160" s="239" t="s">
        <v>5904</v>
      </c>
      <c r="AE160" s="239" t="s">
        <v>5412</v>
      </c>
      <c r="AF160" s="239" t="s">
        <v>7147</v>
      </c>
      <c r="AG160" s="239"/>
      <c r="AH160" s="239">
        <v>2</v>
      </c>
      <c r="AI160" s="218" t="s">
        <v>7328</v>
      </c>
    </row>
    <row r="161" spans="1:35" ht="13.5" customHeight="1" x14ac:dyDescent="0.3">
      <c r="A161" s="203">
        <v>159</v>
      </c>
      <c r="B161" s="204" t="s">
        <v>7329</v>
      </c>
      <c r="C161" s="203" t="s">
        <v>1615</v>
      </c>
      <c r="D161" s="239" t="s">
        <v>5280</v>
      </c>
      <c r="E161" s="315" t="s">
        <v>7330</v>
      </c>
      <c r="F161" s="239" t="s">
        <v>2377</v>
      </c>
      <c r="G161" s="320">
        <v>40889</v>
      </c>
      <c r="H161" s="319" t="s">
        <v>52</v>
      </c>
      <c r="I161" s="210"/>
      <c r="J161" s="315" t="s">
        <v>7331</v>
      </c>
      <c r="K161" s="315" t="s">
        <v>7332</v>
      </c>
      <c r="L161" s="239" t="s">
        <v>7333</v>
      </c>
      <c r="M161" s="239"/>
      <c r="N161" s="239" t="s">
        <v>7334</v>
      </c>
      <c r="O161" s="239" t="s">
        <v>6365</v>
      </c>
      <c r="P161" s="315" t="s">
        <v>5448</v>
      </c>
      <c r="Q161" s="315" t="s">
        <v>5502</v>
      </c>
      <c r="R161" s="239" t="s">
        <v>3581</v>
      </c>
      <c r="S161" s="239" t="s">
        <v>5422</v>
      </c>
      <c r="T161" s="239"/>
      <c r="U161" s="239">
        <v>40562</v>
      </c>
      <c r="V161" s="239" t="s">
        <v>7335</v>
      </c>
      <c r="W161" s="315" t="s">
        <v>7336</v>
      </c>
      <c r="X161" s="239" t="s">
        <v>7337</v>
      </c>
      <c r="Y161" s="239" t="s">
        <v>5904</v>
      </c>
      <c r="Z161" s="239" t="s">
        <v>6393</v>
      </c>
      <c r="AA161" s="239" t="s">
        <v>7338</v>
      </c>
      <c r="AB161" s="315" t="s">
        <v>7339</v>
      </c>
      <c r="AC161" s="239" t="s">
        <v>7340</v>
      </c>
      <c r="AD161" s="239" t="s">
        <v>5904</v>
      </c>
      <c r="AE161" s="239" t="s">
        <v>5412</v>
      </c>
      <c r="AF161" s="239" t="s">
        <v>7147</v>
      </c>
      <c r="AG161" s="239"/>
      <c r="AH161" s="239">
        <v>1</v>
      </c>
      <c r="AI161" s="218"/>
    </row>
    <row r="162" spans="1:35" ht="13.5" customHeight="1" x14ac:dyDescent="0.3">
      <c r="A162" s="203">
        <v>160</v>
      </c>
      <c r="B162" s="204" t="s">
        <v>7341</v>
      </c>
      <c r="C162" s="203" t="s">
        <v>1617</v>
      </c>
      <c r="D162" s="239" t="s">
        <v>5364</v>
      </c>
      <c r="E162" s="315">
        <v>3117989461</v>
      </c>
      <c r="F162" s="239" t="s">
        <v>2377</v>
      </c>
      <c r="G162" s="320">
        <v>40672</v>
      </c>
      <c r="H162" s="319" t="s">
        <v>53</v>
      </c>
      <c r="I162" s="210"/>
      <c r="J162" s="315" t="s">
        <v>7342</v>
      </c>
      <c r="K162" s="315" t="s">
        <v>7343</v>
      </c>
      <c r="L162" s="239"/>
      <c r="M162" s="239"/>
      <c r="N162" s="239" t="s">
        <v>7344</v>
      </c>
      <c r="O162" s="239" t="s">
        <v>6365</v>
      </c>
      <c r="P162" s="315" t="s">
        <v>5415</v>
      </c>
      <c r="Q162" s="315" t="s">
        <v>5584</v>
      </c>
      <c r="R162" s="239" t="s">
        <v>3581</v>
      </c>
      <c r="S162" s="239" t="s">
        <v>5422</v>
      </c>
      <c r="T162" s="239"/>
      <c r="U162" s="239">
        <v>40562</v>
      </c>
      <c r="V162" s="239" t="s">
        <v>7345</v>
      </c>
      <c r="W162" s="315" t="s">
        <v>7346</v>
      </c>
      <c r="X162" s="239" t="s">
        <v>7347</v>
      </c>
      <c r="Y162" s="239" t="s">
        <v>5772</v>
      </c>
      <c r="Z162" s="239" t="s">
        <v>6393</v>
      </c>
      <c r="AA162" s="239" t="s">
        <v>5484</v>
      </c>
      <c r="AB162" s="315" t="s">
        <v>7348</v>
      </c>
      <c r="AC162" s="239" t="s">
        <v>6392</v>
      </c>
      <c r="AD162" s="239" t="s">
        <v>5772</v>
      </c>
      <c r="AE162" s="239" t="s">
        <v>5412</v>
      </c>
      <c r="AF162" s="239" t="s">
        <v>7147</v>
      </c>
      <c r="AG162" s="348" t="s">
        <v>7349</v>
      </c>
      <c r="AH162" s="239"/>
      <c r="AI162" s="315" t="s">
        <v>7350</v>
      </c>
    </row>
    <row r="163" spans="1:35" ht="13.5" customHeight="1" x14ac:dyDescent="0.3">
      <c r="A163" s="203">
        <v>161</v>
      </c>
      <c r="B163" s="204" t="s">
        <v>7351</v>
      </c>
      <c r="C163" s="205" t="s">
        <v>1617</v>
      </c>
      <c r="D163" s="241" t="s">
        <v>5341</v>
      </c>
      <c r="E163" s="315">
        <v>3123862842</v>
      </c>
      <c r="F163" s="239" t="s">
        <v>2377</v>
      </c>
      <c r="G163" s="320">
        <v>40188</v>
      </c>
      <c r="H163" s="319" t="s">
        <v>52</v>
      </c>
      <c r="I163" s="210"/>
      <c r="J163" s="315" t="s">
        <v>7352</v>
      </c>
      <c r="K163" s="315" t="s">
        <v>7353</v>
      </c>
      <c r="L163" s="239" t="s">
        <v>7354</v>
      </c>
      <c r="M163" s="239"/>
      <c r="N163" s="239" t="s">
        <v>7355</v>
      </c>
      <c r="O163" s="239" t="s">
        <v>5507</v>
      </c>
      <c r="P163" s="315" t="s">
        <v>5432</v>
      </c>
      <c r="Q163" s="315" t="s">
        <v>5401</v>
      </c>
      <c r="R163" s="239" t="s">
        <v>3581</v>
      </c>
      <c r="S163" s="239" t="s">
        <v>5422</v>
      </c>
      <c r="T163" s="239"/>
      <c r="U163" s="239">
        <v>40562</v>
      </c>
      <c r="V163" s="239" t="s">
        <v>7356</v>
      </c>
      <c r="W163" s="315" t="s">
        <v>7357</v>
      </c>
      <c r="X163" s="239" t="s">
        <v>7358</v>
      </c>
      <c r="Y163" s="239" t="s">
        <v>5772</v>
      </c>
      <c r="Z163" s="239" t="s">
        <v>6393</v>
      </c>
      <c r="AA163" s="239" t="s">
        <v>7359</v>
      </c>
      <c r="AB163" s="315" t="s">
        <v>7360</v>
      </c>
      <c r="AC163" s="239" t="s">
        <v>7361</v>
      </c>
      <c r="AD163" s="239" t="s">
        <v>5785</v>
      </c>
      <c r="AE163" s="239" t="s">
        <v>5412</v>
      </c>
      <c r="AF163" s="239" t="s">
        <v>7147</v>
      </c>
      <c r="AG163" s="315" t="s">
        <v>7362</v>
      </c>
      <c r="AH163" s="239">
        <v>1</v>
      </c>
      <c r="AI163" s="218" t="s">
        <v>7363</v>
      </c>
    </row>
    <row r="164" spans="1:35" ht="13.5" customHeight="1" x14ac:dyDescent="0.3">
      <c r="A164" s="203">
        <v>162</v>
      </c>
      <c r="B164" s="204" t="s">
        <v>7364</v>
      </c>
      <c r="C164" s="203" t="s">
        <v>1615</v>
      </c>
      <c r="D164" s="239" t="s">
        <v>5281</v>
      </c>
      <c r="E164" s="315">
        <v>3110195729</v>
      </c>
      <c r="F164" s="239" t="s">
        <v>2377</v>
      </c>
      <c r="G164" s="320">
        <v>40667</v>
      </c>
      <c r="H164" s="319" t="s">
        <v>52</v>
      </c>
      <c r="I164" s="210"/>
      <c r="J164" s="315" t="s">
        <v>7365</v>
      </c>
      <c r="K164" s="315" t="s">
        <v>7366</v>
      </c>
      <c r="L164" s="239" t="s">
        <v>7367</v>
      </c>
      <c r="M164" s="239"/>
      <c r="N164" s="239" t="s">
        <v>7368</v>
      </c>
      <c r="O164" s="239" t="s">
        <v>6365</v>
      </c>
      <c r="P164" s="315" t="s">
        <v>5432</v>
      </c>
      <c r="Q164" s="315" t="s">
        <v>5584</v>
      </c>
      <c r="R164" s="239" t="s">
        <v>3581</v>
      </c>
      <c r="S164" s="239" t="s">
        <v>5422</v>
      </c>
      <c r="T164" s="239"/>
      <c r="U164" s="239">
        <v>40562</v>
      </c>
      <c r="V164" s="239" t="s">
        <v>7369</v>
      </c>
      <c r="W164" s="315" t="s">
        <v>7370</v>
      </c>
      <c r="X164" s="239" t="s">
        <v>7371</v>
      </c>
      <c r="Y164" s="239" t="s">
        <v>5904</v>
      </c>
      <c r="Z164" s="239" t="s">
        <v>6393</v>
      </c>
      <c r="AA164" s="239" t="s">
        <v>7372</v>
      </c>
      <c r="AB164" s="315" t="s">
        <v>7373</v>
      </c>
      <c r="AC164" s="239" t="s">
        <v>7374</v>
      </c>
      <c r="AD164" s="239" t="s">
        <v>5904</v>
      </c>
      <c r="AE164" s="239" t="s">
        <v>5412</v>
      </c>
      <c r="AF164" s="239" t="s">
        <v>7147</v>
      </c>
      <c r="AG164" s="315" t="s">
        <v>7375</v>
      </c>
      <c r="AH164" s="239">
        <v>4</v>
      </c>
      <c r="AI164" s="218" t="s">
        <v>7376</v>
      </c>
    </row>
    <row r="165" spans="1:35" ht="13.5" customHeight="1" x14ac:dyDescent="0.3">
      <c r="A165" s="203">
        <v>163</v>
      </c>
      <c r="B165" s="204" t="s">
        <v>7377</v>
      </c>
      <c r="C165" s="205" t="s">
        <v>1617</v>
      </c>
      <c r="D165" s="239" t="s">
        <v>5342</v>
      </c>
      <c r="E165" s="315">
        <v>3118935890</v>
      </c>
      <c r="F165" s="239" t="s">
        <v>2377</v>
      </c>
      <c r="G165" s="320">
        <v>40831</v>
      </c>
      <c r="H165" s="319" t="s">
        <v>53</v>
      </c>
      <c r="I165" s="210"/>
      <c r="J165" s="315" t="s">
        <v>7378</v>
      </c>
      <c r="K165" s="315" t="s">
        <v>7379</v>
      </c>
      <c r="L165" s="239" t="s">
        <v>7380</v>
      </c>
      <c r="M165" s="239"/>
      <c r="N165" s="239" t="s">
        <v>7381</v>
      </c>
      <c r="O165" s="239" t="s">
        <v>6211</v>
      </c>
      <c r="P165" s="315" t="s">
        <v>5432</v>
      </c>
      <c r="Q165" s="315" t="s">
        <v>5502</v>
      </c>
      <c r="R165" s="239" t="s">
        <v>3581</v>
      </c>
      <c r="S165" s="239" t="s">
        <v>5422</v>
      </c>
      <c r="T165" s="239"/>
      <c r="U165" s="239">
        <v>40562</v>
      </c>
      <c r="V165" s="239" t="s">
        <v>7382</v>
      </c>
      <c r="W165" s="315" t="s">
        <v>7383</v>
      </c>
      <c r="X165" s="239" t="s">
        <v>7384</v>
      </c>
      <c r="Y165" s="239" t="s">
        <v>5904</v>
      </c>
      <c r="Z165" s="239" t="s">
        <v>6393</v>
      </c>
      <c r="AA165" s="239" t="s">
        <v>4124</v>
      </c>
      <c r="AB165" s="315" t="s">
        <v>7385</v>
      </c>
      <c r="AC165" s="239" t="s">
        <v>7386</v>
      </c>
      <c r="AD165" s="239" t="s">
        <v>5904</v>
      </c>
      <c r="AE165" s="239" t="s">
        <v>5412</v>
      </c>
      <c r="AF165" s="239" t="s">
        <v>7147</v>
      </c>
      <c r="AG165" s="315" t="s">
        <v>7387</v>
      </c>
      <c r="AH165" s="239">
        <v>3</v>
      </c>
      <c r="AI165" s="218" t="s">
        <v>7388</v>
      </c>
    </row>
    <row r="166" spans="1:35" ht="13.5" customHeight="1" x14ac:dyDescent="0.3">
      <c r="A166" s="203">
        <v>164</v>
      </c>
      <c r="B166" s="204" t="s">
        <v>7389</v>
      </c>
      <c r="C166" s="203" t="s">
        <v>1617</v>
      </c>
      <c r="D166" s="239" t="s">
        <v>5343</v>
      </c>
      <c r="E166" s="315">
        <v>3114475936</v>
      </c>
      <c r="F166" s="239" t="s">
        <v>2352</v>
      </c>
      <c r="G166" s="320">
        <v>40771</v>
      </c>
      <c r="H166" s="319" t="s">
        <v>53</v>
      </c>
      <c r="I166" s="210"/>
      <c r="J166" s="315" t="s">
        <v>7390</v>
      </c>
      <c r="K166" s="315" t="s">
        <v>7391</v>
      </c>
      <c r="L166" s="239" t="s">
        <v>7392</v>
      </c>
      <c r="M166" s="239"/>
      <c r="N166" s="239" t="s">
        <v>7393</v>
      </c>
      <c r="O166" s="239" t="s">
        <v>6211</v>
      </c>
      <c r="P166" s="315" t="s">
        <v>5394</v>
      </c>
      <c r="Q166" s="315" t="s">
        <v>5502</v>
      </c>
      <c r="R166" s="239" t="s">
        <v>3581</v>
      </c>
      <c r="S166" s="239" t="s">
        <v>5422</v>
      </c>
      <c r="T166" s="239"/>
      <c r="U166" s="239">
        <v>40562</v>
      </c>
      <c r="V166" s="239" t="s">
        <v>2532</v>
      </c>
      <c r="W166" s="315" t="s">
        <v>7394</v>
      </c>
      <c r="X166" s="239" t="s">
        <v>7395</v>
      </c>
      <c r="Y166" s="239" t="s">
        <v>5904</v>
      </c>
      <c r="Z166" s="239" t="s">
        <v>5442</v>
      </c>
      <c r="AA166" s="239" t="s">
        <v>7396</v>
      </c>
      <c r="AB166" s="315" t="s">
        <v>7397</v>
      </c>
      <c r="AC166" s="239" t="s">
        <v>7398</v>
      </c>
      <c r="AD166" s="239" t="s">
        <v>5772</v>
      </c>
      <c r="AE166" s="239" t="s">
        <v>5412</v>
      </c>
      <c r="AF166" s="239" t="s">
        <v>7147</v>
      </c>
      <c r="AG166" s="315" t="s">
        <v>7399</v>
      </c>
      <c r="AH166" s="239">
        <v>2</v>
      </c>
      <c r="AI166" s="218" t="s">
        <v>7400</v>
      </c>
    </row>
    <row r="167" spans="1:35" ht="13.5" customHeight="1" x14ac:dyDescent="0.3">
      <c r="A167" s="203">
        <v>165</v>
      </c>
      <c r="B167" s="204" t="s">
        <v>7401</v>
      </c>
      <c r="C167" s="203" t="s">
        <v>1617</v>
      </c>
      <c r="D167" s="239" t="s">
        <v>5344</v>
      </c>
      <c r="E167" s="315">
        <v>3127268470</v>
      </c>
      <c r="F167" s="239" t="s">
        <v>2377</v>
      </c>
      <c r="G167" s="320">
        <v>41083</v>
      </c>
      <c r="H167" s="319" t="s">
        <v>53</v>
      </c>
      <c r="I167" s="210"/>
      <c r="J167" s="315" t="s">
        <v>7402</v>
      </c>
      <c r="K167" s="315" t="s">
        <v>7403</v>
      </c>
      <c r="L167" s="239" t="s">
        <v>7404</v>
      </c>
      <c r="M167" s="239"/>
      <c r="N167" s="239" t="s">
        <v>7405</v>
      </c>
      <c r="O167" s="239" t="s">
        <v>6365</v>
      </c>
      <c r="P167" s="315" t="s">
        <v>5448</v>
      </c>
      <c r="Q167" s="315" t="s">
        <v>5502</v>
      </c>
      <c r="R167" s="239" t="s">
        <v>3581</v>
      </c>
      <c r="S167" s="239" t="s">
        <v>5422</v>
      </c>
      <c r="T167" s="239"/>
      <c r="U167" s="239">
        <v>40562</v>
      </c>
      <c r="V167" s="239" t="s">
        <v>7406</v>
      </c>
      <c r="W167" s="315" t="s">
        <v>7407</v>
      </c>
      <c r="X167" s="239" t="s">
        <v>7408</v>
      </c>
      <c r="Y167" s="239" t="s">
        <v>5772</v>
      </c>
      <c r="Z167" s="239" t="s">
        <v>5442</v>
      </c>
      <c r="AA167" s="315" t="s">
        <v>7409</v>
      </c>
      <c r="AB167" s="348" t="s">
        <v>7410</v>
      </c>
      <c r="AC167" s="239" t="s">
        <v>7411</v>
      </c>
      <c r="AD167" s="239" t="s">
        <v>5785</v>
      </c>
      <c r="AE167" s="239" t="s">
        <v>5412</v>
      </c>
      <c r="AF167" s="239" t="s">
        <v>7147</v>
      </c>
      <c r="AG167" s="315" t="s">
        <v>7412</v>
      </c>
      <c r="AH167" s="239">
        <v>1</v>
      </c>
      <c r="AI167" s="218" t="s">
        <v>7413</v>
      </c>
    </row>
    <row r="168" spans="1:35" ht="13.5" customHeight="1" x14ac:dyDescent="0.3">
      <c r="A168" s="203">
        <v>166</v>
      </c>
      <c r="B168" s="204" t="s">
        <v>7414</v>
      </c>
      <c r="C168" s="203" t="s">
        <v>1615</v>
      </c>
      <c r="D168" s="239" t="s">
        <v>5282</v>
      </c>
      <c r="E168" s="315">
        <v>3118501407</v>
      </c>
      <c r="F168" s="239" t="s">
        <v>2377</v>
      </c>
      <c r="G168" s="320">
        <v>40898</v>
      </c>
      <c r="H168" s="319" t="s">
        <v>52</v>
      </c>
      <c r="I168" s="210"/>
      <c r="J168" s="315" t="s">
        <v>7415</v>
      </c>
      <c r="K168" s="315" t="s">
        <v>7416</v>
      </c>
      <c r="L168" s="239" t="s">
        <v>7417</v>
      </c>
      <c r="M168" s="239" t="s">
        <v>7417</v>
      </c>
      <c r="N168" s="239" t="s">
        <v>7418</v>
      </c>
      <c r="O168" s="239" t="s">
        <v>2986</v>
      </c>
      <c r="P168" s="315" t="s">
        <v>5415</v>
      </c>
      <c r="Q168" s="315" t="s">
        <v>5556</v>
      </c>
      <c r="R168" s="239" t="s">
        <v>3581</v>
      </c>
      <c r="S168" s="239" t="s">
        <v>5422</v>
      </c>
      <c r="T168" s="239"/>
      <c r="U168" s="239">
        <v>40562</v>
      </c>
      <c r="V168" s="239" t="s">
        <v>7419</v>
      </c>
      <c r="W168" s="315" t="s">
        <v>7420</v>
      </c>
      <c r="X168" s="239" t="s">
        <v>7421</v>
      </c>
      <c r="Y168" s="239" t="s">
        <v>5772</v>
      </c>
      <c r="Z168" s="239" t="s">
        <v>5442</v>
      </c>
      <c r="AA168" s="239" t="s">
        <v>7422</v>
      </c>
      <c r="AB168" s="315" t="s">
        <v>7423</v>
      </c>
      <c r="AC168" s="239" t="s">
        <v>7424</v>
      </c>
      <c r="AD168" s="239" t="s">
        <v>5772</v>
      </c>
      <c r="AE168" s="239" t="s">
        <v>5412</v>
      </c>
      <c r="AF168" s="239" t="s">
        <v>7425</v>
      </c>
      <c r="AG168" s="239"/>
      <c r="AH168" s="239">
        <v>1</v>
      </c>
      <c r="AI168" s="218" t="s">
        <v>7426</v>
      </c>
    </row>
    <row r="169" spans="1:35" ht="13.5" customHeight="1" x14ac:dyDescent="0.3">
      <c r="A169" s="203">
        <v>167</v>
      </c>
      <c r="B169" s="204" t="s">
        <v>7427</v>
      </c>
      <c r="C169" s="205" t="s">
        <v>1615</v>
      </c>
      <c r="D169" s="239" t="s">
        <v>5345</v>
      </c>
      <c r="E169" s="315">
        <v>3120657138</v>
      </c>
      <c r="F169" s="239" t="s">
        <v>2377</v>
      </c>
      <c r="G169" s="320">
        <v>40991</v>
      </c>
      <c r="H169" s="319" t="s">
        <v>53</v>
      </c>
      <c r="I169" s="210"/>
      <c r="J169" s="315" t="s">
        <v>7428</v>
      </c>
      <c r="K169" s="315" t="s">
        <v>7429</v>
      </c>
      <c r="L169" s="239" t="s">
        <v>7430</v>
      </c>
      <c r="M169" s="239"/>
      <c r="N169" s="239"/>
      <c r="O169" s="239" t="s">
        <v>6078</v>
      </c>
      <c r="P169" s="315" t="s">
        <v>5394</v>
      </c>
      <c r="Q169" s="315" t="s">
        <v>5542</v>
      </c>
      <c r="R169" s="239" t="s">
        <v>3581</v>
      </c>
      <c r="S169" s="239" t="s">
        <v>5422</v>
      </c>
      <c r="T169" s="239"/>
      <c r="U169" s="239">
        <v>40562</v>
      </c>
      <c r="V169" s="239" t="s">
        <v>7431</v>
      </c>
      <c r="W169" s="315" t="s">
        <v>7432</v>
      </c>
      <c r="X169" s="239" t="s">
        <v>7433</v>
      </c>
      <c r="Y169" s="239" t="s">
        <v>5904</v>
      </c>
      <c r="Z169" s="239" t="s">
        <v>6393</v>
      </c>
      <c r="AA169" s="239" t="s">
        <v>4605</v>
      </c>
      <c r="AB169" s="315" t="s">
        <v>7434</v>
      </c>
      <c r="AC169" s="239" t="s">
        <v>7435</v>
      </c>
      <c r="AD169" s="239" t="s">
        <v>5904</v>
      </c>
      <c r="AE169" s="239" t="s">
        <v>5412</v>
      </c>
      <c r="AF169" s="239" t="s">
        <v>7425</v>
      </c>
      <c r="AG169" s="315" t="s">
        <v>7436</v>
      </c>
      <c r="AH169" s="239">
        <v>2</v>
      </c>
      <c r="AI169" s="218" t="s">
        <v>7437</v>
      </c>
    </row>
    <row r="170" spans="1:35" ht="13.5" customHeight="1" x14ac:dyDescent="0.3">
      <c r="A170" s="203">
        <v>168</v>
      </c>
      <c r="B170" s="204" t="s">
        <v>7438</v>
      </c>
      <c r="C170" s="203" t="s">
        <v>1617</v>
      </c>
      <c r="D170" s="241" t="s">
        <v>5346</v>
      </c>
      <c r="E170" s="315">
        <v>3120325090</v>
      </c>
      <c r="F170" s="239" t="s">
        <v>2377</v>
      </c>
      <c r="G170" s="320">
        <v>41027</v>
      </c>
      <c r="H170" s="319" t="s">
        <v>52</v>
      </c>
      <c r="I170" s="210"/>
      <c r="J170" s="315" t="s">
        <v>7439</v>
      </c>
      <c r="K170" s="315" t="s">
        <v>7440</v>
      </c>
      <c r="L170" s="239" t="s">
        <v>7441</v>
      </c>
      <c r="M170" s="239"/>
      <c r="N170" s="239" t="s">
        <v>7442</v>
      </c>
      <c r="O170" s="239" t="s">
        <v>2986</v>
      </c>
      <c r="P170" s="315" t="s">
        <v>5415</v>
      </c>
      <c r="Q170" s="315" t="s">
        <v>5556</v>
      </c>
      <c r="R170" s="239" t="s">
        <v>3581</v>
      </c>
      <c r="S170" s="239" t="s">
        <v>5422</v>
      </c>
      <c r="T170" s="239"/>
      <c r="U170" s="239">
        <v>40562</v>
      </c>
      <c r="V170" s="239" t="s">
        <v>7443</v>
      </c>
      <c r="W170" s="315" t="s">
        <v>7444</v>
      </c>
      <c r="X170" s="239" t="s">
        <v>7445</v>
      </c>
      <c r="Y170" s="239" t="s">
        <v>5772</v>
      </c>
      <c r="Z170" s="239" t="s">
        <v>5442</v>
      </c>
      <c r="AA170" s="239" t="s">
        <v>7446</v>
      </c>
      <c r="AB170" s="315" t="s">
        <v>7447</v>
      </c>
      <c r="AC170" s="239" t="s">
        <v>7448</v>
      </c>
      <c r="AD170" s="239" t="s">
        <v>5772</v>
      </c>
      <c r="AE170" s="239" t="s">
        <v>5412</v>
      </c>
      <c r="AF170" s="239" t="s">
        <v>7425</v>
      </c>
      <c r="AG170" s="315"/>
      <c r="AH170" s="239">
        <v>1</v>
      </c>
      <c r="AI170" s="218" t="s">
        <v>7449</v>
      </c>
    </row>
    <row r="171" spans="1:35" ht="13.5" customHeight="1" x14ac:dyDescent="0.3">
      <c r="A171" s="203">
        <v>169</v>
      </c>
      <c r="B171" s="204" t="s">
        <v>7450</v>
      </c>
      <c r="C171" s="203" t="s">
        <v>1617</v>
      </c>
      <c r="D171" s="241" t="s">
        <v>5347</v>
      </c>
      <c r="E171" s="315">
        <v>3115657112</v>
      </c>
      <c r="F171" s="239" t="s">
        <v>2377</v>
      </c>
      <c r="G171" s="320">
        <v>40632</v>
      </c>
      <c r="H171" s="319" t="s">
        <v>52</v>
      </c>
      <c r="I171" s="210" t="s">
        <v>5396</v>
      </c>
      <c r="J171" s="315" t="s">
        <v>7451</v>
      </c>
      <c r="K171" s="315" t="s">
        <v>7452</v>
      </c>
      <c r="L171" s="239" t="s">
        <v>7453</v>
      </c>
      <c r="M171" s="239"/>
      <c r="N171" s="239" t="s">
        <v>7454</v>
      </c>
      <c r="O171" s="239" t="s">
        <v>2845</v>
      </c>
      <c r="P171" s="315" t="s">
        <v>5415</v>
      </c>
      <c r="Q171" s="315" t="s">
        <v>5157</v>
      </c>
      <c r="R171" s="239" t="s">
        <v>3581</v>
      </c>
      <c r="S171" s="239" t="s">
        <v>5422</v>
      </c>
      <c r="T171" s="239"/>
      <c r="U171" s="239">
        <v>40562</v>
      </c>
      <c r="V171" s="239" t="s">
        <v>7455</v>
      </c>
      <c r="W171" s="315" t="s">
        <v>7456</v>
      </c>
      <c r="X171" s="239" t="s">
        <v>7457</v>
      </c>
      <c r="Y171" s="239" t="s">
        <v>5785</v>
      </c>
      <c r="Z171" s="239" t="s">
        <v>5442</v>
      </c>
      <c r="AA171" s="239" t="s">
        <v>7458</v>
      </c>
      <c r="AB171" s="315" t="s">
        <v>7459</v>
      </c>
      <c r="AC171" s="239" t="s">
        <v>7460</v>
      </c>
      <c r="AD171" s="239" t="s">
        <v>5785</v>
      </c>
      <c r="AE171" s="239" t="s">
        <v>5412</v>
      </c>
      <c r="AF171" s="239" t="s">
        <v>7425</v>
      </c>
      <c r="AG171" s="315" t="s">
        <v>7461</v>
      </c>
      <c r="AH171" s="239">
        <v>2</v>
      </c>
      <c r="AI171" s="218" t="s">
        <v>7462</v>
      </c>
    </row>
    <row r="172" spans="1:35" ht="13.5" customHeight="1" x14ac:dyDescent="0.3">
      <c r="A172" s="242">
        <v>170</v>
      </c>
      <c r="B172" s="255" t="s">
        <v>7463</v>
      </c>
      <c r="C172" s="242" t="s">
        <v>1617</v>
      </c>
      <c r="D172" s="241" t="s">
        <v>5348</v>
      </c>
      <c r="E172" s="307" t="s">
        <v>7464</v>
      </c>
      <c r="F172" s="246" t="s">
        <v>2352</v>
      </c>
      <c r="G172" s="349" t="s">
        <v>7465</v>
      </c>
      <c r="H172" s="350" t="s">
        <v>52</v>
      </c>
      <c r="I172" s="259" t="s">
        <v>5396</v>
      </c>
      <c r="J172" s="307" t="s">
        <v>7466</v>
      </c>
      <c r="K172" s="307" t="s">
        <v>7467</v>
      </c>
      <c r="L172" s="246" t="s">
        <v>7468</v>
      </c>
      <c r="M172" s="246"/>
      <c r="N172" s="246" t="s">
        <v>7469</v>
      </c>
      <c r="O172" s="246" t="s">
        <v>3147</v>
      </c>
      <c r="P172" s="307" t="s">
        <v>5415</v>
      </c>
      <c r="Q172" s="307" t="s">
        <v>5461</v>
      </c>
      <c r="R172" s="246" t="s">
        <v>3581</v>
      </c>
      <c r="S172" s="246" t="s">
        <v>5422</v>
      </c>
      <c r="T172" s="246"/>
      <c r="U172" s="307" t="s">
        <v>5657</v>
      </c>
      <c r="V172" s="246" t="s">
        <v>7470</v>
      </c>
      <c r="W172" s="307" t="s">
        <v>7471</v>
      </c>
      <c r="X172" s="246" t="s">
        <v>7472</v>
      </c>
      <c r="Y172" s="246" t="s">
        <v>6240</v>
      </c>
      <c r="Z172" s="246" t="s">
        <v>5442</v>
      </c>
      <c r="AA172" s="246" t="s">
        <v>7473</v>
      </c>
      <c r="AB172" s="307" t="s">
        <v>7474</v>
      </c>
      <c r="AC172" s="246" t="s">
        <v>7475</v>
      </c>
      <c r="AD172" s="246" t="s">
        <v>5772</v>
      </c>
      <c r="AE172" s="246" t="s">
        <v>5412</v>
      </c>
      <c r="AF172" s="246" t="s">
        <v>7476</v>
      </c>
      <c r="AG172" s="307" t="s">
        <v>7477</v>
      </c>
      <c r="AH172" s="246">
        <v>2</v>
      </c>
      <c r="AI172" s="254" t="s">
        <v>7478</v>
      </c>
    </row>
    <row r="173" spans="1:35" ht="13.5" customHeight="1" x14ac:dyDescent="0.3">
      <c r="A173" s="242">
        <v>171</v>
      </c>
      <c r="B173" s="255" t="s">
        <v>7479</v>
      </c>
      <c r="C173" s="256" t="s">
        <v>1614</v>
      </c>
      <c r="D173" s="246" t="s">
        <v>5258</v>
      </c>
      <c r="E173" s="307" t="s">
        <v>7480</v>
      </c>
      <c r="F173" s="246" t="s">
        <v>2352</v>
      </c>
      <c r="G173" s="351" t="s">
        <v>7481</v>
      </c>
      <c r="H173" s="350" t="s">
        <v>53</v>
      </c>
      <c r="I173" s="259" t="s">
        <v>5396</v>
      </c>
      <c r="J173" s="307" t="s">
        <v>7482</v>
      </c>
      <c r="K173" s="307" t="s">
        <v>7483</v>
      </c>
      <c r="L173" s="246" t="s">
        <v>7484</v>
      </c>
      <c r="M173" s="246"/>
      <c r="N173" s="246" t="s">
        <v>7485</v>
      </c>
      <c r="O173" s="246" t="s">
        <v>3147</v>
      </c>
      <c r="P173" s="307" t="s">
        <v>5448</v>
      </c>
      <c r="Q173" s="307" t="s">
        <v>5461</v>
      </c>
      <c r="R173" s="246" t="s">
        <v>3581</v>
      </c>
      <c r="S173" s="246" t="s">
        <v>5422</v>
      </c>
      <c r="T173" s="246"/>
      <c r="U173" s="307" t="s">
        <v>5657</v>
      </c>
      <c r="V173" s="246" t="s">
        <v>2638</v>
      </c>
      <c r="W173" s="307" t="s">
        <v>7486</v>
      </c>
      <c r="X173" s="246" t="s">
        <v>7487</v>
      </c>
      <c r="Y173" s="246" t="s">
        <v>5772</v>
      </c>
      <c r="Z173" s="246" t="s">
        <v>5442</v>
      </c>
      <c r="AA173" s="246" t="s">
        <v>7488</v>
      </c>
      <c r="AB173" s="307" t="s">
        <v>7489</v>
      </c>
      <c r="AC173" s="246" t="s">
        <v>7490</v>
      </c>
      <c r="AD173" s="246" t="s">
        <v>5772</v>
      </c>
      <c r="AE173" s="246" t="s">
        <v>5412</v>
      </c>
      <c r="AF173" s="246" t="s">
        <v>7476</v>
      </c>
      <c r="AG173" s="307" t="s">
        <v>7491</v>
      </c>
      <c r="AH173" s="246">
        <v>2</v>
      </c>
      <c r="AI173" s="254" t="s">
        <v>7492</v>
      </c>
    </row>
    <row r="174" spans="1:35" ht="13.5" customHeight="1" x14ac:dyDescent="0.3">
      <c r="A174" s="242">
        <v>172</v>
      </c>
      <c r="B174" s="255" t="s">
        <v>7493</v>
      </c>
      <c r="C174" s="256" t="s">
        <v>1616</v>
      </c>
      <c r="D174" s="246" t="s">
        <v>5367</v>
      </c>
      <c r="E174" s="307" t="s">
        <v>7494</v>
      </c>
      <c r="F174" s="246" t="s">
        <v>2352</v>
      </c>
      <c r="G174" s="351">
        <v>40430</v>
      </c>
      <c r="H174" s="350" t="s">
        <v>52</v>
      </c>
      <c r="I174" s="259" t="s">
        <v>5396</v>
      </c>
      <c r="J174" s="307" t="s">
        <v>7495</v>
      </c>
      <c r="K174" s="307" t="s">
        <v>7496</v>
      </c>
      <c r="L174" s="246" t="s">
        <v>7497</v>
      </c>
      <c r="M174" s="246"/>
      <c r="N174" s="246" t="s">
        <v>7498</v>
      </c>
      <c r="O174" s="246" t="s">
        <v>2845</v>
      </c>
      <c r="P174" s="307" t="s">
        <v>5394</v>
      </c>
      <c r="Q174" s="307" t="s">
        <v>5157</v>
      </c>
      <c r="R174" s="246" t="s">
        <v>3581</v>
      </c>
      <c r="S174" s="246" t="s">
        <v>5422</v>
      </c>
      <c r="T174" s="246"/>
      <c r="U174" s="307" t="s">
        <v>5657</v>
      </c>
      <c r="V174" s="246" t="s">
        <v>7499</v>
      </c>
      <c r="W174" s="307" t="s">
        <v>7500</v>
      </c>
      <c r="X174" s="246" t="s">
        <v>7501</v>
      </c>
      <c r="Y174" s="246" t="s">
        <v>5772</v>
      </c>
      <c r="Z174" s="246" t="s">
        <v>5442</v>
      </c>
      <c r="AA174" s="246" t="s">
        <v>7502</v>
      </c>
      <c r="AB174" s="307" t="s">
        <v>7503</v>
      </c>
      <c r="AC174" s="246" t="s">
        <v>7504</v>
      </c>
      <c r="AD174" s="246" t="s">
        <v>5772</v>
      </c>
      <c r="AE174" s="246" t="s">
        <v>5412</v>
      </c>
      <c r="AF174" s="246" t="s">
        <v>7476</v>
      </c>
      <c r="AG174" s="246"/>
      <c r="AH174" s="246">
        <v>1</v>
      </c>
      <c r="AI174" s="254" t="s">
        <v>7505</v>
      </c>
    </row>
    <row r="175" spans="1:35" ht="13.5" customHeight="1" x14ac:dyDescent="0.3">
      <c r="A175" s="242">
        <v>173</v>
      </c>
      <c r="B175" s="255" t="s">
        <v>7506</v>
      </c>
      <c r="C175" s="242" t="s">
        <v>1614</v>
      </c>
      <c r="D175" s="246" t="s">
        <v>5259</v>
      </c>
      <c r="E175" s="307" t="s">
        <v>7507</v>
      </c>
      <c r="F175" s="246" t="s">
        <v>2352</v>
      </c>
      <c r="G175" s="351">
        <v>40763</v>
      </c>
      <c r="H175" s="350" t="s">
        <v>53</v>
      </c>
      <c r="I175" s="259" t="s">
        <v>5396</v>
      </c>
      <c r="J175" s="307" t="s">
        <v>7508</v>
      </c>
      <c r="K175" s="307" t="s">
        <v>7509</v>
      </c>
      <c r="L175" s="246" t="s">
        <v>7510</v>
      </c>
      <c r="M175" s="246"/>
      <c r="N175" s="246" t="s">
        <v>7511</v>
      </c>
      <c r="O175" s="246" t="s">
        <v>3147</v>
      </c>
      <c r="P175" s="307" t="s">
        <v>5394</v>
      </c>
      <c r="Q175" s="307" t="s">
        <v>5461</v>
      </c>
      <c r="R175" s="246" t="s">
        <v>3581</v>
      </c>
      <c r="S175" s="246" t="s">
        <v>5422</v>
      </c>
      <c r="T175" s="246"/>
      <c r="U175" s="307" t="s">
        <v>5657</v>
      </c>
      <c r="V175" s="246" t="s">
        <v>7512</v>
      </c>
      <c r="W175" s="307" t="s">
        <v>7513</v>
      </c>
      <c r="X175" s="246" t="s">
        <v>7514</v>
      </c>
      <c r="Y175" s="246" t="s">
        <v>6240</v>
      </c>
      <c r="Z175" s="246" t="s">
        <v>5442</v>
      </c>
      <c r="AA175" s="246" t="s">
        <v>7515</v>
      </c>
      <c r="AB175" s="307" t="s">
        <v>7516</v>
      </c>
      <c r="AC175" s="246" t="s">
        <v>7517</v>
      </c>
      <c r="AD175" s="246" t="s">
        <v>6240</v>
      </c>
      <c r="AE175" s="246" t="s">
        <v>5412</v>
      </c>
      <c r="AF175" s="246" t="s">
        <v>7476</v>
      </c>
      <c r="AG175" s="307" t="s">
        <v>7518</v>
      </c>
      <c r="AH175" s="246">
        <v>2</v>
      </c>
      <c r="AI175" s="254" t="s">
        <v>7519</v>
      </c>
    </row>
    <row r="176" spans="1:35" ht="13.5" customHeight="1" x14ac:dyDescent="0.3">
      <c r="A176" s="242">
        <v>174</v>
      </c>
      <c r="B176" s="255" t="s">
        <v>7520</v>
      </c>
      <c r="C176" s="256" t="s">
        <v>1614</v>
      </c>
      <c r="D176" s="246" t="s">
        <v>5260</v>
      </c>
      <c r="E176" s="307" t="s">
        <v>7521</v>
      </c>
      <c r="F176" s="246" t="s">
        <v>2352</v>
      </c>
      <c r="G176" s="351">
        <v>40871</v>
      </c>
      <c r="H176" s="350" t="s">
        <v>52</v>
      </c>
      <c r="I176" s="259" t="s">
        <v>5396</v>
      </c>
      <c r="J176" s="307" t="s">
        <v>7522</v>
      </c>
      <c r="K176" s="307" t="s">
        <v>7523</v>
      </c>
      <c r="L176" s="246" t="s">
        <v>7524</v>
      </c>
      <c r="M176" s="246"/>
      <c r="N176" s="246"/>
      <c r="O176" s="246" t="s">
        <v>2845</v>
      </c>
      <c r="P176" s="307" t="s">
        <v>5394</v>
      </c>
      <c r="Q176" s="307" t="s">
        <v>5157</v>
      </c>
      <c r="R176" s="246" t="s">
        <v>3581</v>
      </c>
      <c r="S176" s="246" t="s">
        <v>5422</v>
      </c>
      <c r="T176" s="246"/>
      <c r="U176" s="307" t="s">
        <v>5657</v>
      </c>
      <c r="V176" s="246" t="s">
        <v>7525</v>
      </c>
      <c r="W176" s="307" t="s">
        <v>7526</v>
      </c>
      <c r="X176" s="246" t="s">
        <v>7527</v>
      </c>
      <c r="Y176" s="246" t="s">
        <v>6240</v>
      </c>
      <c r="Z176" s="246" t="s">
        <v>5442</v>
      </c>
      <c r="AA176" s="246" t="s">
        <v>7528</v>
      </c>
      <c r="AB176" s="307" t="s">
        <v>7529</v>
      </c>
      <c r="AC176" s="246" t="s">
        <v>7530</v>
      </c>
      <c r="AD176" s="246" t="s">
        <v>6240</v>
      </c>
      <c r="AE176" s="246" t="s">
        <v>5412</v>
      </c>
      <c r="AF176" s="246" t="s">
        <v>7476</v>
      </c>
      <c r="AG176" s="307" t="s">
        <v>7531</v>
      </c>
      <c r="AH176" s="246">
        <v>1</v>
      </c>
      <c r="AI176" s="254" t="s">
        <v>7532</v>
      </c>
    </row>
    <row r="177" spans="1:35" ht="13.5" customHeight="1" x14ac:dyDescent="0.3">
      <c r="A177" s="242">
        <v>175</v>
      </c>
      <c r="B177" s="255" t="s">
        <v>7533</v>
      </c>
      <c r="C177" s="256" t="s">
        <v>1615</v>
      </c>
      <c r="D177" s="246" t="s">
        <v>5283</v>
      </c>
      <c r="E177" s="307" t="s">
        <v>7534</v>
      </c>
      <c r="F177" s="246" t="s">
        <v>3995</v>
      </c>
      <c r="G177" s="351" t="s">
        <v>7535</v>
      </c>
      <c r="H177" s="350" t="s">
        <v>53</v>
      </c>
      <c r="I177" s="259" t="s">
        <v>5396</v>
      </c>
      <c r="J177" s="307" t="s">
        <v>7536</v>
      </c>
      <c r="K177" s="307" t="s">
        <v>7537</v>
      </c>
      <c r="L177" s="246" t="s">
        <v>7538</v>
      </c>
      <c r="M177" s="246"/>
      <c r="N177" s="246" t="s">
        <v>7539</v>
      </c>
      <c r="O177" s="246" t="s">
        <v>3147</v>
      </c>
      <c r="P177" s="307" t="s">
        <v>5432</v>
      </c>
      <c r="Q177" s="307" t="s">
        <v>5461</v>
      </c>
      <c r="R177" s="246" t="s">
        <v>3581</v>
      </c>
      <c r="S177" s="246" t="s">
        <v>5422</v>
      </c>
      <c r="T177" s="246"/>
      <c r="U177" s="307" t="s">
        <v>5657</v>
      </c>
      <c r="V177" s="246" t="s">
        <v>7540</v>
      </c>
      <c r="W177" s="307"/>
      <c r="X177" s="246"/>
      <c r="Y177" s="246"/>
      <c r="Z177" s="246"/>
      <c r="AA177" s="246" t="s">
        <v>7541</v>
      </c>
      <c r="AB177" s="307" t="s">
        <v>7542</v>
      </c>
      <c r="AC177" s="246" t="s">
        <v>7215</v>
      </c>
      <c r="AD177" s="246" t="s">
        <v>5772</v>
      </c>
      <c r="AE177" s="246" t="s">
        <v>5412</v>
      </c>
      <c r="AF177" s="246" t="s">
        <v>7476</v>
      </c>
      <c r="AG177" s="246"/>
      <c r="AH177" s="246">
        <v>1</v>
      </c>
      <c r="AI177" s="254" t="s">
        <v>7543</v>
      </c>
    </row>
    <row r="178" spans="1:35" ht="13.5" customHeight="1" x14ac:dyDescent="0.3">
      <c r="A178" s="242">
        <v>176</v>
      </c>
      <c r="B178" s="255" t="s">
        <v>7544</v>
      </c>
      <c r="C178" s="256" t="s">
        <v>1613</v>
      </c>
      <c r="D178" s="246" t="s">
        <v>5284</v>
      </c>
      <c r="E178" s="307" t="s">
        <v>7545</v>
      </c>
      <c r="F178" s="246" t="s">
        <v>2352</v>
      </c>
      <c r="G178" s="351" t="s">
        <v>7546</v>
      </c>
      <c r="H178" s="350" t="s">
        <v>53</v>
      </c>
      <c r="I178" s="259" t="s">
        <v>5396</v>
      </c>
      <c r="J178" s="307" t="s">
        <v>7547</v>
      </c>
      <c r="K178" s="307" t="s">
        <v>7548</v>
      </c>
      <c r="L178" s="246" t="s">
        <v>7549</v>
      </c>
      <c r="M178" s="246"/>
      <c r="N178" s="246" t="s">
        <v>7550</v>
      </c>
      <c r="O178" s="246" t="s">
        <v>2845</v>
      </c>
      <c r="P178" s="307" t="s">
        <v>5432</v>
      </c>
      <c r="Q178" s="307" t="s">
        <v>5157</v>
      </c>
      <c r="R178" s="246" t="s">
        <v>3581</v>
      </c>
      <c r="S178" s="246" t="s">
        <v>5422</v>
      </c>
      <c r="T178" s="246"/>
      <c r="U178" s="307" t="s">
        <v>5657</v>
      </c>
      <c r="V178" s="246"/>
      <c r="W178" s="307"/>
      <c r="X178" s="246"/>
      <c r="Y178" s="246"/>
      <c r="Z178" s="246"/>
      <c r="AA178" s="246" t="s">
        <v>7551</v>
      </c>
      <c r="AB178" s="307" t="s">
        <v>7552</v>
      </c>
      <c r="AC178" s="246" t="s">
        <v>7553</v>
      </c>
      <c r="AD178" s="246" t="s">
        <v>5772</v>
      </c>
      <c r="AE178" s="246" t="s">
        <v>5412</v>
      </c>
      <c r="AF178" s="246" t="s">
        <v>7476</v>
      </c>
      <c r="AG178" s="246"/>
      <c r="AH178" s="246">
        <v>2</v>
      </c>
      <c r="AI178" s="254" t="s">
        <v>7554</v>
      </c>
    </row>
    <row r="179" spans="1:35" ht="13.5" customHeight="1" x14ac:dyDescent="0.3">
      <c r="A179" s="242">
        <v>177</v>
      </c>
      <c r="B179" s="255" t="s">
        <v>7555</v>
      </c>
      <c r="C179" s="256" t="s">
        <v>1617</v>
      </c>
      <c r="D179" s="246" t="s">
        <v>5285</v>
      </c>
      <c r="E179" s="307" t="s">
        <v>7556</v>
      </c>
      <c r="F179" s="246" t="s">
        <v>2377</v>
      </c>
      <c r="G179" s="351">
        <v>40561</v>
      </c>
      <c r="H179" s="350" t="s">
        <v>52</v>
      </c>
      <c r="I179" s="259" t="s">
        <v>5396</v>
      </c>
      <c r="J179" s="307" t="s">
        <v>7557</v>
      </c>
      <c r="K179" s="307" t="s">
        <v>7558</v>
      </c>
      <c r="L179" s="246" t="s">
        <v>7559</v>
      </c>
      <c r="M179" s="246"/>
      <c r="N179" s="246" t="s">
        <v>7560</v>
      </c>
      <c r="O179" s="246" t="s">
        <v>2986</v>
      </c>
      <c r="P179" s="307" t="s">
        <v>5394</v>
      </c>
      <c r="Q179" s="307" t="s">
        <v>5556</v>
      </c>
      <c r="R179" s="246" t="s">
        <v>3581</v>
      </c>
      <c r="S179" s="246" t="s">
        <v>5422</v>
      </c>
      <c r="T179" s="246"/>
      <c r="U179" s="307" t="s">
        <v>5657</v>
      </c>
      <c r="V179" s="246" t="s">
        <v>7561</v>
      </c>
      <c r="W179" s="307" t="s">
        <v>7562</v>
      </c>
      <c r="X179" s="246" t="s">
        <v>7563</v>
      </c>
      <c r="Y179" s="246" t="s">
        <v>6240</v>
      </c>
      <c r="Z179" s="246" t="s">
        <v>5442</v>
      </c>
      <c r="AA179" s="246" t="s">
        <v>6152</v>
      </c>
      <c r="AB179" s="307" t="s">
        <v>7564</v>
      </c>
      <c r="AC179" s="246" t="s">
        <v>7297</v>
      </c>
      <c r="AD179" s="246" t="s">
        <v>5772</v>
      </c>
      <c r="AE179" s="246" t="s">
        <v>5412</v>
      </c>
      <c r="AF179" s="246" t="s">
        <v>7476</v>
      </c>
      <c r="AG179" s="307" t="s">
        <v>7565</v>
      </c>
      <c r="AH179" s="246">
        <v>2</v>
      </c>
      <c r="AI179" s="254" t="s">
        <v>7566</v>
      </c>
    </row>
    <row r="180" spans="1:35" ht="13.5" customHeight="1" x14ac:dyDescent="0.3">
      <c r="A180" s="242">
        <v>178</v>
      </c>
      <c r="B180" s="255" t="s">
        <v>7567</v>
      </c>
      <c r="C180" s="242" t="s">
        <v>1616</v>
      </c>
      <c r="D180" s="246" t="s">
        <v>5316</v>
      </c>
      <c r="E180" s="307" t="s">
        <v>7568</v>
      </c>
      <c r="F180" s="246" t="s">
        <v>2377</v>
      </c>
      <c r="G180" s="351">
        <v>40836</v>
      </c>
      <c r="H180" s="350" t="s">
        <v>53</v>
      </c>
      <c r="I180" s="259" t="s">
        <v>5396</v>
      </c>
      <c r="J180" s="307" t="s">
        <v>7569</v>
      </c>
      <c r="K180" s="307" t="s">
        <v>7570</v>
      </c>
      <c r="L180" s="246" t="s">
        <v>7571</v>
      </c>
      <c r="M180" s="246"/>
      <c r="N180" s="246" t="s">
        <v>7572</v>
      </c>
      <c r="O180" s="246" t="s">
        <v>2845</v>
      </c>
      <c r="P180" s="307" t="s">
        <v>5432</v>
      </c>
      <c r="Q180" s="307" t="s">
        <v>5157</v>
      </c>
      <c r="R180" s="246" t="s">
        <v>3581</v>
      </c>
      <c r="S180" s="246" t="s">
        <v>5422</v>
      </c>
      <c r="T180" s="246"/>
      <c r="U180" s="307" t="s">
        <v>5657</v>
      </c>
      <c r="V180" s="246" t="s">
        <v>7573</v>
      </c>
      <c r="W180" s="307" t="s">
        <v>7574</v>
      </c>
      <c r="X180" s="246" t="s">
        <v>7575</v>
      </c>
      <c r="Y180" s="246" t="s">
        <v>5785</v>
      </c>
      <c r="Z180" s="246" t="s">
        <v>5427</v>
      </c>
      <c r="AA180" s="246" t="s">
        <v>7576</v>
      </c>
      <c r="AB180" s="307" t="s">
        <v>7577</v>
      </c>
      <c r="AC180" s="246" t="s">
        <v>7578</v>
      </c>
      <c r="AD180" s="246" t="s">
        <v>5772</v>
      </c>
      <c r="AE180" s="246" t="s">
        <v>5412</v>
      </c>
      <c r="AF180" s="246" t="s">
        <v>7476</v>
      </c>
      <c r="AG180" s="246"/>
      <c r="AH180" s="246">
        <v>2</v>
      </c>
      <c r="AI180" s="254" t="s">
        <v>7579</v>
      </c>
    </row>
    <row r="181" spans="1:35" ht="13.5" customHeight="1" x14ac:dyDescent="0.3">
      <c r="A181" s="242">
        <v>179</v>
      </c>
      <c r="B181" s="255" t="s">
        <v>7580</v>
      </c>
      <c r="C181" s="242" t="s">
        <v>1616</v>
      </c>
      <c r="D181" s="241" t="s">
        <v>5366</v>
      </c>
      <c r="E181" s="307" t="s">
        <v>7581</v>
      </c>
      <c r="F181" s="246" t="s">
        <v>2352</v>
      </c>
      <c r="G181" s="351">
        <v>40865</v>
      </c>
      <c r="H181" s="350" t="s">
        <v>52</v>
      </c>
      <c r="I181" s="259" t="s">
        <v>5396</v>
      </c>
      <c r="J181" s="307" t="s">
        <v>7582</v>
      </c>
      <c r="K181" s="307" t="s">
        <v>7583</v>
      </c>
      <c r="L181" s="246" t="s">
        <v>7584</v>
      </c>
      <c r="M181" s="246"/>
      <c r="N181" s="246" t="s">
        <v>7585</v>
      </c>
      <c r="O181" s="246" t="s">
        <v>3147</v>
      </c>
      <c r="P181" s="307" t="s">
        <v>5448</v>
      </c>
      <c r="Q181" s="307" t="s">
        <v>5461</v>
      </c>
      <c r="R181" s="246" t="s">
        <v>3581</v>
      </c>
      <c r="S181" s="246" t="s">
        <v>5422</v>
      </c>
      <c r="T181" s="246"/>
      <c r="U181" s="307" t="s">
        <v>5657</v>
      </c>
      <c r="V181" s="246" t="s">
        <v>7586</v>
      </c>
      <c r="W181" s="307" t="s">
        <v>7587</v>
      </c>
      <c r="X181" s="246" t="s">
        <v>7588</v>
      </c>
      <c r="Y181" s="246" t="s">
        <v>5772</v>
      </c>
      <c r="Z181" s="246" t="s">
        <v>5427</v>
      </c>
      <c r="AA181" s="246" t="s">
        <v>7589</v>
      </c>
      <c r="AB181" s="307" t="s">
        <v>7590</v>
      </c>
      <c r="AC181" s="246" t="s">
        <v>7591</v>
      </c>
      <c r="AD181" s="246" t="s">
        <v>5772</v>
      </c>
      <c r="AE181" s="246" t="s">
        <v>5412</v>
      </c>
      <c r="AF181" s="246" t="s">
        <v>7476</v>
      </c>
      <c r="AG181" s="246"/>
      <c r="AH181" s="246">
        <v>2</v>
      </c>
      <c r="AI181" s="254" t="s">
        <v>7592</v>
      </c>
    </row>
    <row r="182" spans="1:35" ht="13.5" customHeight="1" x14ac:dyDescent="0.3">
      <c r="A182" s="242">
        <v>180</v>
      </c>
      <c r="B182" s="255" t="s">
        <v>7593</v>
      </c>
      <c r="C182" s="256" t="s">
        <v>1617</v>
      </c>
      <c r="D182" s="241" t="s">
        <v>5349</v>
      </c>
      <c r="E182" s="307" t="s">
        <v>7594</v>
      </c>
      <c r="F182" s="246" t="s">
        <v>2352</v>
      </c>
      <c r="G182" s="351">
        <v>40825</v>
      </c>
      <c r="H182" s="350" t="s">
        <v>53</v>
      </c>
      <c r="I182" s="259" t="s">
        <v>5396</v>
      </c>
      <c r="J182" s="307" t="s">
        <v>7595</v>
      </c>
      <c r="K182" s="307" t="s">
        <v>7596</v>
      </c>
      <c r="L182" s="246" t="s">
        <v>7597</v>
      </c>
      <c r="M182" s="246"/>
      <c r="N182" s="246" t="s">
        <v>7598</v>
      </c>
      <c r="O182" s="246" t="s">
        <v>3147</v>
      </c>
      <c r="P182" s="307" t="s">
        <v>5448</v>
      </c>
      <c r="Q182" s="307" t="s">
        <v>5461</v>
      </c>
      <c r="R182" s="246" t="s">
        <v>3581</v>
      </c>
      <c r="S182" s="246" t="s">
        <v>5422</v>
      </c>
      <c r="T182" s="246"/>
      <c r="U182" s="307" t="s">
        <v>5657</v>
      </c>
      <c r="V182" s="246" t="s">
        <v>7599</v>
      </c>
      <c r="W182" s="307" t="s">
        <v>7600</v>
      </c>
      <c r="X182" s="246" t="s">
        <v>7601</v>
      </c>
      <c r="Y182" s="246" t="s">
        <v>5785</v>
      </c>
      <c r="Z182" s="246" t="s">
        <v>5442</v>
      </c>
      <c r="AA182" s="246" t="s">
        <v>7602</v>
      </c>
      <c r="AB182" s="307" t="s">
        <v>7603</v>
      </c>
      <c r="AC182" s="246" t="s">
        <v>7604</v>
      </c>
      <c r="AD182" s="246" t="s">
        <v>5772</v>
      </c>
      <c r="AE182" s="246" t="s">
        <v>5412</v>
      </c>
      <c r="AF182" s="246" t="s">
        <v>7476</v>
      </c>
      <c r="AG182" s="246"/>
      <c r="AH182" s="246">
        <v>1</v>
      </c>
      <c r="AI182" s="254" t="s">
        <v>7605</v>
      </c>
    </row>
    <row r="183" spans="1:35" ht="13.5" customHeight="1" x14ac:dyDescent="0.3">
      <c r="A183" s="203">
        <v>181</v>
      </c>
      <c r="B183" s="204" t="s">
        <v>7606</v>
      </c>
      <c r="C183" s="203" t="s">
        <v>1616</v>
      </c>
      <c r="D183" s="239" t="s">
        <v>5317</v>
      </c>
      <c r="E183" s="315" t="s">
        <v>7607</v>
      </c>
      <c r="F183" s="239" t="s">
        <v>2377</v>
      </c>
      <c r="G183" s="320">
        <v>40704</v>
      </c>
      <c r="H183" s="319" t="s">
        <v>52</v>
      </c>
      <c r="I183" s="210" t="s">
        <v>5396</v>
      </c>
      <c r="J183" s="315" t="s">
        <v>7608</v>
      </c>
      <c r="K183" s="315" t="s">
        <v>7609</v>
      </c>
      <c r="L183" s="239" t="s">
        <v>7610</v>
      </c>
      <c r="M183" s="239"/>
      <c r="N183" s="239" t="s">
        <v>7611</v>
      </c>
      <c r="O183" s="239" t="s">
        <v>2845</v>
      </c>
      <c r="P183" s="315" t="s">
        <v>5394</v>
      </c>
      <c r="Q183" s="315" t="s">
        <v>5157</v>
      </c>
      <c r="R183" s="239" t="s">
        <v>3581</v>
      </c>
      <c r="S183" s="239" t="s">
        <v>5422</v>
      </c>
      <c r="T183" s="239"/>
      <c r="U183" s="315" t="s">
        <v>5657</v>
      </c>
      <c r="V183" s="239" t="s">
        <v>7612</v>
      </c>
      <c r="W183" s="315" t="s">
        <v>7613</v>
      </c>
      <c r="X183" s="239" t="s">
        <v>7614</v>
      </c>
      <c r="Y183" s="239" t="s">
        <v>5785</v>
      </c>
      <c r="Z183" s="239" t="s">
        <v>5442</v>
      </c>
      <c r="AA183" s="239" t="s">
        <v>5484</v>
      </c>
      <c r="AB183" s="315" t="s">
        <v>7615</v>
      </c>
      <c r="AC183" s="239" t="s">
        <v>7616</v>
      </c>
      <c r="AD183" s="239" t="s">
        <v>5785</v>
      </c>
      <c r="AE183" s="239" t="s">
        <v>5412</v>
      </c>
      <c r="AF183" s="239" t="s">
        <v>7425</v>
      </c>
      <c r="AG183" s="239"/>
      <c r="AH183" s="239">
        <v>1</v>
      </c>
      <c r="AI183" s="218" t="s">
        <v>7617</v>
      </c>
    </row>
    <row r="184" spans="1:35" ht="13.5" customHeight="1" x14ac:dyDescent="0.3">
      <c r="A184" s="203">
        <v>182</v>
      </c>
      <c r="B184" s="204" t="s">
        <v>7618</v>
      </c>
      <c r="C184" s="203" t="s">
        <v>1616</v>
      </c>
      <c r="D184" s="239" t="s">
        <v>5318</v>
      </c>
      <c r="E184" s="315">
        <v>3116167030</v>
      </c>
      <c r="F184" s="239" t="s">
        <v>2377</v>
      </c>
      <c r="G184" s="320">
        <v>40902</v>
      </c>
      <c r="H184" s="319" t="s">
        <v>52</v>
      </c>
      <c r="I184" s="210" t="s">
        <v>5396</v>
      </c>
      <c r="J184" s="315" t="s">
        <v>7619</v>
      </c>
      <c r="K184" s="315" t="s">
        <v>7620</v>
      </c>
      <c r="L184" s="239" t="s">
        <v>7621</v>
      </c>
      <c r="M184" s="239"/>
      <c r="N184" s="239" t="s">
        <v>7622</v>
      </c>
      <c r="O184" s="239" t="s">
        <v>2986</v>
      </c>
      <c r="P184" s="315" t="s">
        <v>5415</v>
      </c>
      <c r="Q184" s="315" t="s">
        <v>5556</v>
      </c>
      <c r="R184" s="239" t="s">
        <v>3581</v>
      </c>
      <c r="S184" s="239" t="s">
        <v>5422</v>
      </c>
      <c r="T184" s="239"/>
      <c r="U184" s="315" t="s">
        <v>7623</v>
      </c>
      <c r="V184" s="239" t="s">
        <v>7624</v>
      </c>
      <c r="W184" s="315" t="s">
        <v>7625</v>
      </c>
      <c r="X184" s="239" t="s">
        <v>7626</v>
      </c>
      <c r="Y184" s="239" t="s">
        <v>5785</v>
      </c>
      <c r="Z184" s="239" t="s">
        <v>5551</v>
      </c>
      <c r="AA184" s="239" t="s">
        <v>7627</v>
      </c>
      <c r="AB184" s="315" t="s">
        <v>7628</v>
      </c>
      <c r="AC184" s="239" t="s">
        <v>7629</v>
      </c>
      <c r="AD184" s="239" t="s">
        <v>7630</v>
      </c>
      <c r="AE184" s="239" t="s">
        <v>5412</v>
      </c>
      <c r="AF184" s="239" t="s">
        <v>7425</v>
      </c>
      <c r="AG184" s="239"/>
      <c r="AH184" s="239">
        <v>1</v>
      </c>
      <c r="AI184" s="218" t="s">
        <v>7631</v>
      </c>
    </row>
    <row r="185" spans="1:35" ht="13.5" customHeight="1" x14ac:dyDescent="0.3">
      <c r="A185" s="203">
        <v>183</v>
      </c>
      <c r="B185" s="204" t="s">
        <v>7632</v>
      </c>
      <c r="C185" s="203" t="s">
        <v>1616</v>
      </c>
      <c r="D185" s="239" t="s">
        <v>5319</v>
      </c>
      <c r="E185" s="315">
        <v>3119144477</v>
      </c>
      <c r="F185" s="239" t="s">
        <v>2377</v>
      </c>
      <c r="G185" s="320">
        <v>40604</v>
      </c>
      <c r="H185" s="319" t="s">
        <v>52</v>
      </c>
      <c r="I185" s="210" t="s">
        <v>5396</v>
      </c>
      <c r="J185" s="315" t="s">
        <v>7633</v>
      </c>
      <c r="K185" s="315" t="s">
        <v>7634</v>
      </c>
      <c r="L185" s="239" t="s">
        <v>7635</v>
      </c>
      <c r="M185" s="239"/>
      <c r="N185" s="239" t="s">
        <v>7636</v>
      </c>
      <c r="O185" s="239" t="s">
        <v>2845</v>
      </c>
      <c r="P185" s="315" t="s">
        <v>5394</v>
      </c>
      <c r="Q185" s="315" t="s">
        <v>5157</v>
      </c>
      <c r="R185" s="239" t="s">
        <v>3581</v>
      </c>
      <c r="S185" s="239" t="s">
        <v>5422</v>
      </c>
      <c r="T185" s="239"/>
      <c r="U185" s="315" t="s">
        <v>5657</v>
      </c>
      <c r="V185" s="239" t="s">
        <v>4103</v>
      </c>
      <c r="W185" s="315" t="s">
        <v>7637</v>
      </c>
      <c r="X185" s="239" t="s">
        <v>7638</v>
      </c>
      <c r="Y185" s="239" t="s">
        <v>5772</v>
      </c>
      <c r="Z185" s="239" t="s">
        <v>5442</v>
      </c>
      <c r="AA185" s="239" t="s">
        <v>7639</v>
      </c>
      <c r="AB185" s="315" t="s">
        <v>7640</v>
      </c>
      <c r="AC185" s="239" t="s">
        <v>7641</v>
      </c>
      <c r="AD185" s="239" t="s">
        <v>5785</v>
      </c>
      <c r="AE185" s="239" t="s">
        <v>5412</v>
      </c>
      <c r="AF185" s="239" t="s">
        <v>7425</v>
      </c>
      <c r="AG185" s="239"/>
      <c r="AH185" s="239">
        <v>2</v>
      </c>
      <c r="AI185" s="218" t="s">
        <v>7642</v>
      </c>
    </row>
    <row r="186" spans="1:35" ht="13.5" customHeight="1" x14ac:dyDescent="0.3">
      <c r="A186" s="203">
        <v>184</v>
      </c>
      <c r="B186" s="204" t="s">
        <v>7643</v>
      </c>
      <c r="C186" s="203" t="s">
        <v>1616</v>
      </c>
      <c r="D186" s="239" t="s">
        <v>5320</v>
      </c>
      <c r="E186" s="315">
        <v>115143536</v>
      </c>
      <c r="F186" s="239" t="s">
        <v>2377</v>
      </c>
      <c r="G186" s="320">
        <v>40716</v>
      </c>
      <c r="H186" s="319" t="s">
        <v>52</v>
      </c>
      <c r="I186" s="210" t="s">
        <v>5396</v>
      </c>
      <c r="J186" s="315" t="s">
        <v>7644</v>
      </c>
      <c r="K186" s="315" t="s">
        <v>7645</v>
      </c>
      <c r="L186" s="239" t="s">
        <v>7646</v>
      </c>
      <c r="M186" s="321"/>
      <c r="N186" s="239"/>
      <c r="O186" s="239" t="s">
        <v>2845</v>
      </c>
      <c r="P186" s="315" t="s">
        <v>5394</v>
      </c>
      <c r="Q186" s="315" t="s">
        <v>5157</v>
      </c>
      <c r="R186" s="239" t="s">
        <v>3581</v>
      </c>
      <c r="S186" s="239" t="s">
        <v>5422</v>
      </c>
      <c r="T186" s="239"/>
      <c r="U186" s="315" t="s">
        <v>5657</v>
      </c>
      <c r="V186" s="239" t="s">
        <v>7647</v>
      </c>
      <c r="W186" s="315" t="s">
        <v>7648</v>
      </c>
      <c r="X186" s="239" t="s">
        <v>7649</v>
      </c>
      <c r="Y186" s="239" t="s">
        <v>5785</v>
      </c>
      <c r="Z186" s="239" t="s">
        <v>5551</v>
      </c>
      <c r="AA186" s="239" t="s">
        <v>7650</v>
      </c>
      <c r="AB186" s="315"/>
      <c r="AC186" s="239"/>
      <c r="AD186" s="239"/>
      <c r="AE186" s="239"/>
      <c r="AF186" s="239" t="s">
        <v>7476</v>
      </c>
      <c r="AG186" s="239"/>
      <c r="AH186" s="239">
        <v>1</v>
      </c>
      <c r="AI186" s="218"/>
    </row>
    <row r="187" spans="1:35" ht="13.5" customHeight="1" x14ac:dyDescent="0.3">
      <c r="A187" s="203">
        <v>185</v>
      </c>
      <c r="B187" s="204" t="s">
        <v>7651</v>
      </c>
      <c r="C187" s="203" t="s">
        <v>1617</v>
      </c>
      <c r="D187" s="241" t="s">
        <v>5350</v>
      </c>
      <c r="E187" s="315" t="s">
        <v>7652</v>
      </c>
      <c r="F187" s="239" t="s">
        <v>2352</v>
      </c>
      <c r="G187" s="320">
        <v>40898</v>
      </c>
      <c r="H187" s="319" t="s">
        <v>52</v>
      </c>
      <c r="I187" s="210" t="s">
        <v>5396</v>
      </c>
      <c r="J187" s="315" t="s">
        <v>7653</v>
      </c>
      <c r="K187" s="315" t="s">
        <v>7654</v>
      </c>
      <c r="L187" s="239"/>
      <c r="M187" s="239"/>
      <c r="N187" s="239" t="s">
        <v>7655</v>
      </c>
      <c r="O187" s="239" t="s">
        <v>6365</v>
      </c>
      <c r="P187" s="315" t="s">
        <v>5415</v>
      </c>
      <c r="Q187" s="315" t="s">
        <v>5502</v>
      </c>
      <c r="R187" s="239" t="s">
        <v>3581</v>
      </c>
      <c r="S187" s="239" t="s">
        <v>5422</v>
      </c>
      <c r="T187" s="239"/>
      <c r="U187" s="315" t="s">
        <v>5657</v>
      </c>
      <c r="V187" s="239" t="s">
        <v>7656</v>
      </c>
      <c r="W187" s="315" t="s">
        <v>7657</v>
      </c>
      <c r="X187" s="239" t="s">
        <v>7658</v>
      </c>
      <c r="Y187" s="239" t="s">
        <v>5785</v>
      </c>
      <c r="Z187" s="239" t="s">
        <v>5442</v>
      </c>
      <c r="AA187" s="239" t="s">
        <v>7659</v>
      </c>
      <c r="AB187" s="315" t="s">
        <v>7660</v>
      </c>
      <c r="AC187" s="239" t="s">
        <v>7661</v>
      </c>
      <c r="AD187" s="239" t="s">
        <v>5785</v>
      </c>
      <c r="AE187" s="239" t="s">
        <v>5412</v>
      </c>
      <c r="AF187" s="239" t="s">
        <v>7662</v>
      </c>
      <c r="AG187" s="239"/>
      <c r="AH187" s="239">
        <v>3</v>
      </c>
      <c r="AI187" s="218" t="s">
        <v>7663</v>
      </c>
    </row>
    <row r="188" spans="1:35" ht="13.5" customHeight="1" x14ac:dyDescent="0.3">
      <c r="A188" s="203">
        <v>186</v>
      </c>
      <c r="B188" s="204" t="s">
        <v>7664</v>
      </c>
      <c r="C188" s="203" t="s">
        <v>1616</v>
      </c>
      <c r="D188" s="239" t="s">
        <v>5321</v>
      </c>
      <c r="E188" s="315">
        <v>3118026662</v>
      </c>
      <c r="F188" s="239" t="s">
        <v>2377</v>
      </c>
      <c r="G188" s="320">
        <v>40866</v>
      </c>
      <c r="H188" s="319" t="s">
        <v>52</v>
      </c>
      <c r="I188" s="210" t="s">
        <v>5396</v>
      </c>
      <c r="J188" s="315" t="s">
        <v>7665</v>
      </c>
      <c r="K188" s="315" t="s">
        <v>7666</v>
      </c>
      <c r="L188" s="239" t="s">
        <v>7667</v>
      </c>
      <c r="M188" s="239"/>
      <c r="N188" s="239" t="s">
        <v>7668</v>
      </c>
      <c r="O188" s="239" t="s">
        <v>2986</v>
      </c>
      <c r="P188" s="315" t="s">
        <v>5432</v>
      </c>
      <c r="Q188" s="315" t="s">
        <v>5556</v>
      </c>
      <c r="R188" s="239" t="s">
        <v>3581</v>
      </c>
      <c r="S188" s="239" t="s">
        <v>5422</v>
      </c>
      <c r="T188" s="239"/>
      <c r="U188" s="315" t="s">
        <v>5657</v>
      </c>
      <c r="V188" s="239" t="s">
        <v>7669</v>
      </c>
      <c r="W188" s="315" t="s">
        <v>7670</v>
      </c>
      <c r="X188" s="239" t="s">
        <v>7671</v>
      </c>
      <c r="Y188" s="239" t="s">
        <v>5785</v>
      </c>
      <c r="Z188" s="239" t="s">
        <v>5551</v>
      </c>
      <c r="AA188" s="239" t="s">
        <v>7672</v>
      </c>
      <c r="AB188" s="315" t="s">
        <v>7673</v>
      </c>
      <c r="AC188" s="239" t="s">
        <v>7674</v>
      </c>
      <c r="AD188" s="239" t="s">
        <v>5785</v>
      </c>
      <c r="AE188" s="239" t="s">
        <v>5412</v>
      </c>
      <c r="AF188" s="239" t="s">
        <v>7425</v>
      </c>
      <c r="AG188" s="239"/>
      <c r="AH188" s="239">
        <v>2</v>
      </c>
      <c r="AI188" s="218" t="s">
        <v>7675</v>
      </c>
    </row>
    <row r="189" spans="1:35" ht="13.5" customHeight="1" x14ac:dyDescent="0.3">
      <c r="A189" s="203">
        <v>187</v>
      </c>
      <c r="B189" s="204" t="s">
        <v>7676</v>
      </c>
      <c r="C189" s="203" t="s">
        <v>1615</v>
      </c>
      <c r="D189" s="239" t="s">
        <v>5365</v>
      </c>
      <c r="E189" s="315">
        <v>3121206079</v>
      </c>
      <c r="F189" s="239" t="s">
        <v>2377</v>
      </c>
      <c r="G189" s="320">
        <v>40989</v>
      </c>
      <c r="H189" s="319" t="s">
        <v>52</v>
      </c>
      <c r="I189" s="210" t="s">
        <v>5396</v>
      </c>
      <c r="J189" s="315" t="s">
        <v>7677</v>
      </c>
      <c r="K189" s="315" t="s">
        <v>7678</v>
      </c>
      <c r="L189" s="239" t="s">
        <v>7679</v>
      </c>
      <c r="M189" s="239" t="s">
        <v>7680</v>
      </c>
      <c r="N189" s="321"/>
      <c r="O189" s="239" t="s">
        <v>7681</v>
      </c>
      <c r="P189" s="315" t="s">
        <v>5448</v>
      </c>
      <c r="Q189" s="315" t="s">
        <v>5461</v>
      </c>
      <c r="R189" s="239" t="s">
        <v>2485</v>
      </c>
      <c r="S189" s="239" t="s">
        <v>5422</v>
      </c>
      <c r="T189" s="239"/>
      <c r="U189" s="239">
        <v>40562</v>
      </c>
      <c r="V189" s="239" t="s">
        <v>7682</v>
      </c>
      <c r="W189" s="315" t="s">
        <v>7683</v>
      </c>
      <c r="X189" s="239" t="s">
        <v>7684</v>
      </c>
      <c r="Y189" s="239" t="s">
        <v>5904</v>
      </c>
      <c r="Z189" s="239" t="s">
        <v>5442</v>
      </c>
      <c r="AA189" s="239" t="s">
        <v>2861</v>
      </c>
      <c r="AB189" s="315" t="s">
        <v>7685</v>
      </c>
      <c r="AC189" s="239" t="s">
        <v>7686</v>
      </c>
      <c r="AD189" s="239" t="s">
        <v>5904</v>
      </c>
      <c r="AE189" s="239" t="s">
        <v>5412</v>
      </c>
      <c r="AF189" s="239" t="s">
        <v>4816</v>
      </c>
      <c r="AG189" s="239"/>
      <c r="AH189" s="239">
        <v>4</v>
      </c>
      <c r="AI189" s="218" t="s">
        <v>7687</v>
      </c>
    </row>
    <row r="190" spans="1:35" ht="13.5" customHeight="1" x14ac:dyDescent="0.3">
      <c r="A190" s="106">
        <v>188</v>
      </c>
      <c r="B190" s="188" t="s">
        <v>7688</v>
      </c>
      <c r="C190" s="106" t="s">
        <v>1614</v>
      </c>
      <c r="D190" s="101" t="s">
        <v>5261</v>
      </c>
      <c r="E190" s="107" t="s">
        <v>7689</v>
      </c>
      <c r="F190" s="101" t="s">
        <v>2352</v>
      </c>
      <c r="G190" s="323">
        <v>40857</v>
      </c>
      <c r="H190" s="105" t="s">
        <v>52</v>
      </c>
      <c r="I190" s="193"/>
      <c r="J190" s="107" t="s">
        <v>7690</v>
      </c>
      <c r="K190" s="107" t="s">
        <v>7691</v>
      </c>
      <c r="L190" s="101" t="s">
        <v>7692</v>
      </c>
      <c r="M190" s="101"/>
      <c r="N190" s="101" t="s">
        <v>7693</v>
      </c>
      <c r="O190" s="101" t="s">
        <v>7694</v>
      </c>
      <c r="P190" s="107" t="s">
        <v>5415</v>
      </c>
      <c r="Q190" s="107" t="s">
        <v>5448</v>
      </c>
      <c r="R190" s="101" t="s">
        <v>7695</v>
      </c>
      <c r="S190" s="101" t="s">
        <v>7696</v>
      </c>
      <c r="T190" s="101"/>
      <c r="U190" s="101">
        <v>40551</v>
      </c>
      <c r="V190" s="101" t="s">
        <v>7697</v>
      </c>
      <c r="W190" s="107" t="s">
        <v>7698</v>
      </c>
      <c r="X190" s="101" t="s">
        <v>7699</v>
      </c>
      <c r="Y190" s="101" t="s">
        <v>5772</v>
      </c>
      <c r="Z190" s="101" t="s">
        <v>5551</v>
      </c>
      <c r="AA190" s="101" t="s">
        <v>7700</v>
      </c>
      <c r="AB190" s="107" t="s">
        <v>7701</v>
      </c>
      <c r="AC190" s="101" t="s">
        <v>7702</v>
      </c>
      <c r="AD190" s="101" t="s">
        <v>5904</v>
      </c>
      <c r="AE190" s="101" t="s">
        <v>5412</v>
      </c>
      <c r="AF190" s="101" t="s">
        <v>7703</v>
      </c>
      <c r="AG190" s="101"/>
      <c r="AH190" s="101">
        <v>2</v>
      </c>
      <c r="AI190" s="200"/>
    </row>
    <row r="191" spans="1:35" ht="13.5" customHeight="1" x14ac:dyDescent="0.3">
      <c r="A191" s="106">
        <v>189</v>
      </c>
      <c r="B191" s="188" t="s">
        <v>7704</v>
      </c>
      <c r="C191" s="106" t="s">
        <v>1616</v>
      </c>
      <c r="D191" s="101" t="s">
        <v>5322</v>
      </c>
      <c r="E191" s="107" t="s">
        <v>7705</v>
      </c>
      <c r="F191" s="101" t="s">
        <v>2377</v>
      </c>
      <c r="G191" s="323">
        <v>41015</v>
      </c>
      <c r="H191" s="105" t="s">
        <v>53</v>
      </c>
      <c r="I191" s="193" t="s">
        <v>5396</v>
      </c>
      <c r="J191" s="107" t="s">
        <v>7706</v>
      </c>
      <c r="K191" s="107" t="s">
        <v>7707</v>
      </c>
      <c r="L191" s="101" t="s">
        <v>7708</v>
      </c>
      <c r="M191" s="101"/>
      <c r="N191" s="101" t="s">
        <v>7709</v>
      </c>
      <c r="O191" s="101" t="s">
        <v>7710</v>
      </c>
      <c r="P191" s="107" t="s">
        <v>5415</v>
      </c>
      <c r="Q191" s="107" t="s">
        <v>5520</v>
      </c>
      <c r="R191" s="101" t="s">
        <v>7710</v>
      </c>
      <c r="S191" s="101" t="s">
        <v>7711</v>
      </c>
      <c r="T191" s="101"/>
      <c r="U191" s="101">
        <v>40561</v>
      </c>
      <c r="V191" s="101" t="s">
        <v>7712</v>
      </c>
      <c r="W191" s="107" t="s">
        <v>7713</v>
      </c>
      <c r="X191" s="101" t="s">
        <v>7714</v>
      </c>
      <c r="Y191" s="101" t="s">
        <v>5785</v>
      </c>
      <c r="Z191" s="101" t="s">
        <v>5427</v>
      </c>
      <c r="AA191" s="101" t="s">
        <v>7715</v>
      </c>
      <c r="AB191" s="107" t="s">
        <v>7716</v>
      </c>
      <c r="AC191" s="101" t="s">
        <v>7717</v>
      </c>
      <c r="AD191" s="101" t="s">
        <v>5785</v>
      </c>
      <c r="AE191" s="101" t="s">
        <v>5412</v>
      </c>
      <c r="AF191" s="101" t="s">
        <v>7718</v>
      </c>
      <c r="AG191" s="101"/>
      <c r="AH191" s="101">
        <v>2</v>
      </c>
      <c r="AI191" s="200" t="s">
        <v>7719</v>
      </c>
    </row>
    <row r="192" spans="1:35" ht="13.5" customHeight="1" x14ac:dyDescent="0.3">
      <c r="A192" s="106">
        <v>190</v>
      </c>
      <c r="B192" s="188" t="s">
        <v>7720</v>
      </c>
      <c r="C192" s="106" t="s">
        <v>1615</v>
      </c>
      <c r="D192" s="101" t="s">
        <v>5286</v>
      </c>
      <c r="E192" s="107" t="s">
        <v>7721</v>
      </c>
      <c r="F192" s="101" t="s">
        <v>2468</v>
      </c>
      <c r="G192" s="323">
        <v>40843</v>
      </c>
      <c r="H192" s="105" t="s">
        <v>53</v>
      </c>
      <c r="I192" s="193" t="s">
        <v>5396</v>
      </c>
      <c r="J192" s="107" t="s">
        <v>7722</v>
      </c>
      <c r="K192" s="107" t="s">
        <v>7723</v>
      </c>
      <c r="L192" s="101" t="s">
        <v>7724</v>
      </c>
      <c r="M192" s="101"/>
      <c r="N192" s="54" t="s">
        <v>7725</v>
      </c>
      <c r="O192" s="101" t="s">
        <v>7726</v>
      </c>
      <c r="P192" s="107" t="s">
        <v>5514</v>
      </c>
      <c r="Q192" s="107" t="s">
        <v>5584</v>
      </c>
      <c r="R192" s="101" t="s">
        <v>7727</v>
      </c>
      <c r="S192" s="101" t="s">
        <v>7728</v>
      </c>
      <c r="T192" s="101"/>
      <c r="U192" s="101"/>
      <c r="V192" s="101" t="s">
        <v>7729</v>
      </c>
      <c r="W192" s="107" t="s">
        <v>7730</v>
      </c>
      <c r="X192" s="101" t="s">
        <v>7731</v>
      </c>
      <c r="Y192" s="101" t="s">
        <v>5785</v>
      </c>
      <c r="Z192" s="101" t="s">
        <v>5427</v>
      </c>
      <c r="AA192" s="101" t="s">
        <v>7732</v>
      </c>
      <c r="AB192" s="107" t="s">
        <v>7733</v>
      </c>
      <c r="AC192" s="101" t="s">
        <v>7734</v>
      </c>
      <c r="AD192" s="101" t="s">
        <v>5785</v>
      </c>
      <c r="AE192" s="101" t="s">
        <v>5427</v>
      </c>
      <c r="AF192" s="54" t="s">
        <v>7735</v>
      </c>
      <c r="AG192" s="101"/>
      <c r="AH192" s="101">
        <v>1</v>
      </c>
      <c r="AI192" s="200" t="s">
        <v>7736</v>
      </c>
    </row>
    <row r="193" spans="1:35" ht="13.5" customHeight="1" x14ac:dyDescent="0.3">
      <c r="A193" s="106">
        <v>191</v>
      </c>
      <c r="B193" s="188" t="s">
        <v>7737</v>
      </c>
      <c r="C193" s="189" t="s">
        <v>1615</v>
      </c>
      <c r="D193" s="54" t="s">
        <v>5287</v>
      </c>
      <c r="E193" s="200" t="s">
        <v>7738</v>
      </c>
      <c r="F193" s="54" t="s">
        <v>2377</v>
      </c>
      <c r="G193" s="108">
        <v>40759</v>
      </c>
      <c r="H193" s="105" t="s">
        <v>53</v>
      </c>
      <c r="I193" s="54" t="s">
        <v>5396</v>
      </c>
      <c r="J193" s="200" t="s">
        <v>7739</v>
      </c>
      <c r="K193" s="200" t="s">
        <v>7740</v>
      </c>
      <c r="L193" s="54" t="s">
        <v>7741</v>
      </c>
      <c r="M193" s="54"/>
      <c r="N193" s="54" t="s">
        <v>7742</v>
      </c>
      <c r="O193" s="54" t="s">
        <v>6365</v>
      </c>
      <c r="P193" s="200" t="s">
        <v>5415</v>
      </c>
      <c r="Q193" s="200" t="s">
        <v>5584</v>
      </c>
      <c r="R193" s="54" t="s">
        <v>3581</v>
      </c>
      <c r="S193" s="54" t="s">
        <v>5422</v>
      </c>
      <c r="T193" s="54"/>
      <c r="U193" s="352" t="s">
        <v>5657</v>
      </c>
      <c r="V193" s="54" t="s">
        <v>7743</v>
      </c>
      <c r="W193" s="200" t="s">
        <v>7744</v>
      </c>
      <c r="X193" s="54" t="s">
        <v>7745</v>
      </c>
      <c r="Y193" s="54" t="s">
        <v>5904</v>
      </c>
      <c r="Z193" s="54" t="s">
        <v>5442</v>
      </c>
      <c r="AA193" s="54" t="s">
        <v>2826</v>
      </c>
      <c r="AB193" s="200" t="s">
        <v>7746</v>
      </c>
      <c r="AC193" s="54" t="s">
        <v>7747</v>
      </c>
      <c r="AD193" s="54" t="s">
        <v>5904</v>
      </c>
      <c r="AE193" s="54" t="s">
        <v>5412</v>
      </c>
      <c r="AF193" s="54" t="s">
        <v>7735</v>
      </c>
      <c r="AG193" s="54"/>
      <c r="AH193" s="105">
        <v>3</v>
      </c>
      <c r="AI193" s="200" t="s">
        <v>7748</v>
      </c>
    </row>
    <row r="194" spans="1:35" ht="13.5" customHeight="1" x14ac:dyDescent="0.3">
      <c r="A194" s="106">
        <v>192</v>
      </c>
      <c r="B194" s="188" t="s">
        <v>7749</v>
      </c>
      <c r="C194" s="106" t="s">
        <v>1616</v>
      </c>
      <c r="D194" s="54" t="s">
        <v>5323</v>
      </c>
      <c r="E194" s="200" t="s">
        <v>7750</v>
      </c>
      <c r="F194" s="54" t="s">
        <v>7751</v>
      </c>
      <c r="G194" s="108">
        <v>40806</v>
      </c>
      <c r="H194" s="106" t="s">
        <v>53</v>
      </c>
      <c r="I194" s="54" t="s">
        <v>5396</v>
      </c>
      <c r="J194" s="200" t="s">
        <v>7752</v>
      </c>
      <c r="K194" s="200" t="s">
        <v>7753</v>
      </c>
      <c r="L194" s="54" t="s">
        <v>7754</v>
      </c>
      <c r="M194" s="54"/>
      <c r="N194" s="54" t="s">
        <v>7755</v>
      </c>
      <c r="O194" s="54" t="s">
        <v>6365</v>
      </c>
      <c r="P194" s="200" t="s">
        <v>5394</v>
      </c>
      <c r="Q194" s="200" t="s">
        <v>5461</v>
      </c>
      <c r="R194" s="54" t="s">
        <v>2917</v>
      </c>
      <c r="S194" s="54" t="s">
        <v>3961</v>
      </c>
      <c r="T194" s="54"/>
      <c r="U194" s="101"/>
      <c r="V194" s="54" t="s">
        <v>7756</v>
      </c>
      <c r="W194" s="200"/>
      <c r="X194" s="54"/>
      <c r="Y194" s="54"/>
      <c r="Z194" s="54"/>
      <c r="AA194" s="54" t="s">
        <v>7044</v>
      </c>
      <c r="AB194" s="200" t="s">
        <v>7757</v>
      </c>
      <c r="AC194" s="54" t="s">
        <v>7758</v>
      </c>
      <c r="AD194" s="54" t="s">
        <v>5785</v>
      </c>
      <c r="AE194" s="54" t="s">
        <v>5412</v>
      </c>
      <c r="AF194" s="54" t="s">
        <v>7735</v>
      </c>
      <c r="AG194" s="54"/>
      <c r="AH194" s="54">
        <v>1</v>
      </c>
      <c r="AI194" s="54"/>
    </row>
    <row r="195" spans="1:35" ht="13.5" customHeight="1" x14ac:dyDescent="0.3">
      <c r="A195" s="106">
        <v>193</v>
      </c>
      <c r="B195" s="188" t="s">
        <v>7759</v>
      </c>
      <c r="C195" s="106" t="s">
        <v>1615</v>
      </c>
      <c r="D195" s="54" t="s">
        <v>5288</v>
      </c>
      <c r="E195" s="200" t="s">
        <v>7760</v>
      </c>
      <c r="F195" s="54" t="s">
        <v>2377</v>
      </c>
      <c r="G195" s="108">
        <v>41090</v>
      </c>
      <c r="H195" s="106" t="s">
        <v>52</v>
      </c>
      <c r="I195" s="54" t="s">
        <v>5396</v>
      </c>
      <c r="J195" s="200" t="s">
        <v>7761</v>
      </c>
      <c r="K195" s="200" t="s">
        <v>7762</v>
      </c>
      <c r="L195" s="54" t="s">
        <v>7763</v>
      </c>
      <c r="M195" s="54"/>
      <c r="N195" s="54"/>
      <c r="O195" s="54" t="s">
        <v>7764</v>
      </c>
      <c r="P195" s="200" t="s">
        <v>5415</v>
      </c>
      <c r="Q195" s="200" t="s">
        <v>5595</v>
      </c>
      <c r="R195" s="54" t="s">
        <v>3581</v>
      </c>
      <c r="S195" s="54" t="s">
        <v>5422</v>
      </c>
      <c r="T195" s="54"/>
      <c r="U195" s="200" t="s">
        <v>5657</v>
      </c>
      <c r="V195" s="54" t="s">
        <v>7765</v>
      </c>
      <c r="W195" s="200" t="s">
        <v>7766</v>
      </c>
      <c r="X195" s="54" t="s">
        <v>7767</v>
      </c>
      <c r="Y195" s="54" t="s">
        <v>5785</v>
      </c>
      <c r="Z195" s="54" t="s">
        <v>5442</v>
      </c>
      <c r="AA195" s="54" t="s">
        <v>7768</v>
      </c>
      <c r="AB195" s="200" t="s">
        <v>7769</v>
      </c>
      <c r="AC195" s="54" t="s">
        <v>7770</v>
      </c>
      <c r="AD195" s="54" t="s">
        <v>5772</v>
      </c>
      <c r="AE195" s="54" t="s">
        <v>5412</v>
      </c>
      <c r="AF195" s="54" t="s">
        <v>7735</v>
      </c>
      <c r="AG195" s="200" t="s">
        <v>7771</v>
      </c>
      <c r="AH195" s="54">
        <v>6</v>
      </c>
      <c r="AI195" s="54"/>
    </row>
    <row r="196" spans="1:35" ht="13.5" customHeight="1" x14ac:dyDescent="0.3">
      <c r="A196" s="106">
        <v>194</v>
      </c>
      <c r="B196" s="188" t="s">
        <v>7772</v>
      </c>
      <c r="C196" s="106" t="s">
        <v>1615</v>
      </c>
      <c r="D196" s="54" t="s">
        <v>5289</v>
      </c>
      <c r="E196" s="200" t="s">
        <v>7773</v>
      </c>
      <c r="F196" s="54" t="s">
        <v>7774</v>
      </c>
      <c r="G196" s="108">
        <v>40836</v>
      </c>
      <c r="H196" s="106" t="s">
        <v>52</v>
      </c>
      <c r="I196" s="54" t="s">
        <v>5396</v>
      </c>
      <c r="J196" s="200" t="s">
        <v>7775</v>
      </c>
      <c r="K196" s="200" t="s">
        <v>7776</v>
      </c>
      <c r="L196" s="54" t="s">
        <v>7777</v>
      </c>
      <c r="M196" s="54"/>
      <c r="N196" s="54"/>
      <c r="O196" s="54" t="s">
        <v>6211</v>
      </c>
      <c r="P196" s="200" t="s">
        <v>5432</v>
      </c>
      <c r="Q196" s="200" t="s">
        <v>5415</v>
      </c>
      <c r="R196" s="54" t="s">
        <v>3581</v>
      </c>
      <c r="S196" s="54" t="s">
        <v>5422</v>
      </c>
      <c r="T196" s="54"/>
      <c r="U196" s="200" t="s">
        <v>5657</v>
      </c>
      <c r="V196" s="54" t="s">
        <v>7778</v>
      </c>
      <c r="W196" s="200" t="s">
        <v>7779</v>
      </c>
      <c r="X196" s="54" t="s">
        <v>7780</v>
      </c>
      <c r="Y196" s="54" t="s">
        <v>5785</v>
      </c>
      <c r="Z196" s="54" t="s">
        <v>5442</v>
      </c>
      <c r="AA196" s="54" t="s">
        <v>7781</v>
      </c>
      <c r="AB196" s="200" t="s">
        <v>7782</v>
      </c>
      <c r="AC196" s="54" t="s">
        <v>7783</v>
      </c>
      <c r="AD196" s="54" t="s">
        <v>5785</v>
      </c>
      <c r="AE196" s="54" t="s">
        <v>5412</v>
      </c>
      <c r="AF196" s="54" t="s">
        <v>7735</v>
      </c>
      <c r="AG196" s="54"/>
      <c r="AH196" s="54">
        <v>4</v>
      </c>
      <c r="AI196" s="54"/>
    </row>
    <row r="197" spans="1:35" ht="13.5" customHeight="1" x14ac:dyDescent="0.3">
      <c r="A197" s="106">
        <v>195</v>
      </c>
      <c r="B197" s="188" t="s">
        <v>7784</v>
      </c>
      <c r="C197" s="106" t="s">
        <v>1617</v>
      </c>
      <c r="D197" s="68" t="s">
        <v>5351</v>
      </c>
      <c r="E197" s="200" t="s">
        <v>7785</v>
      </c>
      <c r="F197" s="54" t="s">
        <v>2377</v>
      </c>
      <c r="G197" s="108">
        <v>40731</v>
      </c>
      <c r="H197" s="106" t="s">
        <v>52</v>
      </c>
      <c r="I197" s="54" t="s">
        <v>5396</v>
      </c>
      <c r="J197" s="200" t="s">
        <v>7786</v>
      </c>
      <c r="K197" s="200" t="s">
        <v>7787</v>
      </c>
      <c r="L197" s="54" t="s">
        <v>7788</v>
      </c>
      <c r="M197" s="54"/>
      <c r="N197" s="54"/>
      <c r="O197" s="54" t="s">
        <v>7233</v>
      </c>
      <c r="P197" s="200" t="s">
        <v>5415</v>
      </c>
      <c r="Q197" s="200" t="s">
        <v>5584</v>
      </c>
      <c r="R197" s="54" t="s">
        <v>3581</v>
      </c>
      <c r="S197" s="54" t="s">
        <v>5422</v>
      </c>
      <c r="T197" s="54"/>
      <c r="U197" s="200" t="s">
        <v>5657</v>
      </c>
      <c r="V197" s="54" t="s">
        <v>7789</v>
      </c>
      <c r="W197" s="200" t="s">
        <v>7790</v>
      </c>
      <c r="X197" s="54" t="s">
        <v>7791</v>
      </c>
      <c r="Y197" s="54" t="s">
        <v>5904</v>
      </c>
      <c r="Z197" s="54" t="s">
        <v>5442</v>
      </c>
      <c r="AA197" s="54" t="s">
        <v>7792</v>
      </c>
      <c r="AB197" s="200" t="s">
        <v>7793</v>
      </c>
      <c r="AC197" s="54" t="s">
        <v>7794</v>
      </c>
      <c r="AD197" s="54" t="s">
        <v>5904</v>
      </c>
      <c r="AE197" s="54" t="s">
        <v>5412</v>
      </c>
      <c r="AF197" s="54" t="s">
        <v>7735</v>
      </c>
      <c r="AG197" s="54"/>
      <c r="AH197" s="54">
        <v>1</v>
      </c>
      <c r="AI197" s="200" t="s">
        <v>7795</v>
      </c>
    </row>
    <row r="198" spans="1:35" ht="13.5" customHeight="1" x14ac:dyDescent="0.3">
      <c r="A198" s="106">
        <v>196</v>
      </c>
      <c r="B198" s="188" t="s">
        <v>7796</v>
      </c>
      <c r="C198" s="106" t="s">
        <v>1617</v>
      </c>
      <c r="D198" s="68" t="s">
        <v>5352</v>
      </c>
      <c r="E198" s="200" t="s">
        <v>7797</v>
      </c>
      <c r="F198" s="54" t="s">
        <v>2377</v>
      </c>
      <c r="G198" s="108">
        <v>41049</v>
      </c>
      <c r="H198" s="106" t="s">
        <v>52</v>
      </c>
      <c r="I198" s="54" t="s">
        <v>5396</v>
      </c>
      <c r="J198" s="200" t="s">
        <v>7798</v>
      </c>
      <c r="K198" s="200" t="s">
        <v>7799</v>
      </c>
      <c r="L198" s="54" t="s">
        <v>7800</v>
      </c>
      <c r="M198" s="54"/>
      <c r="N198" s="54" t="s">
        <v>7801</v>
      </c>
      <c r="O198" s="54" t="s">
        <v>5420</v>
      </c>
      <c r="P198" s="200" t="s">
        <v>5432</v>
      </c>
      <c r="Q198" s="200" t="s">
        <v>5421</v>
      </c>
      <c r="R198" s="54" t="s">
        <v>3581</v>
      </c>
      <c r="S198" s="54" t="s">
        <v>5422</v>
      </c>
      <c r="T198" s="54"/>
      <c r="U198" s="200" t="s">
        <v>5657</v>
      </c>
      <c r="V198" s="54" t="s">
        <v>7802</v>
      </c>
      <c r="W198" s="200" t="s">
        <v>7803</v>
      </c>
      <c r="X198" s="54" t="s">
        <v>7804</v>
      </c>
      <c r="Y198" s="54" t="s">
        <v>5904</v>
      </c>
      <c r="Z198" s="54" t="s">
        <v>5442</v>
      </c>
      <c r="AA198" s="54" t="s">
        <v>7805</v>
      </c>
      <c r="AB198" s="200" t="s">
        <v>7806</v>
      </c>
      <c r="AC198" s="54" t="s">
        <v>7807</v>
      </c>
      <c r="AD198" s="54" t="s">
        <v>5772</v>
      </c>
      <c r="AE198" s="54" t="s">
        <v>5412</v>
      </c>
      <c r="AF198" s="54" t="s">
        <v>7735</v>
      </c>
      <c r="AG198" s="54"/>
      <c r="AH198" s="54">
        <v>3</v>
      </c>
      <c r="AI198" s="54"/>
    </row>
    <row r="199" spans="1:35" ht="13.5" customHeight="1" x14ac:dyDescent="0.3">
      <c r="A199" s="106">
        <v>197</v>
      </c>
      <c r="B199" s="188" t="s">
        <v>7808</v>
      </c>
      <c r="C199" s="106" t="s">
        <v>1616</v>
      </c>
      <c r="D199" s="54" t="s">
        <v>5324</v>
      </c>
      <c r="E199" s="200" t="s">
        <v>7809</v>
      </c>
      <c r="F199" s="54" t="s">
        <v>2352</v>
      </c>
      <c r="G199" s="108">
        <v>41063</v>
      </c>
      <c r="H199" s="106" t="s">
        <v>53</v>
      </c>
      <c r="I199" s="54" t="s">
        <v>5396</v>
      </c>
      <c r="J199" s="200" t="s">
        <v>7810</v>
      </c>
      <c r="K199" s="200" t="s">
        <v>7811</v>
      </c>
      <c r="L199" s="54"/>
      <c r="M199" s="54"/>
      <c r="N199" s="54" t="s">
        <v>7812</v>
      </c>
      <c r="O199" s="54" t="s">
        <v>6211</v>
      </c>
      <c r="P199" s="200" t="s">
        <v>5394</v>
      </c>
      <c r="Q199" s="200" t="s">
        <v>5502</v>
      </c>
      <c r="R199" s="54" t="s">
        <v>3581</v>
      </c>
      <c r="S199" s="54" t="s">
        <v>5422</v>
      </c>
      <c r="T199" s="54"/>
      <c r="U199" s="200" t="s">
        <v>5657</v>
      </c>
      <c r="V199" s="54" t="s">
        <v>3432</v>
      </c>
      <c r="W199" s="200" t="s">
        <v>7813</v>
      </c>
      <c r="X199" s="54" t="s">
        <v>7814</v>
      </c>
      <c r="Y199" s="54" t="s">
        <v>5772</v>
      </c>
      <c r="Z199" s="54" t="s">
        <v>5442</v>
      </c>
      <c r="AA199" s="54" t="s">
        <v>7815</v>
      </c>
      <c r="AB199" s="200" t="s">
        <v>7816</v>
      </c>
      <c r="AC199" s="54" t="s">
        <v>7817</v>
      </c>
      <c r="AD199" s="54" t="s">
        <v>5772</v>
      </c>
      <c r="AE199" s="54" t="s">
        <v>5412</v>
      </c>
      <c r="AF199" s="54" t="s">
        <v>7735</v>
      </c>
      <c r="AG199" s="54" t="s">
        <v>7818</v>
      </c>
      <c r="AH199" s="54"/>
      <c r="AI199" s="200"/>
    </row>
    <row r="200" spans="1:35" ht="13.5" customHeight="1" x14ac:dyDescent="0.3">
      <c r="A200" s="203">
        <v>198</v>
      </c>
      <c r="B200" s="204" t="s">
        <v>7819</v>
      </c>
      <c r="C200" s="203" t="s">
        <v>1617</v>
      </c>
      <c r="D200" s="68" t="s">
        <v>5353</v>
      </c>
      <c r="E200" s="218" t="s">
        <v>7820</v>
      </c>
      <c r="F200" s="353" t="s">
        <v>2352</v>
      </c>
      <c r="G200" s="354">
        <v>40666</v>
      </c>
      <c r="H200" s="203" t="s">
        <v>52</v>
      </c>
      <c r="I200" s="353" t="s">
        <v>5396</v>
      </c>
      <c r="J200" s="218" t="s">
        <v>7821</v>
      </c>
      <c r="K200" s="218" t="s">
        <v>7822</v>
      </c>
      <c r="L200" s="353" t="s">
        <v>7823</v>
      </c>
      <c r="M200" s="353"/>
      <c r="N200" s="353" t="s">
        <v>7824</v>
      </c>
      <c r="O200" s="353" t="s">
        <v>6365</v>
      </c>
      <c r="P200" s="218" t="s">
        <v>5448</v>
      </c>
      <c r="Q200" s="218" t="s">
        <v>5502</v>
      </c>
      <c r="R200" s="353" t="s">
        <v>3581</v>
      </c>
      <c r="S200" s="353" t="s">
        <v>5422</v>
      </c>
      <c r="T200" s="353"/>
      <c r="U200" s="218" t="s">
        <v>5657</v>
      </c>
      <c r="V200" s="353" t="s">
        <v>2976</v>
      </c>
      <c r="W200" s="218" t="s">
        <v>7825</v>
      </c>
      <c r="X200" s="353" t="s">
        <v>7826</v>
      </c>
      <c r="Y200" s="353" t="s">
        <v>5904</v>
      </c>
      <c r="Z200" s="353" t="s">
        <v>5442</v>
      </c>
      <c r="AA200" s="353" t="s">
        <v>7827</v>
      </c>
      <c r="AB200" s="218" t="s">
        <v>7828</v>
      </c>
      <c r="AC200" s="353" t="s">
        <v>7829</v>
      </c>
      <c r="AD200" s="353" t="s">
        <v>5904</v>
      </c>
      <c r="AE200" s="353" t="s">
        <v>5412</v>
      </c>
      <c r="AF200" s="353" t="s">
        <v>7830</v>
      </c>
      <c r="AG200" s="218" t="s">
        <v>7831</v>
      </c>
      <c r="AH200" s="353">
        <v>4</v>
      </c>
      <c r="AI200" s="353"/>
    </row>
    <row r="201" spans="1:35" ht="13.5" customHeight="1" x14ac:dyDescent="0.3">
      <c r="A201" s="203">
        <v>199</v>
      </c>
      <c r="B201" s="204" t="s">
        <v>7832</v>
      </c>
      <c r="C201" s="203" t="s">
        <v>1617</v>
      </c>
      <c r="D201" s="68" t="s">
        <v>5354</v>
      </c>
      <c r="E201" s="218" t="s">
        <v>7833</v>
      </c>
      <c r="F201" s="353" t="s">
        <v>2352</v>
      </c>
      <c r="G201" s="354">
        <v>40666</v>
      </c>
      <c r="H201" s="203" t="s">
        <v>52</v>
      </c>
      <c r="I201" s="353" t="s">
        <v>5396</v>
      </c>
      <c r="J201" s="218" t="s">
        <v>7821</v>
      </c>
      <c r="K201" s="218" t="s">
        <v>7834</v>
      </c>
      <c r="L201" s="353" t="s">
        <v>7835</v>
      </c>
      <c r="M201" s="353"/>
      <c r="N201" s="353" t="s">
        <v>7836</v>
      </c>
      <c r="O201" s="353" t="s">
        <v>6365</v>
      </c>
      <c r="P201" s="218" t="s">
        <v>5448</v>
      </c>
      <c r="Q201" s="218" t="s">
        <v>5502</v>
      </c>
      <c r="R201" s="353" t="s">
        <v>3581</v>
      </c>
      <c r="S201" s="353" t="s">
        <v>5422</v>
      </c>
      <c r="T201" s="353"/>
      <c r="U201" s="218" t="s">
        <v>5657</v>
      </c>
      <c r="V201" s="353" t="s">
        <v>2976</v>
      </c>
      <c r="W201" s="218" t="s">
        <v>7825</v>
      </c>
      <c r="X201" s="353" t="s">
        <v>7837</v>
      </c>
      <c r="Y201" s="353" t="s">
        <v>5772</v>
      </c>
      <c r="Z201" s="353" t="s">
        <v>5442</v>
      </c>
      <c r="AA201" s="353" t="s">
        <v>7827</v>
      </c>
      <c r="AB201" s="218" t="s">
        <v>7828</v>
      </c>
      <c r="AC201" s="353" t="s">
        <v>7838</v>
      </c>
      <c r="AD201" s="353" t="s">
        <v>5904</v>
      </c>
      <c r="AE201" s="353" t="s">
        <v>5412</v>
      </c>
      <c r="AF201" s="353" t="s">
        <v>7830</v>
      </c>
      <c r="AG201" s="218" t="s">
        <v>7839</v>
      </c>
      <c r="AH201" s="353">
        <v>3</v>
      </c>
      <c r="AI201" s="353"/>
    </row>
    <row r="202" spans="1:35" ht="13.5" customHeight="1" x14ac:dyDescent="0.3">
      <c r="A202" s="106">
        <v>200</v>
      </c>
      <c r="B202" s="188" t="s">
        <v>7840</v>
      </c>
      <c r="C202" s="106" t="s">
        <v>1617</v>
      </c>
      <c r="D202" s="54" t="s">
        <v>5290</v>
      </c>
      <c r="E202" s="200" t="s">
        <v>7841</v>
      </c>
      <c r="F202" s="54" t="s">
        <v>4001</v>
      </c>
      <c r="G202" s="108">
        <v>40925</v>
      </c>
      <c r="H202" s="106" t="s">
        <v>53</v>
      </c>
      <c r="I202" s="54" t="s">
        <v>5396</v>
      </c>
      <c r="J202" s="200" t="s">
        <v>7842</v>
      </c>
      <c r="K202" s="200" t="s">
        <v>7843</v>
      </c>
      <c r="L202" s="54"/>
      <c r="M202" s="54"/>
      <c r="N202" s="54"/>
      <c r="O202" s="54" t="s">
        <v>7844</v>
      </c>
      <c r="P202" s="200" t="s">
        <v>5595</v>
      </c>
      <c r="Q202" s="200" t="s">
        <v>5461</v>
      </c>
      <c r="R202" s="54" t="s">
        <v>7845</v>
      </c>
      <c r="S202" s="54" t="s">
        <v>4001</v>
      </c>
      <c r="T202" s="54"/>
      <c r="U202" s="54">
        <v>43153</v>
      </c>
      <c r="V202" s="54" t="s">
        <v>7846</v>
      </c>
      <c r="W202" s="200" t="s">
        <v>7847</v>
      </c>
      <c r="X202" s="54" t="s">
        <v>7848</v>
      </c>
      <c r="Y202" s="54" t="s">
        <v>5904</v>
      </c>
      <c r="Z202" s="101" t="s">
        <v>5551</v>
      </c>
      <c r="AA202" s="54" t="s">
        <v>3966</v>
      </c>
      <c r="AB202" s="200" t="s">
        <v>7849</v>
      </c>
      <c r="AC202" s="54" t="s">
        <v>7850</v>
      </c>
      <c r="AD202" s="54" t="s">
        <v>5772</v>
      </c>
      <c r="AE202" s="54" t="s">
        <v>5412</v>
      </c>
      <c r="AF202" s="54" t="s">
        <v>7851</v>
      </c>
      <c r="AG202" s="54"/>
      <c r="AH202" s="54"/>
      <c r="AI202" s="200" t="s">
        <v>7852</v>
      </c>
    </row>
    <row r="203" spans="1:35" ht="13.5" customHeight="1" x14ac:dyDescent="0.3">
      <c r="A203" s="203">
        <v>201</v>
      </c>
      <c r="B203" s="204" t="s">
        <v>7853</v>
      </c>
      <c r="C203" s="203" t="s">
        <v>1616</v>
      </c>
      <c r="D203" s="353" t="s">
        <v>5325</v>
      </c>
      <c r="E203" s="218" t="s">
        <v>7854</v>
      </c>
      <c r="F203" s="353" t="s">
        <v>2377</v>
      </c>
      <c r="G203" s="354">
        <v>40896</v>
      </c>
      <c r="H203" s="203" t="s">
        <v>52</v>
      </c>
      <c r="I203" s="353" t="s">
        <v>5396</v>
      </c>
      <c r="J203" s="218" t="s">
        <v>7855</v>
      </c>
      <c r="K203" s="218" t="s">
        <v>7856</v>
      </c>
      <c r="L203" s="353"/>
      <c r="M203" s="353"/>
      <c r="N203" s="353"/>
      <c r="O203" s="218" t="s">
        <v>6078</v>
      </c>
      <c r="P203" s="218" t="s">
        <v>5432</v>
      </c>
      <c r="Q203" s="218" t="s">
        <v>5401</v>
      </c>
      <c r="R203" s="353" t="s">
        <v>6079</v>
      </c>
      <c r="S203" s="353" t="s">
        <v>5422</v>
      </c>
      <c r="T203" s="353"/>
      <c r="U203" s="353">
        <v>40562</v>
      </c>
      <c r="V203" s="353" t="s">
        <v>7857</v>
      </c>
      <c r="W203" s="218" t="s">
        <v>7858</v>
      </c>
      <c r="X203" s="353" t="s">
        <v>7859</v>
      </c>
      <c r="Y203" s="353" t="s">
        <v>5785</v>
      </c>
      <c r="Z203" s="353" t="s">
        <v>5442</v>
      </c>
      <c r="AA203" s="353" t="s">
        <v>7860</v>
      </c>
      <c r="AB203" s="218" t="s">
        <v>7861</v>
      </c>
      <c r="AC203" s="353" t="s">
        <v>7862</v>
      </c>
      <c r="AD203" s="353" t="s">
        <v>5785</v>
      </c>
      <c r="AE203" s="353" t="s">
        <v>5412</v>
      </c>
      <c r="AF203" s="353" t="s">
        <v>6086</v>
      </c>
      <c r="AG203" s="353"/>
      <c r="AH203" s="353"/>
      <c r="AI203" s="218" t="s">
        <v>7863</v>
      </c>
    </row>
    <row r="204" spans="1:35" ht="13.5" customHeight="1" x14ac:dyDescent="0.3">
      <c r="A204" s="106">
        <v>202</v>
      </c>
      <c r="B204" s="188" t="s">
        <v>7864</v>
      </c>
      <c r="C204" s="106" t="s">
        <v>1617</v>
      </c>
      <c r="D204" s="68" t="s">
        <v>5355</v>
      </c>
      <c r="E204" s="200" t="s">
        <v>7865</v>
      </c>
      <c r="F204" s="54" t="s">
        <v>2352</v>
      </c>
      <c r="G204" s="108">
        <v>40949</v>
      </c>
      <c r="H204" s="106" t="s">
        <v>53</v>
      </c>
      <c r="I204" s="54" t="s">
        <v>5396</v>
      </c>
      <c r="J204" s="200" t="s">
        <v>7866</v>
      </c>
      <c r="K204" s="200" t="s">
        <v>7867</v>
      </c>
      <c r="L204" s="54" t="s">
        <v>7868</v>
      </c>
      <c r="M204" s="54"/>
      <c r="N204" s="54"/>
      <c r="O204" s="54" t="s">
        <v>7869</v>
      </c>
      <c r="P204" s="200" t="s">
        <v>5432</v>
      </c>
      <c r="Q204" s="200" t="s">
        <v>5448</v>
      </c>
      <c r="R204" s="54" t="s">
        <v>7870</v>
      </c>
      <c r="S204" s="54" t="s">
        <v>3961</v>
      </c>
      <c r="T204" s="54"/>
      <c r="U204" s="200" t="s">
        <v>5547</v>
      </c>
      <c r="V204" s="54" t="s">
        <v>7871</v>
      </c>
      <c r="W204" s="200" t="s">
        <v>7872</v>
      </c>
      <c r="X204" s="54" t="s">
        <v>7873</v>
      </c>
      <c r="Y204" s="54" t="s">
        <v>5904</v>
      </c>
      <c r="Z204" s="54" t="s">
        <v>5442</v>
      </c>
      <c r="AA204" s="54" t="s">
        <v>6865</v>
      </c>
      <c r="AB204" s="200" t="s">
        <v>7874</v>
      </c>
      <c r="AC204" s="54" t="s">
        <v>7875</v>
      </c>
      <c r="AD204" s="54" t="s">
        <v>5904</v>
      </c>
      <c r="AE204" s="54" t="s">
        <v>5412</v>
      </c>
      <c r="AF204" s="54" t="s">
        <v>7876</v>
      </c>
      <c r="AG204" s="200" t="s">
        <v>7877</v>
      </c>
      <c r="AH204" s="54">
        <v>3</v>
      </c>
      <c r="AI204" s="200" t="s">
        <v>7878</v>
      </c>
    </row>
    <row r="205" spans="1:35" ht="13.5" customHeight="1" x14ac:dyDescent="0.3">
      <c r="A205" s="341">
        <v>203</v>
      </c>
      <c r="B205" s="188" t="s">
        <v>7879</v>
      </c>
      <c r="C205" s="106" t="s">
        <v>1617</v>
      </c>
      <c r="D205" s="54" t="s">
        <v>5363</v>
      </c>
      <c r="E205" s="200" t="s">
        <v>7880</v>
      </c>
      <c r="F205" s="54" t="s">
        <v>2377</v>
      </c>
      <c r="G205" s="108">
        <v>40873</v>
      </c>
      <c r="H205" s="106" t="s">
        <v>53</v>
      </c>
      <c r="I205" s="54" t="s">
        <v>5396</v>
      </c>
      <c r="J205" s="200" t="s">
        <v>7881</v>
      </c>
      <c r="K205" s="200" t="s">
        <v>7882</v>
      </c>
      <c r="L205" s="54" t="s">
        <v>7883</v>
      </c>
      <c r="M205" s="54"/>
      <c r="N205" s="54" t="s">
        <v>7884</v>
      </c>
      <c r="O205" s="54" t="s">
        <v>7885</v>
      </c>
      <c r="P205" s="200" t="s">
        <v>5394</v>
      </c>
      <c r="Q205" s="200" t="s">
        <v>5432</v>
      </c>
      <c r="R205" s="54" t="s">
        <v>7870</v>
      </c>
      <c r="S205" s="54" t="s">
        <v>3961</v>
      </c>
      <c r="T205" s="54"/>
      <c r="U205" s="200" t="s">
        <v>5547</v>
      </c>
      <c r="V205" s="54" t="s">
        <v>7886</v>
      </c>
      <c r="W205" s="200" t="s">
        <v>7887</v>
      </c>
      <c r="X205" s="54" t="s">
        <v>7888</v>
      </c>
      <c r="Y205" s="54" t="s">
        <v>7889</v>
      </c>
      <c r="Z205" s="54" t="s">
        <v>7890</v>
      </c>
      <c r="AA205" s="54" t="s">
        <v>7541</v>
      </c>
      <c r="AB205" s="200" t="s">
        <v>7891</v>
      </c>
      <c r="AC205" s="54" t="s">
        <v>7892</v>
      </c>
      <c r="AD205" s="54" t="s">
        <v>5904</v>
      </c>
      <c r="AE205" s="54" t="s">
        <v>5412</v>
      </c>
      <c r="AF205" s="54" t="s">
        <v>7876</v>
      </c>
      <c r="AG205" s="54"/>
      <c r="AH205" s="54">
        <v>2</v>
      </c>
      <c r="AI205" s="200" t="s">
        <v>7893</v>
      </c>
    </row>
    <row r="206" spans="1:35" ht="13.5" customHeight="1" x14ac:dyDescent="0.3">
      <c r="A206" s="106">
        <v>204</v>
      </c>
      <c r="B206" s="188" t="s">
        <v>7894</v>
      </c>
      <c r="C206" s="106" t="s">
        <v>1617</v>
      </c>
      <c r="D206" s="68" t="s">
        <v>5356</v>
      </c>
      <c r="E206" s="200" t="s">
        <v>7895</v>
      </c>
      <c r="F206" s="54" t="s">
        <v>2377</v>
      </c>
      <c r="G206" s="108">
        <v>40569</v>
      </c>
      <c r="H206" s="106" t="s">
        <v>52</v>
      </c>
      <c r="I206" s="54" t="s">
        <v>5396</v>
      </c>
      <c r="J206" s="200"/>
      <c r="K206" s="200" t="s">
        <v>7896</v>
      </c>
      <c r="L206" s="54" t="s">
        <v>7897</v>
      </c>
      <c r="M206" s="54" t="s">
        <v>7898</v>
      </c>
      <c r="N206" s="54"/>
      <c r="O206" s="54"/>
      <c r="P206" s="200"/>
      <c r="Q206" s="200"/>
      <c r="R206" s="54"/>
      <c r="S206" s="54"/>
      <c r="T206" s="54"/>
      <c r="U206" s="200"/>
      <c r="V206" s="54" t="s">
        <v>7899</v>
      </c>
      <c r="W206" s="200"/>
      <c r="X206" s="54"/>
      <c r="Y206" s="54"/>
      <c r="Z206" s="54"/>
      <c r="AA206" s="54" t="s">
        <v>7900</v>
      </c>
      <c r="AB206" s="200"/>
      <c r="AC206" s="54"/>
      <c r="AD206" s="54"/>
      <c r="AE206" s="54"/>
      <c r="AF206" s="54" t="s">
        <v>7901</v>
      </c>
      <c r="AG206" s="54"/>
      <c r="AH206" s="54">
        <v>3</v>
      </c>
      <c r="AI206" s="200"/>
    </row>
    <row r="207" spans="1:35" ht="13.5" customHeight="1" x14ac:dyDescent="0.3">
      <c r="A207" s="106">
        <v>205</v>
      </c>
      <c r="B207" s="188" t="s">
        <v>7902</v>
      </c>
      <c r="C207" s="106" t="s">
        <v>1615</v>
      </c>
      <c r="D207" s="54" t="s">
        <v>5291</v>
      </c>
      <c r="E207" s="200" t="s">
        <v>5778</v>
      </c>
      <c r="F207" s="54" t="s">
        <v>2377</v>
      </c>
      <c r="G207" s="108">
        <v>40736</v>
      </c>
      <c r="H207" s="106" t="s">
        <v>53</v>
      </c>
      <c r="I207" s="54" t="s">
        <v>5396</v>
      </c>
      <c r="J207" s="200" t="s">
        <v>7903</v>
      </c>
      <c r="K207" s="200" t="s">
        <v>7904</v>
      </c>
      <c r="L207" s="54" t="s">
        <v>7905</v>
      </c>
      <c r="M207" s="54" t="s">
        <v>7906</v>
      </c>
      <c r="N207" s="54" t="s">
        <v>7907</v>
      </c>
      <c r="O207" s="54" t="s">
        <v>5810</v>
      </c>
      <c r="P207" s="200" t="s">
        <v>5415</v>
      </c>
      <c r="Q207" s="200" t="s">
        <v>5415</v>
      </c>
      <c r="R207" s="54" t="s">
        <v>2399</v>
      </c>
      <c r="S207" s="54" t="s">
        <v>3961</v>
      </c>
      <c r="T207" s="54"/>
      <c r="U207" s="200">
        <v>40764</v>
      </c>
      <c r="V207" s="54" t="s">
        <v>7908</v>
      </c>
      <c r="W207" s="200" t="s">
        <v>7909</v>
      </c>
      <c r="X207" s="54" t="s">
        <v>7910</v>
      </c>
      <c r="Y207" s="54" t="s">
        <v>5772</v>
      </c>
      <c r="Z207" s="54" t="s">
        <v>5442</v>
      </c>
      <c r="AA207" s="54" t="s">
        <v>7911</v>
      </c>
      <c r="AB207" s="200" t="s">
        <v>7912</v>
      </c>
      <c r="AC207" s="54" t="s">
        <v>7913</v>
      </c>
      <c r="AD207" s="54" t="s">
        <v>5772</v>
      </c>
      <c r="AE207" s="54" t="s">
        <v>5412</v>
      </c>
      <c r="AF207" s="54" t="s">
        <v>7914</v>
      </c>
      <c r="AG207" s="54"/>
      <c r="AH207" s="54">
        <v>1</v>
      </c>
      <c r="AI207" s="200" t="s">
        <v>7915</v>
      </c>
    </row>
    <row r="208" spans="1:35" ht="13.5" customHeight="1" x14ac:dyDescent="0.3">
      <c r="A208" s="106">
        <v>206</v>
      </c>
      <c r="B208" s="188" t="s">
        <v>7916</v>
      </c>
      <c r="C208" s="341" t="s">
        <v>1617</v>
      </c>
      <c r="D208" s="355" t="s">
        <v>5357</v>
      </c>
      <c r="E208" s="329" t="s">
        <v>7917</v>
      </c>
      <c r="F208" s="219" t="s">
        <v>2377</v>
      </c>
      <c r="G208" s="340">
        <v>40804</v>
      </c>
      <c r="H208" s="341" t="s">
        <v>52</v>
      </c>
      <c r="I208" s="219" t="s">
        <v>5396</v>
      </c>
      <c r="J208" s="329" t="s">
        <v>7918</v>
      </c>
      <c r="K208" s="329" t="s">
        <v>7919</v>
      </c>
      <c r="L208" s="219" t="s">
        <v>7920</v>
      </c>
      <c r="M208" s="219"/>
      <c r="N208" s="219" t="s">
        <v>7921</v>
      </c>
      <c r="O208" s="219" t="s">
        <v>5727</v>
      </c>
      <c r="P208" s="329" t="s">
        <v>5394</v>
      </c>
      <c r="Q208" s="329" t="s">
        <v>5542</v>
      </c>
      <c r="R208" s="219" t="s">
        <v>2485</v>
      </c>
      <c r="S208" s="219" t="s">
        <v>5422</v>
      </c>
      <c r="T208" s="219"/>
      <c r="U208" s="329"/>
      <c r="V208" s="219"/>
      <c r="W208" s="329"/>
      <c r="X208" s="219"/>
      <c r="Y208" s="219"/>
      <c r="Z208" s="219"/>
      <c r="AA208" s="219" t="s">
        <v>7922</v>
      </c>
      <c r="AB208" s="329" t="s">
        <v>7923</v>
      </c>
      <c r="AC208" s="219" t="s">
        <v>7924</v>
      </c>
      <c r="AD208" s="356" t="s">
        <v>5785</v>
      </c>
      <c r="AE208" s="219" t="s">
        <v>5412</v>
      </c>
      <c r="AF208" s="219" t="s">
        <v>5458</v>
      </c>
      <c r="AG208" s="219"/>
      <c r="AH208" s="219"/>
      <c r="AI208" s="329"/>
    </row>
    <row r="209" spans="1:35" ht="13.5" customHeight="1" x14ac:dyDescent="0.3">
      <c r="A209" s="106"/>
      <c r="B209" s="188"/>
      <c r="C209" s="106"/>
      <c r="D209" s="54"/>
      <c r="E209" s="200"/>
      <c r="F209" s="54"/>
      <c r="G209" s="108"/>
      <c r="H209" s="106"/>
      <c r="I209" s="54"/>
      <c r="J209" s="200"/>
      <c r="K209" s="200"/>
      <c r="L209" s="54"/>
      <c r="M209" s="54"/>
      <c r="N209" s="54"/>
      <c r="O209" s="54"/>
      <c r="P209" s="200"/>
      <c r="Q209" s="200"/>
      <c r="R209" s="54"/>
      <c r="S209" s="54"/>
      <c r="T209" s="54"/>
      <c r="U209" s="200"/>
      <c r="V209" s="54"/>
      <c r="W209" s="200"/>
      <c r="X209" s="54"/>
      <c r="Y209" s="54"/>
      <c r="Z209" s="54"/>
      <c r="AA209" s="54"/>
      <c r="AB209" s="200"/>
      <c r="AC209" s="54"/>
      <c r="AD209" s="54"/>
      <c r="AE209" s="54"/>
      <c r="AF209" s="54"/>
      <c r="AG209" s="54"/>
      <c r="AH209" s="54"/>
      <c r="AI209" s="200"/>
    </row>
    <row r="210" spans="1:35" x14ac:dyDescent="0.3">
      <c r="A210" s="49"/>
      <c r="B210" s="357" t="s">
        <v>7749</v>
      </c>
      <c r="C210" s="3"/>
      <c r="D210" s="3" t="s">
        <v>7925</v>
      </c>
      <c r="E210" s="3">
        <f>COUNTIF(H3:H208,"L")</f>
        <v>109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x14ac:dyDescent="0.3">
      <c r="B211" s="358" t="s">
        <v>7759</v>
      </c>
      <c r="D211" t="s">
        <v>7926</v>
      </c>
      <c r="E211">
        <f>COUNTIF(H3:H208,"P")</f>
        <v>92</v>
      </c>
      <c r="K211" t="s">
        <v>1394</v>
      </c>
    </row>
    <row r="212" spans="1:35" x14ac:dyDescent="0.3">
      <c r="B212" s="188" t="s">
        <v>7772</v>
      </c>
      <c r="D212" t="s">
        <v>363</v>
      </c>
      <c r="E212">
        <f>SUM(E210:E211)</f>
        <v>201</v>
      </c>
    </row>
  </sheetData>
  <autoFilter ref="A1:AI208" xr:uid="{39FD559B-7F25-438A-A98F-655FA334EF2D}">
    <filterColumn colId="5" showButton="0"/>
    <filterColumn colId="14" showButton="0"/>
    <filterColumn colId="15" showButton="0"/>
    <filterColumn colId="16" showButton="0"/>
    <filterColumn colId="17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</autoFilter>
  <mergeCells count="21">
    <mergeCell ref="AG1:AG2"/>
    <mergeCell ref="AH1:AH2"/>
    <mergeCell ref="AI1:AI2"/>
    <mergeCell ref="N1:N2"/>
    <mergeCell ref="O1:S1"/>
    <mergeCell ref="T1:T2"/>
    <mergeCell ref="U1:U2"/>
    <mergeCell ref="W1:AE1"/>
    <mergeCell ref="AF1:AF2"/>
    <mergeCell ref="M1:M2"/>
    <mergeCell ref="A1:A2"/>
    <mergeCell ref="B1:B2"/>
    <mergeCell ref="C1:C2"/>
    <mergeCell ref="D1:D2"/>
    <mergeCell ref="E1:E2"/>
    <mergeCell ref="F1:G2"/>
    <mergeCell ref="H1:H2"/>
    <mergeCell ref="I1:I2"/>
    <mergeCell ref="J1:J2"/>
    <mergeCell ref="K1:K2"/>
    <mergeCell ref="L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8E06-85DA-441A-AF74-39EBF5329406}">
  <sheetPr filterMode="1"/>
  <dimension ref="A1:BN622"/>
  <sheetViews>
    <sheetView workbookViewId="0">
      <pane xSplit="7" topLeftCell="AN1" activePane="topRight" state="frozen"/>
      <selection pane="topRight" activeCell="B187" sqref="B187"/>
    </sheetView>
  </sheetViews>
  <sheetFormatPr defaultRowHeight="14.4" x14ac:dyDescent="0.3"/>
  <cols>
    <col min="2" max="2" width="30.5546875" customWidth="1"/>
    <col min="3" max="3" width="19.44140625" customWidth="1"/>
    <col min="5" max="5" width="16.5546875" customWidth="1"/>
    <col min="7" max="7" width="10.6640625" bestFit="1" customWidth="1"/>
  </cols>
  <sheetData>
    <row r="1" spans="1:66" x14ac:dyDescent="0.3">
      <c r="A1" t="s">
        <v>4444</v>
      </c>
    </row>
    <row r="2" spans="1:66" hidden="1" x14ac:dyDescent="0.3">
      <c r="A2" t="s">
        <v>4445</v>
      </c>
    </row>
    <row r="3" spans="1:66" hidden="1" x14ac:dyDescent="0.3">
      <c r="A3" t="s">
        <v>4446</v>
      </c>
    </row>
    <row r="4" spans="1:66" hidden="1" x14ac:dyDescent="0.3">
      <c r="A4" t="s">
        <v>4447</v>
      </c>
      <c r="C4" t="s">
        <v>4448</v>
      </c>
    </row>
    <row r="5" spans="1:66" ht="72" hidden="1" x14ac:dyDescent="0.3">
      <c r="A5" s="3" t="s">
        <v>2301</v>
      </c>
      <c r="B5" s="3" t="s">
        <v>2302</v>
      </c>
      <c r="C5" s="3" t="s">
        <v>2303</v>
      </c>
      <c r="D5" s="3" t="s">
        <v>2304</v>
      </c>
      <c r="E5" s="3" t="s">
        <v>2305</v>
      </c>
      <c r="F5" s="3" t="s">
        <v>2306</v>
      </c>
      <c r="G5" s="3" t="s">
        <v>2307</v>
      </c>
      <c r="H5" s="3" t="s">
        <v>2308</v>
      </c>
      <c r="I5" s="3" t="s">
        <v>2309</v>
      </c>
      <c r="J5" s="3" t="s">
        <v>2310</v>
      </c>
      <c r="K5" s="3" t="s">
        <v>2311</v>
      </c>
      <c r="L5" s="3" t="s">
        <v>2312</v>
      </c>
      <c r="M5" s="3" t="s">
        <v>2313</v>
      </c>
      <c r="N5" s="3" t="s">
        <v>2314</v>
      </c>
      <c r="O5" s="3" t="s">
        <v>2315</v>
      </c>
      <c r="P5" s="3" t="s">
        <v>2316</v>
      </c>
      <c r="Q5" s="3" t="s">
        <v>2317</v>
      </c>
      <c r="R5" s="3" t="s">
        <v>2318</v>
      </c>
      <c r="S5" s="3" t="s">
        <v>2319</v>
      </c>
      <c r="T5" s="3" t="s">
        <v>2320</v>
      </c>
      <c r="U5" s="3" t="s">
        <v>2321</v>
      </c>
      <c r="V5" s="3" t="s">
        <v>2322</v>
      </c>
      <c r="W5" s="3" t="s">
        <v>2323</v>
      </c>
      <c r="X5" s="3" t="s">
        <v>2324</v>
      </c>
      <c r="Y5" s="3" t="s">
        <v>2325</v>
      </c>
      <c r="Z5" s="3"/>
      <c r="AA5" s="3"/>
      <c r="AB5" s="3"/>
      <c r="AC5" s="3"/>
      <c r="AD5" s="3"/>
      <c r="AE5" s="3" t="s">
        <v>2326</v>
      </c>
      <c r="AF5" s="3"/>
      <c r="AG5" s="3"/>
      <c r="AH5" s="3"/>
      <c r="AI5" s="3"/>
      <c r="AJ5" s="3"/>
      <c r="AK5" s="3" t="s">
        <v>2327</v>
      </c>
      <c r="AL5" s="3"/>
      <c r="AM5" s="3"/>
      <c r="AN5" s="3"/>
      <c r="AO5" s="3"/>
      <c r="AP5" s="3"/>
      <c r="AQ5" s="3" t="s">
        <v>4449</v>
      </c>
      <c r="AR5" s="3" t="s">
        <v>2328</v>
      </c>
      <c r="AS5" s="3" t="s">
        <v>2329</v>
      </c>
      <c r="AT5" s="3" t="s">
        <v>2330</v>
      </c>
      <c r="AU5" s="3" t="s">
        <v>2331</v>
      </c>
      <c r="AV5" s="3" t="s">
        <v>2332</v>
      </c>
      <c r="AW5" s="3" t="s">
        <v>2333</v>
      </c>
      <c r="AX5" s="3" t="s">
        <v>2334</v>
      </c>
      <c r="AY5" s="3" t="s">
        <v>2335</v>
      </c>
      <c r="AZ5" s="3" t="s">
        <v>2336</v>
      </c>
      <c r="BA5" s="3" t="s">
        <v>2337</v>
      </c>
      <c r="BB5" s="3" t="s">
        <v>2338</v>
      </c>
      <c r="BC5" s="3" t="s">
        <v>2339</v>
      </c>
      <c r="BD5" s="3" t="s">
        <v>2340</v>
      </c>
      <c r="BE5" s="3" t="s">
        <v>2341</v>
      </c>
      <c r="BF5" s="3" t="s">
        <v>2342</v>
      </c>
      <c r="BG5" s="3" t="s">
        <v>2343</v>
      </c>
      <c r="BH5" s="3" t="s">
        <v>2344</v>
      </c>
      <c r="BI5" s="3" t="s">
        <v>2345</v>
      </c>
      <c r="BJ5" s="3" t="s">
        <v>2346</v>
      </c>
      <c r="BK5" s="3" t="s">
        <v>2347</v>
      </c>
      <c r="BL5" s="3" t="s">
        <v>2348</v>
      </c>
      <c r="BM5" s="166" t="s">
        <v>2349</v>
      </c>
      <c r="BN5" s="166" t="s">
        <v>2350</v>
      </c>
    </row>
    <row r="6" spans="1:66" hidden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">
        <v>2302</v>
      </c>
      <c r="Z6" s="3" t="s">
        <v>4450</v>
      </c>
      <c r="AA6" s="3" t="s">
        <v>4451</v>
      </c>
      <c r="AB6" s="3" t="s">
        <v>4452</v>
      </c>
      <c r="AC6" s="3" t="s">
        <v>4453</v>
      </c>
      <c r="AD6" s="3" t="s">
        <v>2308</v>
      </c>
      <c r="AE6" s="3" t="s">
        <v>2302</v>
      </c>
      <c r="AF6" s="3" t="s">
        <v>4450</v>
      </c>
      <c r="AG6" s="3" t="s">
        <v>4451</v>
      </c>
      <c r="AH6" s="3" t="s">
        <v>4452</v>
      </c>
      <c r="AI6" s="3" t="s">
        <v>4453</v>
      </c>
      <c r="AJ6" s="3" t="s">
        <v>2308</v>
      </c>
      <c r="AK6" s="3" t="s">
        <v>2302</v>
      </c>
      <c r="AL6" s="3" t="s">
        <v>4450</v>
      </c>
      <c r="AM6" s="3" t="s">
        <v>4451</v>
      </c>
      <c r="AN6" s="3" t="s">
        <v>4452</v>
      </c>
      <c r="AO6" s="3" t="s">
        <v>4453</v>
      </c>
      <c r="AP6" s="3" t="s">
        <v>2308</v>
      </c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</row>
    <row r="7" spans="1:66" s="219" customFormat="1" hidden="1" x14ac:dyDescent="0.3">
      <c r="A7" s="54">
        <v>1</v>
      </c>
      <c r="B7" s="54" t="s">
        <v>2351</v>
      </c>
      <c r="C7" s="54" t="s">
        <v>2099</v>
      </c>
      <c r="D7" s="54" t="s">
        <v>52</v>
      </c>
      <c r="E7" s="54">
        <v>104808894</v>
      </c>
      <c r="F7" s="54" t="s">
        <v>2352</v>
      </c>
      <c r="G7" s="108">
        <v>40221</v>
      </c>
      <c r="H7" s="54">
        <v>3217121202100000</v>
      </c>
      <c r="I7" s="54" t="s">
        <v>2353</v>
      </c>
      <c r="J7" s="54" t="s">
        <v>2354</v>
      </c>
      <c r="K7" s="54">
        <v>3</v>
      </c>
      <c r="L7" s="54">
        <v>4</v>
      </c>
      <c r="M7" s="54"/>
      <c r="N7" s="54" t="s">
        <v>2355</v>
      </c>
      <c r="O7" s="54" t="s">
        <v>2356</v>
      </c>
      <c r="P7" s="54">
        <v>40564</v>
      </c>
      <c r="Q7" s="54" t="s">
        <v>2357</v>
      </c>
      <c r="R7" s="54" t="s">
        <v>2358</v>
      </c>
      <c r="S7" s="54"/>
      <c r="T7" s="54">
        <v>87828938659</v>
      </c>
      <c r="U7" s="54"/>
      <c r="V7" s="54"/>
      <c r="W7" s="54" t="s">
        <v>2359</v>
      </c>
      <c r="X7" s="54"/>
      <c r="Y7" s="54" t="s">
        <v>2360</v>
      </c>
      <c r="Z7" s="54">
        <v>1973</v>
      </c>
      <c r="AA7" s="54" t="s">
        <v>2361</v>
      </c>
      <c r="AB7" s="54" t="s">
        <v>2362</v>
      </c>
      <c r="AC7" s="54" t="s">
        <v>2363</v>
      </c>
      <c r="AD7" s="54">
        <v>3217121704730000</v>
      </c>
      <c r="AE7" s="54" t="s">
        <v>2364</v>
      </c>
      <c r="AF7" s="54">
        <v>1982</v>
      </c>
      <c r="AG7" s="54" t="s">
        <v>2361</v>
      </c>
      <c r="AH7" s="54" t="s">
        <v>2365</v>
      </c>
      <c r="AI7" s="54" t="s">
        <v>2366</v>
      </c>
      <c r="AJ7" s="54">
        <v>3217126912820000</v>
      </c>
      <c r="AK7" s="54"/>
      <c r="AL7" s="54"/>
      <c r="AM7" s="54" t="s">
        <v>2367</v>
      </c>
      <c r="AN7" s="54"/>
      <c r="AO7" s="54"/>
      <c r="AP7" s="54"/>
      <c r="AQ7" s="54" t="s">
        <v>8177</v>
      </c>
      <c r="AR7" s="54"/>
      <c r="AS7" s="54" t="s">
        <v>4454</v>
      </c>
      <c r="AT7" s="54" t="s">
        <v>2359</v>
      </c>
      <c r="AU7" s="54"/>
      <c r="AV7" s="54">
        <v>0</v>
      </c>
      <c r="AW7" s="54"/>
      <c r="AX7" s="54" t="s">
        <v>2368</v>
      </c>
      <c r="AY7" s="54"/>
      <c r="AZ7" s="54"/>
      <c r="BA7" s="54"/>
      <c r="BB7" s="54" t="s">
        <v>2369</v>
      </c>
      <c r="BC7" s="54" t="s">
        <v>2370</v>
      </c>
      <c r="BD7" s="54" t="s">
        <v>2371</v>
      </c>
      <c r="BE7" s="54" t="s">
        <v>2372</v>
      </c>
      <c r="BF7" s="54">
        <v>1</v>
      </c>
      <c r="BG7" s="54">
        <v>-6.9676999999999998</v>
      </c>
      <c r="BH7" s="54">
        <v>107.4117</v>
      </c>
      <c r="BI7" s="54">
        <v>3217121809070040</v>
      </c>
      <c r="BJ7" s="54">
        <v>43</v>
      </c>
      <c r="BK7" s="54">
        <v>139</v>
      </c>
      <c r="BL7" s="54">
        <v>0</v>
      </c>
      <c r="BM7" s="54">
        <v>0</v>
      </c>
      <c r="BN7" s="54">
        <v>0</v>
      </c>
    </row>
    <row r="8" spans="1:66" s="219" customFormat="1" hidden="1" x14ac:dyDescent="0.3">
      <c r="A8" s="54">
        <v>2</v>
      </c>
      <c r="B8" s="54" t="s">
        <v>1863</v>
      </c>
      <c r="C8" s="54" t="s">
        <v>1519</v>
      </c>
      <c r="D8" s="54" t="s">
        <v>52</v>
      </c>
      <c r="E8" s="54">
        <v>3099642168</v>
      </c>
      <c r="F8" s="54" t="s">
        <v>2446</v>
      </c>
      <c r="G8" s="108">
        <v>39944</v>
      </c>
      <c r="H8" s="54">
        <v>3217111105090000</v>
      </c>
      <c r="I8" s="54" t="s">
        <v>2353</v>
      </c>
      <c r="J8" s="54" t="s">
        <v>2616</v>
      </c>
      <c r="K8" s="54">
        <v>2</v>
      </c>
      <c r="L8" s="54">
        <v>6</v>
      </c>
      <c r="M8" s="54"/>
      <c r="N8" s="54" t="s">
        <v>2617</v>
      </c>
      <c r="O8" s="54" t="s">
        <v>2426</v>
      </c>
      <c r="P8" s="54">
        <v>40562</v>
      </c>
      <c r="Q8" s="54" t="s">
        <v>2357</v>
      </c>
      <c r="R8" s="54" t="s">
        <v>2358</v>
      </c>
      <c r="S8" s="54"/>
      <c r="T8" s="54">
        <v>81990853610</v>
      </c>
      <c r="U8" s="54"/>
      <c r="V8" s="54"/>
      <c r="W8" s="54" t="s">
        <v>2359</v>
      </c>
      <c r="X8" s="54"/>
      <c r="Y8" s="54" t="s">
        <v>3569</v>
      </c>
      <c r="Z8" s="54">
        <v>1973</v>
      </c>
      <c r="AA8" s="54" t="s">
        <v>2402</v>
      </c>
      <c r="AB8" s="54" t="s">
        <v>2362</v>
      </c>
      <c r="AC8" s="54" t="s">
        <v>2375</v>
      </c>
      <c r="AD8" s="54">
        <v>3217110804730000</v>
      </c>
      <c r="AE8" s="54" t="s">
        <v>3570</v>
      </c>
      <c r="AF8" s="54">
        <v>1974</v>
      </c>
      <c r="AG8" s="54" t="s">
        <v>2402</v>
      </c>
      <c r="AH8" s="54" t="s">
        <v>2365</v>
      </c>
      <c r="AI8" s="54" t="s">
        <v>2366</v>
      </c>
      <c r="AJ8" s="54">
        <v>3217114510740010</v>
      </c>
      <c r="AK8" s="54"/>
      <c r="AL8" s="54"/>
      <c r="AM8" s="54"/>
      <c r="AN8" s="54"/>
      <c r="AO8" s="54"/>
      <c r="AP8" s="54"/>
      <c r="AQ8" s="54" t="s">
        <v>5147</v>
      </c>
      <c r="AR8" s="54"/>
      <c r="AS8" s="54"/>
      <c r="AT8" s="54" t="s">
        <v>2359</v>
      </c>
      <c r="AU8" s="54"/>
      <c r="AV8" s="54">
        <v>0</v>
      </c>
      <c r="AW8" s="54"/>
      <c r="AX8" s="54"/>
      <c r="AY8" s="54"/>
      <c r="AZ8" s="54"/>
      <c r="BA8" s="54"/>
      <c r="BB8" s="54" t="s">
        <v>2369</v>
      </c>
      <c r="BC8" s="54" t="s">
        <v>2370</v>
      </c>
      <c r="BD8" s="54" t="s">
        <v>2371</v>
      </c>
      <c r="BE8" s="54"/>
      <c r="BF8" s="54">
        <v>1</v>
      </c>
      <c r="BG8" s="54">
        <v>-6.9625000000000004</v>
      </c>
      <c r="BH8" s="54">
        <v>107.4346</v>
      </c>
      <c r="BI8" s="54"/>
      <c r="BJ8" s="54">
        <v>48</v>
      </c>
      <c r="BK8" s="54">
        <v>144</v>
      </c>
      <c r="BL8" s="54">
        <v>55</v>
      </c>
      <c r="BM8" s="54">
        <v>1</v>
      </c>
      <c r="BN8" s="54">
        <v>2</v>
      </c>
    </row>
    <row r="9" spans="1:66" hidden="1" x14ac:dyDescent="0.3">
      <c r="A9" s="3">
        <v>3</v>
      </c>
      <c r="B9" s="3" t="s">
        <v>3843</v>
      </c>
      <c r="C9" s="3" t="s">
        <v>4291</v>
      </c>
      <c r="D9" s="3" t="s">
        <v>52</v>
      </c>
      <c r="E9" s="3">
        <v>3112705078</v>
      </c>
      <c r="F9" s="3" t="s">
        <v>2377</v>
      </c>
      <c r="G9" s="157">
        <v>40870</v>
      </c>
      <c r="H9" s="3">
        <v>3217112311110000</v>
      </c>
      <c r="I9" s="3" t="s">
        <v>2353</v>
      </c>
      <c r="J9" s="3" t="s">
        <v>2616</v>
      </c>
      <c r="K9" s="3">
        <v>5</v>
      </c>
      <c r="L9" s="3">
        <v>7</v>
      </c>
      <c r="M9" s="3"/>
      <c r="N9" s="3" t="s">
        <v>4455</v>
      </c>
      <c r="O9" s="3" t="s">
        <v>2426</v>
      </c>
      <c r="P9" s="3">
        <v>40560</v>
      </c>
      <c r="Q9" s="3" t="s">
        <v>2357</v>
      </c>
      <c r="R9" s="3" t="s">
        <v>2358</v>
      </c>
      <c r="S9" s="3"/>
      <c r="T9" s="3"/>
      <c r="U9" s="3"/>
      <c r="V9" s="3"/>
      <c r="W9" s="3" t="s">
        <v>2359</v>
      </c>
      <c r="X9" s="3"/>
      <c r="Y9" s="3" t="s">
        <v>4456</v>
      </c>
      <c r="Z9" s="3">
        <v>1982</v>
      </c>
      <c r="AA9" s="3" t="s">
        <v>2361</v>
      </c>
      <c r="AB9" s="3" t="s">
        <v>2362</v>
      </c>
      <c r="AC9" s="3" t="s">
        <v>2363</v>
      </c>
      <c r="AD9" s="3">
        <v>3217111003820010</v>
      </c>
      <c r="AE9" s="3" t="s">
        <v>4138</v>
      </c>
      <c r="AF9" s="3">
        <v>1981</v>
      </c>
      <c r="AG9" s="3" t="s">
        <v>2402</v>
      </c>
      <c r="AH9" s="3" t="s">
        <v>2365</v>
      </c>
      <c r="AI9" s="3" t="s">
        <v>2366</v>
      </c>
      <c r="AJ9" s="3">
        <v>3217114211810000</v>
      </c>
      <c r="AK9" s="3"/>
      <c r="AL9" s="3"/>
      <c r="AM9" s="3"/>
      <c r="AN9" s="3"/>
      <c r="AO9" s="3"/>
      <c r="AP9" s="3"/>
      <c r="AQ9" s="3" t="s">
        <v>5150</v>
      </c>
      <c r="AR9" s="3"/>
      <c r="AS9" s="3"/>
      <c r="AT9" s="3" t="s">
        <v>2359</v>
      </c>
      <c r="AU9" s="3"/>
      <c r="AV9" s="3">
        <v>1</v>
      </c>
      <c r="AW9" s="3"/>
      <c r="AX9" s="3" t="s">
        <v>4137</v>
      </c>
      <c r="AY9" s="3"/>
      <c r="AZ9" s="3"/>
      <c r="BA9" s="3"/>
      <c r="BB9" s="3" t="s">
        <v>2369</v>
      </c>
      <c r="BC9" s="3" t="s">
        <v>2370</v>
      </c>
      <c r="BD9" s="3" t="s">
        <v>2371</v>
      </c>
      <c r="BE9" s="3"/>
      <c r="BF9" s="3">
        <v>1</v>
      </c>
      <c r="BG9" s="3">
        <v>-6.9625000000000004</v>
      </c>
      <c r="BH9" s="3">
        <v>107.4346</v>
      </c>
      <c r="BI9" s="3">
        <v>3217111506060010</v>
      </c>
      <c r="BJ9" s="3">
        <v>48</v>
      </c>
      <c r="BK9" s="3">
        <v>139</v>
      </c>
      <c r="BL9" s="3">
        <v>54</v>
      </c>
      <c r="BM9" s="3">
        <v>1</v>
      </c>
      <c r="BN9" s="3">
        <v>2</v>
      </c>
    </row>
    <row r="10" spans="1:66" s="219" customFormat="1" hidden="1" x14ac:dyDescent="0.3">
      <c r="A10" s="54">
        <v>4</v>
      </c>
      <c r="B10" s="54" t="s">
        <v>1839</v>
      </c>
      <c r="C10" s="54" t="s">
        <v>1487</v>
      </c>
      <c r="D10" s="54" t="s">
        <v>52</v>
      </c>
      <c r="E10" s="54">
        <v>83551249</v>
      </c>
      <c r="F10" s="54" t="s">
        <v>2373</v>
      </c>
      <c r="G10" s="108">
        <v>39682</v>
      </c>
      <c r="H10" s="54">
        <v>3217112809090040</v>
      </c>
      <c r="I10" s="54" t="s">
        <v>2353</v>
      </c>
      <c r="J10" s="54" t="s">
        <v>3438</v>
      </c>
      <c r="K10" s="54">
        <v>4</v>
      </c>
      <c r="L10" s="54"/>
      <c r="M10" s="54"/>
      <c r="N10" s="54" t="s">
        <v>2425</v>
      </c>
      <c r="O10" s="54" t="s">
        <v>2426</v>
      </c>
      <c r="P10" s="54">
        <v>40562</v>
      </c>
      <c r="Q10" s="54" t="s">
        <v>2357</v>
      </c>
      <c r="R10" s="54" t="s">
        <v>2358</v>
      </c>
      <c r="S10" s="54"/>
      <c r="T10" s="54">
        <v>87772845707</v>
      </c>
      <c r="U10" s="54"/>
      <c r="V10" s="54"/>
      <c r="W10" s="54" t="s">
        <v>2359</v>
      </c>
      <c r="X10" s="54"/>
      <c r="Y10" s="54" t="s">
        <v>3439</v>
      </c>
      <c r="Z10" s="54">
        <v>1973</v>
      </c>
      <c r="AA10" s="54" t="s">
        <v>2361</v>
      </c>
      <c r="AB10" s="54" t="s">
        <v>2362</v>
      </c>
      <c r="AC10" s="54" t="s">
        <v>2363</v>
      </c>
      <c r="AD10" s="54">
        <v>3217110704730010</v>
      </c>
      <c r="AE10" s="54" t="s">
        <v>3440</v>
      </c>
      <c r="AF10" s="54">
        <v>1981</v>
      </c>
      <c r="AG10" s="54" t="s">
        <v>2361</v>
      </c>
      <c r="AH10" s="54" t="s">
        <v>2365</v>
      </c>
      <c r="AI10" s="54" t="s">
        <v>2366</v>
      </c>
      <c r="AJ10" s="54">
        <v>3217115009810000</v>
      </c>
      <c r="AK10" s="54"/>
      <c r="AL10" s="54"/>
      <c r="AM10" s="54"/>
      <c r="AN10" s="54"/>
      <c r="AO10" s="54"/>
      <c r="AP10" s="54"/>
      <c r="AQ10" s="54" t="s">
        <v>5147</v>
      </c>
      <c r="AR10" s="54"/>
      <c r="AS10" s="54"/>
      <c r="AT10" s="54" t="s">
        <v>2359</v>
      </c>
      <c r="AU10" s="54"/>
      <c r="AV10" s="54">
        <v>0</v>
      </c>
      <c r="AW10" s="54"/>
      <c r="AX10" s="54" t="s">
        <v>3441</v>
      </c>
      <c r="AY10" s="54"/>
      <c r="AZ10" s="54"/>
      <c r="BA10" s="54"/>
      <c r="BB10" s="54" t="s">
        <v>2369</v>
      </c>
      <c r="BC10" s="54" t="s">
        <v>2370</v>
      </c>
      <c r="BD10" s="54" t="s">
        <v>2371</v>
      </c>
      <c r="BE10" s="54"/>
      <c r="BF10" s="54">
        <v>2</v>
      </c>
      <c r="BG10" s="54">
        <v>-6.9625000000000004</v>
      </c>
      <c r="BH10" s="54">
        <v>107.4346</v>
      </c>
      <c r="BI10" s="54">
        <v>3217112809090040</v>
      </c>
      <c r="BJ10" s="54">
        <v>45</v>
      </c>
      <c r="BK10" s="54">
        <v>142</v>
      </c>
      <c r="BL10" s="54">
        <v>59</v>
      </c>
      <c r="BM10" s="54">
        <v>2</v>
      </c>
      <c r="BN10" s="54">
        <v>2</v>
      </c>
    </row>
    <row r="11" spans="1:66" hidden="1" x14ac:dyDescent="0.3">
      <c r="A11" s="3">
        <v>5</v>
      </c>
      <c r="B11" s="3" t="s">
        <v>4209</v>
      </c>
      <c r="C11" s="3" t="s">
        <v>4292</v>
      </c>
      <c r="D11" s="3" t="s">
        <v>52</v>
      </c>
      <c r="E11" s="3"/>
      <c r="F11" s="3" t="s">
        <v>2373</v>
      </c>
      <c r="G11" s="157">
        <v>40188</v>
      </c>
      <c r="H11" s="3">
        <v>3217110110100000</v>
      </c>
      <c r="I11" s="3" t="s">
        <v>2353</v>
      </c>
      <c r="J11" s="3" t="s">
        <v>4457</v>
      </c>
      <c r="K11" s="3"/>
      <c r="L11" s="3"/>
      <c r="M11" s="3"/>
      <c r="N11" s="3" t="s">
        <v>3394</v>
      </c>
      <c r="O11" s="3" t="s">
        <v>2426</v>
      </c>
      <c r="P11" s="3"/>
      <c r="Q11" s="3" t="s">
        <v>2357</v>
      </c>
      <c r="R11" s="3" t="s">
        <v>2358</v>
      </c>
      <c r="S11" s="3"/>
      <c r="T11" s="3"/>
      <c r="U11" s="3"/>
      <c r="V11" s="3"/>
      <c r="W11" s="3" t="s">
        <v>2359</v>
      </c>
      <c r="X11" s="3"/>
      <c r="Y11" s="3"/>
      <c r="Z11" s="3">
        <v>0</v>
      </c>
      <c r="AA11" s="3"/>
      <c r="AB11" s="3"/>
      <c r="AC11" s="3"/>
      <c r="AD11" s="3"/>
      <c r="AE11" s="3" t="s">
        <v>4210</v>
      </c>
      <c r="AF11" s="3">
        <v>0</v>
      </c>
      <c r="AG11" s="3"/>
      <c r="AH11" s="3" t="s">
        <v>2365</v>
      </c>
      <c r="AI11" s="3" t="s">
        <v>2366</v>
      </c>
      <c r="AJ11" s="3"/>
      <c r="AK11" s="3"/>
      <c r="AL11" s="3"/>
      <c r="AM11" s="3"/>
      <c r="AN11" s="3"/>
      <c r="AO11" s="3"/>
      <c r="AP11" s="3"/>
      <c r="AQ11" s="3" t="s">
        <v>5150</v>
      </c>
      <c r="AR11" s="3"/>
      <c r="AS11" s="3"/>
      <c r="AT11" s="3" t="s">
        <v>2359</v>
      </c>
      <c r="AU11" s="3"/>
      <c r="AV11" s="3">
        <v>1</v>
      </c>
      <c r="AW11" s="3"/>
      <c r="AX11" s="3"/>
      <c r="AY11" s="3"/>
      <c r="AZ11" s="3"/>
      <c r="BA11" s="3"/>
      <c r="BB11" s="3" t="s">
        <v>2369</v>
      </c>
      <c r="BC11" s="3" t="s">
        <v>2370</v>
      </c>
      <c r="BD11" s="3" t="s">
        <v>2371</v>
      </c>
      <c r="BE11" s="3"/>
      <c r="BF11" s="3">
        <v>1</v>
      </c>
      <c r="BG11" s="3">
        <v>-6.9625000000000004</v>
      </c>
      <c r="BH11" s="3">
        <v>107.4346</v>
      </c>
      <c r="BI11" s="3"/>
      <c r="BJ11" s="3">
        <v>48</v>
      </c>
      <c r="BK11" s="3">
        <v>143</v>
      </c>
      <c r="BL11" s="3">
        <v>51</v>
      </c>
      <c r="BM11" s="3">
        <v>1</v>
      </c>
      <c r="BN11" s="3">
        <v>22</v>
      </c>
    </row>
    <row r="12" spans="1:66" x14ac:dyDescent="0.3">
      <c r="A12" s="3">
        <v>6</v>
      </c>
      <c r="B12" s="3" t="s">
        <v>3932</v>
      </c>
      <c r="C12" s="3" t="s">
        <v>4390</v>
      </c>
      <c r="D12" s="3" t="s">
        <v>53</v>
      </c>
      <c r="E12" s="3"/>
      <c r="F12" s="3" t="s">
        <v>2373</v>
      </c>
      <c r="G12" s="157">
        <v>40358</v>
      </c>
      <c r="H12" s="3">
        <v>3217126906100000</v>
      </c>
      <c r="I12" s="3" t="s">
        <v>2353</v>
      </c>
      <c r="J12" s="3" t="s">
        <v>4458</v>
      </c>
      <c r="K12" s="3"/>
      <c r="L12" s="3"/>
      <c r="M12" s="3"/>
      <c r="N12" s="3" t="s">
        <v>2415</v>
      </c>
      <c r="O12" s="3" t="s">
        <v>2356</v>
      </c>
      <c r="P12" s="3"/>
      <c r="Q12" s="3" t="s">
        <v>2357</v>
      </c>
      <c r="R12" s="3" t="s">
        <v>2358</v>
      </c>
      <c r="S12" s="3"/>
      <c r="T12" s="3"/>
      <c r="U12" s="3"/>
      <c r="V12" s="3"/>
      <c r="W12" s="3" t="s">
        <v>2359</v>
      </c>
      <c r="X12" s="3"/>
      <c r="Y12" s="3"/>
      <c r="Z12" s="3">
        <v>0</v>
      </c>
      <c r="AA12" s="3" t="s">
        <v>2402</v>
      </c>
      <c r="AB12" s="3" t="s">
        <v>2362</v>
      </c>
      <c r="AC12" s="3" t="s">
        <v>2363</v>
      </c>
      <c r="AD12" s="3"/>
      <c r="AE12" s="3" t="s">
        <v>4041</v>
      </c>
      <c r="AF12" s="3">
        <v>0</v>
      </c>
      <c r="AG12" s="3" t="s">
        <v>2361</v>
      </c>
      <c r="AH12" s="3" t="s">
        <v>2365</v>
      </c>
      <c r="AI12" s="3" t="s">
        <v>2366</v>
      </c>
      <c r="AJ12" s="3"/>
      <c r="AK12" s="3"/>
      <c r="AL12" s="3"/>
      <c r="AM12" s="3"/>
      <c r="AN12" s="3"/>
      <c r="AO12" s="3"/>
      <c r="AP12" s="3"/>
      <c r="AQ12" s="3" t="s">
        <v>5148</v>
      </c>
      <c r="AR12" s="3" t="s">
        <v>4040</v>
      </c>
      <c r="AS12" s="3"/>
      <c r="AT12" s="3" t="s">
        <v>2359</v>
      </c>
      <c r="AU12" s="3"/>
      <c r="AV12" s="3">
        <v>1</v>
      </c>
      <c r="AW12" s="3"/>
      <c r="AX12" s="3"/>
      <c r="AY12" s="3"/>
      <c r="AZ12" s="3"/>
      <c r="BA12" s="3"/>
      <c r="BB12" s="3" t="s">
        <v>2369</v>
      </c>
      <c r="BC12" s="3" t="s">
        <v>2370</v>
      </c>
      <c r="BD12" s="3" t="s">
        <v>2371</v>
      </c>
      <c r="BE12" s="3" t="s">
        <v>4459</v>
      </c>
      <c r="BF12" s="3">
        <v>1</v>
      </c>
      <c r="BG12" s="3">
        <v>-6.9625000000000004</v>
      </c>
      <c r="BH12" s="3">
        <v>107.4346</v>
      </c>
      <c r="BI12" s="3"/>
      <c r="BJ12" s="3">
        <v>45</v>
      </c>
      <c r="BK12" s="3">
        <v>140</v>
      </c>
      <c r="BL12" s="3">
        <v>50</v>
      </c>
      <c r="BM12" s="3">
        <v>1</v>
      </c>
      <c r="BN12" s="3">
        <v>3</v>
      </c>
    </row>
    <row r="13" spans="1:66" s="219" customFormat="1" hidden="1" x14ac:dyDescent="0.3">
      <c r="A13" s="54">
        <v>7</v>
      </c>
      <c r="B13" s="54" t="s">
        <v>1644</v>
      </c>
      <c r="C13" s="54" t="s">
        <v>2096</v>
      </c>
      <c r="D13" s="54" t="s">
        <v>52</v>
      </c>
      <c r="E13" s="54">
        <v>98130336</v>
      </c>
      <c r="F13" s="54" t="s">
        <v>2377</v>
      </c>
      <c r="G13" s="108">
        <v>40159</v>
      </c>
      <c r="H13" s="54">
        <v>3217121212090000</v>
      </c>
      <c r="I13" s="54" t="s">
        <v>2353</v>
      </c>
      <c r="J13" s="54" t="s">
        <v>2378</v>
      </c>
      <c r="K13" s="54">
        <v>2</v>
      </c>
      <c r="L13" s="54">
        <v>5</v>
      </c>
      <c r="M13" s="54"/>
      <c r="N13" s="54" t="s">
        <v>2355</v>
      </c>
      <c r="O13" s="54" t="s">
        <v>2356</v>
      </c>
      <c r="P13" s="54">
        <v>40564</v>
      </c>
      <c r="Q13" s="54" t="s">
        <v>2357</v>
      </c>
      <c r="R13" s="54" t="s">
        <v>2358</v>
      </c>
      <c r="S13" s="54"/>
      <c r="T13" s="54">
        <v>83871742578</v>
      </c>
      <c r="U13" s="54"/>
      <c r="V13" s="54"/>
      <c r="W13" s="54" t="s">
        <v>2359</v>
      </c>
      <c r="X13" s="54"/>
      <c r="Y13" s="54" t="s">
        <v>2379</v>
      </c>
      <c r="Z13" s="54">
        <v>1979</v>
      </c>
      <c r="AA13" s="54" t="s">
        <v>2361</v>
      </c>
      <c r="AB13" s="54" t="s">
        <v>2362</v>
      </c>
      <c r="AC13" s="54" t="s">
        <v>2363</v>
      </c>
      <c r="AD13" s="54">
        <v>3217122509790010</v>
      </c>
      <c r="AE13" s="54" t="s">
        <v>2380</v>
      </c>
      <c r="AF13" s="54">
        <v>1984</v>
      </c>
      <c r="AG13" s="54" t="s">
        <v>2361</v>
      </c>
      <c r="AH13" s="54" t="s">
        <v>2365</v>
      </c>
      <c r="AI13" s="54" t="s">
        <v>2366</v>
      </c>
      <c r="AJ13" s="54">
        <v>3217125909840000</v>
      </c>
      <c r="AK13" s="54"/>
      <c r="AL13" s="54"/>
      <c r="AM13" s="54" t="s">
        <v>2367</v>
      </c>
      <c r="AN13" s="54"/>
      <c r="AO13" s="54"/>
      <c r="AP13" s="54"/>
      <c r="AQ13" s="54" t="s">
        <v>8177</v>
      </c>
      <c r="AR13" s="54"/>
      <c r="AS13" s="54"/>
      <c r="AT13" s="54" t="s">
        <v>2359</v>
      </c>
      <c r="AU13" s="54"/>
      <c r="AV13" s="54">
        <v>0</v>
      </c>
      <c r="AW13" s="54"/>
      <c r="AX13" s="54" t="s">
        <v>2381</v>
      </c>
      <c r="AY13" s="54"/>
      <c r="AZ13" s="54"/>
      <c r="BA13" s="54"/>
      <c r="BB13" s="54" t="s">
        <v>2369</v>
      </c>
      <c r="BC13" s="54" t="s">
        <v>2370</v>
      </c>
      <c r="BD13" s="54" t="s">
        <v>2371</v>
      </c>
      <c r="BE13" s="54" t="s">
        <v>2372</v>
      </c>
      <c r="BF13" s="54">
        <v>2</v>
      </c>
      <c r="BG13" s="54">
        <v>-6.9676999999999998</v>
      </c>
      <c r="BH13" s="54">
        <v>107.4117</v>
      </c>
      <c r="BI13" s="54"/>
      <c r="BJ13" s="54">
        <v>48</v>
      </c>
      <c r="BK13" s="54">
        <v>146</v>
      </c>
      <c r="BL13" s="54">
        <v>0</v>
      </c>
      <c r="BM13" s="54">
        <v>0</v>
      </c>
      <c r="BN13" s="54">
        <v>0</v>
      </c>
    </row>
    <row r="14" spans="1:66" s="219" customFormat="1" hidden="1" x14ac:dyDescent="0.3">
      <c r="A14" s="54">
        <v>8</v>
      </c>
      <c r="B14" s="54" t="s">
        <v>1766</v>
      </c>
      <c r="C14" s="54" t="s">
        <v>2252</v>
      </c>
      <c r="D14" s="54" t="s">
        <v>52</v>
      </c>
      <c r="E14" s="54">
        <v>3101382434</v>
      </c>
      <c r="F14" s="54" t="s">
        <v>2446</v>
      </c>
      <c r="G14" s="108">
        <v>40089</v>
      </c>
      <c r="H14" s="54">
        <v>3217120310090000</v>
      </c>
      <c r="I14" s="54" t="s">
        <v>2353</v>
      </c>
      <c r="J14" s="54" t="s">
        <v>2906</v>
      </c>
      <c r="K14" s="54">
        <v>4</v>
      </c>
      <c r="L14" s="54">
        <v>5</v>
      </c>
      <c r="M14" s="54"/>
      <c r="N14" s="54" t="s">
        <v>2907</v>
      </c>
      <c r="O14" s="54" t="s">
        <v>2426</v>
      </c>
      <c r="P14" s="54"/>
      <c r="Q14" s="54" t="s">
        <v>2357</v>
      </c>
      <c r="R14" s="54" t="s">
        <v>2358</v>
      </c>
      <c r="S14" s="54"/>
      <c r="T14" s="54"/>
      <c r="U14" s="54"/>
      <c r="V14" s="54"/>
      <c r="W14" s="54" t="s">
        <v>2359</v>
      </c>
      <c r="X14" s="54"/>
      <c r="Y14" s="54"/>
      <c r="Z14" s="54">
        <v>0</v>
      </c>
      <c r="AA14" s="54"/>
      <c r="AB14" s="54" t="s">
        <v>2362</v>
      </c>
      <c r="AC14" s="54" t="s">
        <v>2363</v>
      </c>
      <c r="AD14" s="54"/>
      <c r="AE14" s="54" t="s">
        <v>3010</v>
      </c>
      <c r="AF14" s="54">
        <v>0</v>
      </c>
      <c r="AG14" s="54"/>
      <c r="AH14" s="54" t="s">
        <v>2365</v>
      </c>
      <c r="AI14" s="54" t="s">
        <v>2366</v>
      </c>
      <c r="AJ14" s="54"/>
      <c r="AK14" s="54"/>
      <c r="AL14" s="54"/>
      <c r="AM14" s="54"/>
      <c r="AN14" s="54"/>
      <c r="AO14" s="54"/>
      <c r="AP14" s="54"/>
      <c r="AQ14" s="54" t="s">
        <v>8178</v>
      </c>
      <c r="AR14" s="54"/>
      <c r="AS14" s="54"/>
      <c r="AT14" s="54" t="s">
        <v>2359</v>
      </c>
      <c r="AU14" s="54"/>
      <c r="AV14" s="54">
        <v>1</v>
      </c>
      <c r="AW14" s="54"/>
      <c r="AX14" s="54"/>
      <c r="AY14" s="54"/>
      <c r="AZ14" s="54"/>
      <c r="BA14" s="54"/>
      <c r="BB14" s="54" t="s">
        <v>2359</v>
      </c>
      <c r="BC14" s="54"/>
      <c r="BD14" s="54" t="s">
        <v>2371</v>
      </c>
      <c r="BE14" s="54" t="s">
        <v>2376</v>
      </c>
      <c r="BF14" s="54">
        <v>1</v>
      </c>
      <c r="BG14" s="54">
        <v>-6.9625000000000004</v>
      </c>
      <c r="BH14" s="54">
        <v>107.4346</v>
      </c>
      <c r="BI14" s="54"/>
      <c r="BJ14" s="54">
        <v>47</v>
      </c>
      <c r="BK14" s="54">
        <v>143</v>
      </c>
      <c r="BL14" s="54">
        <v>56</v>
      </c>
      <c r="BM14" s="54">
        <v>1</v>
      </c>
      <c r="BN14" s="54">
        <v>3</v>
      </c>
    </row>
    <row r="15" spans="1:66" hidden="1" x14ac:dyDescent="0.3">
      <c r="A15" s="3">
        <v>9</v>
      </c>
      <c r="B15" s="3" t="s">
        <v>3813</v>
      </c>
      <c r="C15" s="3" t="s">
        <v>4260</v>
      </c>
      <c r="D15" s="3" t="s">
        <v>52</v>
      </c>
      <c r="E15" s="3">
        <v>3108884780</v>
      </c>
      <c r="F15" s="3" t="s">
        <v>2377</v>
      </c>
      <c r="G15" s="157">
        <v>40526</v>
      </c>
      <c r="H15" s="3">
        <v>3217111412100000</v>
      </c>
      <c r="I15" s="3" t="s">
        <v>2353</v>
      </c>
      <c r="J15" s="3" t="s">
        <v>2616</v>
      </c>
      <c r="K15" s="3">
        <v>2</v>
      </c>
      <c r="L15" s="3">
        <v>6</v>
      </c>
      <c r="M15" s="3"/>
      <c r="N15" s="3" t="s">
        <v>4455</v>
      </c>
      <c r="O15" s="3" t="s">
        <v>2426</v>
      </c>
      <c r="P15" s="3">
        <v>40561</v>
      </c>
      <c r="Q15" s="3" t="s">
        <v>2357</v>
      </c>
      <c r="R15" s="3" t="s">
        <v>2358</v>
      </c>
      <c r="S15" s="3"/>
      <c r="T15" s="3"/>
      <c r="U15" s="3"/>
      <c r="V15" s="3"/>
      <c r="W15" s="3" t="s">
        <v>2359</v>
      </c>
      <c r="X15" s="3"/>
      <c r="Y15" s="3" t="s">
        <v>4460</v>
      </c>
      <c r="Z15" s="3">
        <v>1956</v>
      </c>
      <c r="AA15" s="3" t="s">
        <v>2361</v>
      </c>
      <c r="AB15" s="3" t="s">
        <v>2362</v>
      </c>
      <c r="AC15" s="3" t="s">
        <v>2403</v>
      </c>
      <c r="AD15" s="3">
        <v>3217110103560000</v>
      </c>
      <c r="AE15" s="3" t="s">
        <v>4131</v>
      </c>
      <c r="AF15" s="3">
        <v>1956</v>
      </c>
      <c r="AG15" s="3" t="s">
        <v>2361</v>
      </c>
      <c r="AH15" s="3" t="s">
        <v>2365</v>
      </c>
      <c r="AI15" s="3" t="s">
        <v>2366</v>
      </c>
      <c r="AJ15" s="3">
        <v>3217114506560010</v>
      </c>
      <c r="AK15" s="3"/>
      <c r="AL15" s="3"/>
      <c r="AM15" s="3"/>
      <c r="AN15" s="3"/>
      <c r="AO15" s="3"/>
      <c r="AP15" s="3"/>
      <c r="AQ15" s="3" t="s">
        <v>5149</v>
      </c>
      <c r="AR15" s="3"/>
      <c r="AS15" s="3"/>
      <c r="AT15" s="3" t="s">
        <v>2359</v>
      </c>
      <c r="AU15" s="3"/>
      <c r="AV15" s="3">
        <v>1</v>
      </c>
      <c r="AW15" s="3"/>
      <c r="AX15" s="3" t="s">
        <v>4130</v>
      </c>
      <c r="AY15" s="3"/>
      <c r="AZ15" s="3"/>
      <c r="BA15" s="3"/>
      <c r="BB15" s="3" t="s">
        <v>2369</v>
      </c>
      <c r="BC15" s="3" t="s">
        <v>2370</v>
      </c>
      <c r="BD15" s="3" t="s">
        <v>2371</v>
      </c>
      <c r="BE15" s="3" t="s">
        <v>2669</v>
      </c>
      <c r="BF15" s="3">
        <v>1</v>
      </c>
      <c r="BG15" s="3">
        <v>-6.9625000000000004</v>
      </c>
      <c r="BH15" s="3">
        <v>107.4346</v>
      </c>
      <c r="BI15" s="3">
        <v>3217111504051760</v>
      </c>
      <c r="BJ15" s="3">
        <v>40</v>
      </c>
      <c r="BK15" s="3">
        <v>135</v>
      </c>
      <c r="BL15" s="3">
        <v>55</v>
      </c>
      <c r="BM15" s="3">
        <v>1</v>
      </c>
      <c r="BN15" s="3">
        <v>2</v>
      </c>
    </row>
    <row r="16" spans="1:66" s="219" customFormat="1" hidden="1" x14ac:dyDescent="0.3">
      <c r="A16" s="54">
        <v>10</v>
      </c>
      <c r="B16" s="54" t="s">
        <v>1638</v>
      </c>
      <c r="C16" s="54" t="s">
        <v>2097</v>
      </c>
      <c r="D16" s="54" t="s">
        <v>52</v>
      </c>
      <c r="E16" s="54">
        <v>109214904</v>
      </c>
      <c r="F16" s="54" t="s">
        <v>2382</v>
      </c>
      <c r="G16" s="108">
        <v>40384</v>
      </c>
      <c r="H16" s="54">
        <v>3275062507100000</v>
      </c>
      <c r="I16" s="54" t="s">
        <v>2353</v>
      </c>
      <c r="J16" s="54" t="s">
        <v>2383</v>
      </c>
      <c r="K16" s="54">
        <v>1</v>
      </c>
      <c r="L16" s="54">
        <v>6</v>
      </c>
      <c r="M16" s="54" t="s">
        <v>2384</v>
      </c>
      <c r="N16" s="54" t="s">
        <v>2384</v>
      </c>
      <c r="O16" s="54" t="s">
        <v>2385</v>
      </c>
      <c r="P16" s="54">
        <v>17124</v>
      </c>
      <c r="Q16" s="54" t="s">
        <v>2357</v>
      </c>
      <c r="R16" s="54" t="s">
        <v>2358</v>
      </c>
      <c r="S16" s="54"/>
      <c r="T16" s="54">
        <v>81383972873</v>
      </c>
      <c r="U16" s="54"/>
      <c r="V16" s="54"/>
      <c r="W16" s="54" t="s">
        <v>2359</v>
      </c>
      <c r="X16" s="54"/>
      <c r="Y16" s="54" t="s">
        <v>2386</v>
      </c>
      <c r="Z16" s="54">
        <v>1981</v>
      </c>
      <c r="AA16" s="54" t="s">
        <v>2387</v>
      </c>
      <c r="AB16" s="54" t="s">
        <v>2388</v>
      </c>
      <c r="AC16" s="54" t="s">
        <v>2375</v>
      </c>
      <c r="AD16" s="54"/>
      <c r="AE16" s="54" t="s">
        <v>2389</v>
      </c>
      <c r="AF16" s="54">
        <v>1982</v>
      </c>
      <c r="AG16" s="54" t="s">
        <v>2390</v>
      </c>
      <c r="AH16" s="54" t="s">
        <v>2365</v>
      </c>
      <c r="AI16" s="54" t="s">
        <v>2366</v>
      </c>
      <c r="AJ16" s="54"/>
      <c r="AK16" s="54"/>
      <c r="AL16" s="54"/>
      <c r="AM16" s="54" t="s">
        <v>2367</v>
      </c>
      <c r="AN16" s="54"/>
      <c r="AO16" s="54"/>
      <c r="AP16" s="54"/>
      <c r="AQ16" s="54" t="s">
        <v>8177</v>
      </c>
      <c r="AR16" s="54"/>
      <c r="AS16" s="54"/>
      <c r="AT16" s="54" t="s">
        <v>2359</v>
      </c>
      <c r="AU16" s="54"/>
      <c r="AV16" s="54">
        <v>0</v>
      </c>
      <c r="AW16" s="54"/>
      <c r="AX16" s="54" t="s">
        <v>2391</v>
      </c>
      <c r="AY16" s="54"/>
      <c r="AZ16" s="54"/>
      <c r="BA16" s="54"/>
      <c r="BB16" s="54" t="s">
        <v>2359</v>
      </c>
      <c r="BC16" s="54"/>
      <c r="BD16" s="54" t="s">
        <v>2371</v>
      </c>
      <c r="BE16" s="54" t="s">
        <v>2392</v>
      </c>
      <c r="BF16" s="54">
        <v>1</v>
      </c>
      <c r="BG16" s="54">
        <v>-6.2130000000000001</v>
      </c>
      <c r="BH16" s="54">
        <v>106.98390000000001</v>
      </c>
      <c r="BI16" s="54">
        <v>3275062604120030</v>
      </c>
      <c r="BJ16" s="54">
        <v>41</v>
      </c>
      <c r="BK16" s="54">
        <v>135</v>
      </c>
      <c r="BL16" s="54">
        <v>52</v>
      </c>
      <c r="BM16" s="54">
        <v>1</v>
      </c>
      <c r="BN16" s="54">
        <v>1</v>
      </c>
    </row>
    <row r="17" spans="1:66" s="219" customFormat="1" hidden="1" x14ac:dyDescent="0.3">
      <c r="A17" s="54">
        <v>11</v>
      </c>
      <c r="B17" s="54" t="s">
        <v>2061</v>
      </c>
      <c r="C17" s="54" t="s">
        <v>2128</v>
      </c>
      <c r="D17" s="54" t="s">
        <v>53</v>
      </c>
      <c r="E17" s="54">
        <v>101473706</v>
      </c>
      <c r="F17" s="54" t="s">
        <v>2373</v>
      </c>
      <c r="G17" s="108">
        <v>40283</v>
      </c>
      <c r="H17" s="54">
        <v>3217125504100000</v>
      </c>
      <c r="I17" s="54" t="s">
        <v>2353</v>
      </c>
      <c r="J17" s="54" t="s">
        <v>2436</v>
      </c>
      <c r="K17" s="54">
        <v>2</v>
      </c>
      <c r="L17" s="54">
        <v>4</v>
      </c>
      <c r="M17" s="54" t="s">
        <v>2437</v>
      </c>
      <c r="N17" s="54" t="s">
        <v>2438</v>
      </c>
      <c r="O17" s="54" t="s">
        <v>2356</v>
      </c>
      <c r="P17" s="54">
        <v>40764</v>
      </c>
      <c r="Q17" s="54" t="s">
        <v>2357</v>
      </c>
      <c r="R17" s="54" t="s">
        <v>2358</v>
      </c>
      <c r="S17" s="54"/>
      <c r="T17" s="54">
        <v>83822777825</v>
      </c>
      <c r="U17" s="54"/>
      <c r="V17" s="54"/>
      <c r="W17" s="54" t="s">
        <v>2359</v>
      </c>
      <c r="X17" s="54"/>
      <c r="Y17" s="54" t="s">
        <v>2540</v>
      </c>
      <c r="Z17" s="54">
        <v>1983</v>
      </c>
      <c r="AA17" s="54" t="s">
        <v>2390</v>
      </c>
      <c r="AB17" s="54" t="s">
        <v>2362</v>
      </c>
      <c r="AC17" s="54" t="s">
        <v>2403</v>
      </c>
      <c r="AD17" s="54"/>
      <c r="AE17" s="54" t="s">
        <v>2541</v>
      </c>
      <c r="AF17" s="54">
        <v>1985</v>
      </c>
      <c r="AG17" s="54" t="s">
        <v>2390</v>
      </c>
      <c r="AH17" s="54" t="s">
        <v>2365</v>
      </c>
      <c r="AI17" s="54" t="s">
        <v>2366</v>
      </c>
      <c r="AJ17" s="54">
        <v>3217125911850000</v>
      </c>
      <c r="AK17" s="54"/>
      <c r="AL17" s="54"/>
      <c r="AM17" s="54" t="s">
        <v>2367</v>
      </c>
      <c r="AN17" s="54"/>
      <c r="AO17" s="54"/>
      <c r="AP17" s="54"/>
      <c r="AQ17" s="54" t="s">
        <v>8181</v>
      </c>
      <c r="AR17" s="54"/>
      <c r="AS17" s="54"/>
      <c r="AT17" s="54" t="s">
        <v>2359</v>
      </c>
      <c r="AU17" s="54"/>
      <c r="AV17" s="54">
        <v>0</v>
      </c>
      <c r="AW17" s="54"/>
      <c r="AX17" s="54" t="s">
        <v>2542</v>
      </c>
      <c r="AY17" s="54"/>
      <c r="AZ17" s="54"/>
      <c r="BA17" s="54"/>
      <c r="BB17" s="54" t="s">
        <v>2369</v>
      </c>
      <c r="BC17" s="54" t="s">
        <v>2370</v>
      </c>
      <c r="BD17" s="54" t="s">
        <v>2371</v>
      </c>
      <c r="BE17" s="54" t="s">
        <v>2444</v>
      </c>
      <c r="BF17" s="54">
        <v>1</v>
      </c>
      <c r="BG17" s="54">
        <v>-6.952</v>
      </c>
      <c r="BH17" s="54">
        <v>107.40009999999999</v>
      </c>
      <c r="BI17" s="54">
        <v>3217122309160000</v>
      </c>
      <c r="BJ17" s="54">
        <v>45</v>
      </c>
      <c r="BK17" s="54">
        <v>142</v>
      </c>
      <c r="BL17" s="54">
        <v>0</v>
      </c>
      <c r="BM17" s="54">
        <v>0</v>
      </c>
      <c r="BN17" s="54">
        <v>0</v>
      </c>
    </row>
    <row r="18" spans="1:66" hidden="1" x14ac:dyDescent="0.3">
      <c r="A18" s="3">
        <v>12</v>
      </c>
      <c r="B18" s="3" t="s">
        <v>3871</v>
      </c>
      <c r="C18" s="3" t="s">
        <v>4325</v>
      </c>
      <c r="D18" s="3" t="s">
        <v>52</v>
      </c>
      <c r="E18" s="3">
        <v>104610809</v>
      </c>
      <c r="F18" s="3" t="s">
        <v>2377</v>
      </c>
      <c r="G18" s="157">
        <v>40503</v>
      </c>
      <c r="H18" s="3">
        <v>3217112111100000</v>
      </c>
      <c r="I18" s="3" t="s">
        <v>2353</v>
      </c>
      <c r="J18" s="3" t="s">
        <v>2695</v>
      </c>
      <c r="K18" s="3">
        <v>1</v>
      </c>
      <c r="L18" s="3">
        <v>12</v>
      </c>
      <c r="M18" s="3"/>
      <c r="N18" s="3" t="s">
        <v>2566</v>
      </c>
      <c r="O18" s="3" t="s">
        <v>2426</v>
      </c>
      <c r="P18" s="3">
        <v>40562</v>
      </c>
      <c r="Q18" s="3" t="s">
        <v>2357</v>
      </c>
      <c r="R18" s="3" t="s">
        <v>2374</v>
      </c>
      <c r="S18" s="3"/>
      <c r="T18" s="3">
        <v>83829617481</v>
      </c>
      <c r="U18" s="3"/>
      <c r="V18" s="3"/>
      <c r="W18" s="3" t="s">
        <v>2359</v>
      </c>
      <c r="X18" s="3"/>
      <c r="Y18" s="3" t="s">
        <v>4078</v>
      </c>
      <c r="Z18" s="3">
        <v>1990</v>
      </c>
      <c r="AA18" s="3" t="s">
        <v>2402</v>
      </c>
      <c r="AB18" s="3" t="s">
        <v>2362</v>
      </c>
      <c r="AC18" s="3" t="s">
        <v>2403</v>
      </c>
      <c r="AD18" s="3">
        <v>3217112601900000</v>
      </c>
      <c r="AE18" s="3" t="s">
        <v>4079</v>
      </c>
      <c r="AF18" s="3">
        <v>1994</v>
      </c>
      <c r="AG18" s="3" t="s">
        <v>2402</v>
      </c>
      <c r="AH18" s="3" t="s">
        <v>2365</v>
      </c>
      <c r="AI18" s="3" t="s">
        <v>2366</v>
      </c>
      <c r="AJ18" s="3">
        <v>3217115501940000</v>
      </c>
      <c r="AK18" s="3"/>
      <c r="AL18" s="3"/>
      <c r="AM18" s="3" t="s">
        <v>2367</v>
      </c>
      <c r="AN18" s="3"/>
      <c r="AO18" s="3"/>
      <c r="AP18" s="3"/>
      <c r="AQ18" s="3" t="s">
        <v>5152</v>
      </c>
      <c r="AR18" s="3" t="s">
        <v>4461</v>
      </c>
      <c r="AS18" s="3"/>
      <c r="AT18" s="3" t="s">
        <v>2369</v>
      </c>
      <c r="AU18" s="3"/>
      <c r="AV18" s="3">
        <v>0</v>
      </c>
      <c r="AW18" s="3"/>
      <c r="AX18" s="3"/>
      <c r="AY18" s="3"/>
      <c r="AZ18" s="3"/>
      <c r="BA18" s="3"/>
      <c r="BB18" s="3" t="s">
        <v>2369</v>
      </c>
      <c r="BC18" s="3"/>
      <c r="BD18" s="3" t="s">
        <v>2371</v>
      </c>
      <c r="BE18" s="3" t="s">
        <v>2691</v>
      </c>
      <c r="BF18" s="3">
        <v>1</v>
      </c>
      <c r="BG18" s="3">
        <v>-6.9743000000000004</v>
      </c>
      <c r="BH18" s="3">
        <v>107.43559999999999</v>
      </c>
      <c r="BI18" s="3">
        <v>3217112707110000</v>
      </c>
      <c r="BJ18" s="3">
        <v>28</v>
      </c>
      <c r="BK18" s="3">
        <v>128</v>
      </c>
      <c r="BL18" s="3">
        <v>55</v>
      </c>
      <c r="BM18" s="3">
        <v>1</v>
      </c>
      <c r="BN18" s="3">
        <v>1</v>
      </c>
    </row>
    <row r="19" spans="1:66" s="219" customFormat="1" hidden="1" x14ac:dyDescent="0.3">
      <c r="A19" s="54">
        <v>13</v>
      </c>
      <c r="B19" s="54" t="s">
        <v>1763</v>
      </c>
      <c r="C19" s="54" t="s">
        <v>2253</v>
      </c>
      <c r="D19" s="54" t="s">
        <v>53</v>
      </c>
      <c r="E19" s="54">
        <v>3106222798</v>
      </c>
      <c r="F19" s="54" t="s">
        <v>2373</v>
      </c>
      <c r="G19" s="108">
        <v>40180</v>
      </c>
      <c r="H19" s="54">
        <v>3217114201100000</v>
      </c>
      <c r="I19" s="54" t="s">
        <v>2353</v>
      </c>
      <c r="J19" s="54" t="s">
        <v>2967</v>
      </c>
      <c r="K19" s="54">
        <v>1</v>
      </c>
      <c r="L19" s="54">
        <v>5</v>
      </c>
      <c r="M19" s="54"/>
      <c r="N19" s="54" t="s">
        <v>2425</v>
      </c>
      <c r="O19" s="54" t="s">
        <v>2426</v>
      </c>
      <c r="P19" s="54">
        <v>40562</v>
      </c>
      <c r="Q19" s="54" t="s">
        <v>2357</v>
      </c>
      <c r="R19" s="54" t="s">
        <v>2358</v>
      </c>
      <c r="S19" s="54"/>
      <c r="T19" s="54"/>
      <c r="U19" s="54"/>
      <c r="V19" s="54"/>
      <c r="W19" s="54" t="s">
        <v>2359</v>
      </c>
      <c r="X19" s="54"/>
      <c r="Y19" s="54"/>
      <c r="Z19" s="54">
        <v>0</v>
      </c>
      <c r="AA19" s="54"/>
      <c r="AB19" s="54" t="s">
        <v>2362</v>
      </c>
      <c r="AC19" s="54" t="s">
        <v>2375</v>
      </c>
      <c r="AD19" s="54"/>
      <c r="AE19" s="54" t="s">
        <v>2440</v>
      </c>
      <c r="AF19" s="54">
        <v>0</v>
      </c>
      <c r="AG19" s="54"/>
      <c r="AH19" s="54" t="s">
        <v>2365</v>
      </c>
      <c r="AI19" s="54" t="s">
        <v>2366</v>
      </c>
      <c r="AJ19" s="54"/>
      <c r="AK19" s="54"/>
      <c r="AL19" s="54"/>
      <c r="AM19" s="54"/>
      <c r="AN19" s="54"/>
      <c r="AO19" s="54"/>
      <c r="AP19" s="54"/>
      <c r="AQ19" s="54" t="s">
        <v>8178</v>
      </c>
      <c r="AR19" s="54"/>
      <c r="AS19" s="54"/>
      <c r="AT19" s="54" t="s">
        <v>2359</v>
      </c>
      <c r="AU19" s="54"/>
      <c r="AV19" s="54">
        <v>1</v>
      </c>
      <c r="AW19" s="54"/>
      <c r="AX19" s="54"/>
      <c r="AY19" s="54"/>
      <c r="AZ19" s="54"/>
      <c r="BA19" s="54"/>
      <c r="BB19" s="54" t="s">
        <v>2369</v>
      </c>
      <c r="BC19" s="54" t="s">
        <v>2370</v>
      </c>
      <c r="BD19" s="54" t="s">
        <v>2371</v>
      </c>
      <c r="BE19" s="54" t="s">
        <v>2376</v>
      </c>
      <c r="BF19" s="54">
        <v>1</v>
      </c>
      <c r="BG19" s="54">
        <v>-6.9625000000000004</v>
      </c>
      <c r="BH19" s="54">
        <v>107.4346</v>
      </c>
      <c r="BI19" s="54"/>
      <c r="BJ19" s="54">
        <v>43</v>
      </c>
      <c r="BK19" s="54">
        <v>136</v>
      </c>
      <c r="BL19" s="54">
        <v>55</v>
      </c>
      <c r="BM19" s="54">
        <v>1</v>
      </c>
      <c r="BN19" s="54">
        <v>2</v>
      </c>
    </row>
    <row r="20" spans="1:66" s="219" customFormat="1" hidden="1" x14ac:dyDescent="0.3">
      <c r="A20" s="54">
        <v>14</v>
      </c>
      <c r="B20" s="54" t="s">
        <v>1695</v>
      </c>
      <c r="C20" s="54" t="s">
        <v>2161</v>
      </c>
      <c r="D20" s="54" t="s">
        <v>53</v>
      </c>
      <c r="E20" s="54">
        <v>103733283</v>
      </c>
      <c r="F20" s="54" t="s">
        <v>2377</v>
      </c>
      <c r="G20" s="108">
        <v>40208</v>
      </c>
      <c r="H20" s="54">
        <v>3217127001100000</v>
      </c>
      <c r="I20" s="54" t="s">
        <v>2353</v>
      </c>
      <c r="J20" s="54" t="s">
        <v>2663</v>
      </c>
      <c r="K20" s="54">
        <v>3</v>
      </c>
      <c r="L20" s="54">
        <v>1</v>
      </c>
      <c r="M20" s="54" t="s">
        <v>2664</v>
      </c>
      <c r="N20" s="54" t="s">
        <v>2399</v>
      </c>
      <c r="O20" s="54" t="s">
        <v>2356</v>
      </c>
      <c r="P20" s="54">
        <v>40564</v>
      </c>
      <c r="Q20" s="54" t="s">
        <v>2357</v>
      </c>
      <c r="R20" s="54" t="s">
        <v>2358</v>
      </c>
      <c r="S20" s="54"/>
      <c r="T20" s="54">
        <v>82126283070</v>
      </c>
      <c r="U20" s="54"/>
      <c r="V20" s="54"/>
      <c r="W20" s="54" t="s">
        <v>2359</v>
      </c>
      <c r="X20" s="54"/>
      <c r="Y20" s="54" t="s">
        <v>2665</v>
      </c>
      <c r="Z20" s="54">
        <v>1977</v>
      </c>
      <c r="AA20" s="54" t="s">
        <v>2387</v>
      </c>
      <c r="AB20" s="54" t="s">
        <v>2388</v>
      </c>
      <c r="AC20" s="54" t="s">
        <v>2666</v>
      </c>
      <c r="AD20" s="54">
        <v>3211032505770000</v>
      </c>
      <c r="AE20" s="54" t="s">
        <v>2667</v>
      </c>
      <c r="AF20" s="54">
        <v>1984</v>
      </c>
      <c r="AG20" s="54" t="s">
        <v>2387</v>
      </c>
      <c r="AH20" s="54" t="s">
        <v>2474</v>
      </c>
      <c r="AI20" s="54" t="s">
        <v>2363</v>
      </c>
      <c r="AJ20" s="54">
        <v>3211034110840000</v>
      </c>
      <c r="AK20" s="54"/>
      <c r="AL20" s="54"/>
      <c r="AM20" s="54" t="s">
        <v>2367</v>
      </c>
      <c r="AN20" s="54"/>
      <c r="AO20" s="54"/>
      <c r="AP20" s="54"/>
      <c r="AQ20" s="54" t="s">
        <v>8180</v>
      </c>
      <c r="AR20" s="54"/>
      <c r="AS20" s="54"/>
      <c r="AT20" s="54" t="s">
        <v>2359</v>
      </c>
      <c r="AU20" s="54"/>
      <c r="AV20" s="54">
        <v>0</v>
      </c>
      <c r="AW20" s="54"/>
      <c r="AX20" s="54"/>
      <c r="AY20" s="54"/>
      <c r="AZ20" s="54"/>
      <c r="BA20" s="54"/>
      <c r="BB20" s="54" t="s">
        <v>2369</v>
      </c>
      <c r="BC20" s="54" t="s">
        <v>2370</v>
      </c>
      <c r="BD20" s="54" t="s">
        <v>2371</v>
      </c>
      <c r="BE20" s="54" t="s">
        <v>2406</v>
      </c>
      <c r="BF20" s="54">
        <v>2</v>
      </c>
      <c r="BG20" s="54">
        <v>-6.9545061459999999</v>
      </c>
      <c r="BH20" s="54">
        <v>107.3898983</v>
      </c>
      <c r="BI20" s="54"/>
      <c r="BJ20" s="54">
        <v>42</v>
      </c>
      <c r="BK20" s="54">
        <v>139</v>
      </c>
      <c r="BL20" s="54">
        <v>0</v>
      </c>
      <c r="BM20" s="54">
        <v>0</v>
      </c>
      <c r="BN20" s="54">
        <v>0</v>
      </c>
    </row>
    <row r="21" spans="1:66" s="219" customFormat="1" hidden="1" x14ac:dyDescent="0.3">
      <c r="A21" s="54">
        <v>15</v>
      </c>
      <c r="B21" s="54" t="s">
        <v>3213</v>
      </c>
      <c r="C21" s="54" t="s">
        <v>3783</v>
      </c>
      <c r="D21" s="54" t="s">
        <v>53</v>
      </c>
      <c r="E21" s="54">
        <v>3091715628</v>
      </c>
      <c r="F21" s="54" t="s">
        <v>2373</v>
      </c>
      <c r="G21" s="108">
        <v>39994</v>
      </c>
      <c r="H21" s="54">
        <v>3217117006090000</v>
      </c>
      <c r="I21" s="54" t="s">
        <v>2353</v>
      </c>
      <c r="J21" s="54" t="s">
        <v>3214</v>
      </c>
      <c r="K21" s="54">
        <v>3</v>
      </c>
      <c r="L21" s="54">
        <v>7</v>
      </c>
      <c r="M21" s="54"/>
      <c r="N21" s="54" t="s">
        <v>2617</v>
      </c>
      <c r="O21" s="54" t="s">
        <v>2426</v>
      </c>
      <c r="P21" s="54">
        <v>40561</v>
      </c>
      <c r="Q21" s="54" t="s">
        <v>2357</v>
      </c>
      <c r="R21" s="54" t="s">
        <v>2358</v>
      </c>
      <c r="S21" s="54"/>
      <c r="T21" s="54"/>
      <c r="U21" s="54"/>
      <c r="V21" s="54"/>
      <c r="W21" s="54" t="s">
        <v>2359</v>
      </c>
      <c r="X21" s="54"/>
      <c r="Y21" s="54"/>
      <c r="Z21" s="54">
        <v>0</v>
      </c>
      <c r="AA21" s="54"/>
      <c r="AB21" s="54" t="s">
        <v>2362</v>
      </c>
      <c r="AC21" s="54"/>
      <c r="AD21" s="54"/>
      <c r="AE21" s="54" t="s">
        <v>3215</v>
      </c>
      <c r="AF21" s="54">
        <v>0</v>
      </c>
      <c r="AG21" s="54"/>
      <c r="AH21" s="54" t="s">
        <v>2365</v>
      </c>
      <c r="AI21" s="54" t="s">
        <v>2366</v>
      </c>
      <c r="AJ21" s="54"/>
      <c r="AK21" s="54"/>
      <c r="AL21" s="54"/>
      <c r="AM21" s="54"/>
      <c r="AN21" s="54"/>
      <c r="AO21" s="54"/>
      <c r="AP21" s="54"/>
      <c r="AQ21" s="54" t="s">
        <v>5147</v>
      </c>
      <c r="AR21" s="54"/>
      <c r="AS21" s="54"/>
      <c r="AT21" s="54" t="s">
        <v>2359</v>
      </c>
      <c r="AU21" s="54"/>
      <c r="AV21" s="54">
        <v>1</v>
      </c>
      <c r="AW21" s="54"/>
      <c r="AX21" s="54"/>
      <c r="AY21" s="54"/>
      <c r="AZ21" s="54"/>
      <c r="BA21" s="54"/>
      <c r="BB21" s="54" t="s">
        <v>2359</v>
      </c>
      <c r="BC21" s="54"/>
      <c r="BD21" s="54" t="s">
        <v>2371</v>
      </c>
      <c r="BE21" s="54"/>
      <c r="BF21" s="54">
        <v>2</v>
      </c>
      <c r="BG21" s="54">
        <v>-6.9625000000000004</v>
      </c>
      <c r="BH21" s="54">
        <v>107.4346</v>
      </c>
      <c r="BI21" s="54"/>
      <c r="BJ21" s="54">
        <v>45</v>
      </c>
      <c r="BK21" s="54">
        <v>140</v>
      </c>
      <c r="BL21" s="54">
        <v>55</v>
      </c>
      <c r="BM21" s="54">
        <v>1</v>
      </c>
      <c r="BN21" s="54">
        <v>2</v>
      </c>
    </row>
    <row r="22" spans="1:66" hidden="1" x14ac:dyDescent="0.3">
      <c r="A22" s="3">
        <v>16</v>
      </c>
      <c r="B22" s="3" t="s">
        <v>4462</v>
      </c>
      <c r="C22" s="3"/>
      <c r="D22" s="3" t="s">
        <v>52</v>
      </c>
      <c r="E22" s="3">
        <v>3109585796</v>
      </c>
      <c r="F22" s="3" t="s">
        <v>2377</v>
      </c>
      <c r="G22" s="157">
        <v>40494</v>
      </c>
      <c r="H22" s="3">
        <v>3217111211100000</v>
      </c>
      <c r="I22" s="3" t="s">
        <v>2353</v>
      </c>
      <c r="J22" s="3" t="s">
        <v>2616</v>
      </c>
      <c r="K22" s="3">
        <v>5</v>
      </c>
      <c r="L22" s="3">
        <v>5</v>
      </c>
      <c r="M22" s="3"/>
      <c r="N22" s="3" t="s">
        <v>4455</v>
      </c>
      <c r="O22" s="3" t="s">
        <v>2426</v>
      </c>
      <c r="P22" s="3">
        <v>40561</v>
      </c>
      <c r="Q22" s="3" t="s">
        <v>2357</v>
      </c>
      <c r="R22" s="3" t="s">
        <v>2358</v>
      </c>
      <c r="S22" s="3"/>
      <c r="T22" s="3"/>
      <c r="U22" s="3"/>
      <c r="V22" s="3"/>
      <c r="W22" s="3" t="s">
        <v>2359</v>
      </c>
      <c r="X22" s="3"/>
      <c r="Y22" s="3" t="s">
        <v>4463</v>
      </c>
      <c r="Z22" s="3">
        <v>1976</v>
      </c>
      <c r="AA22" s="3" t="s">
        <v>2361</v>
      </c>
      <c r="AB22" s="3" t="s">
        <v>2362</v>
      </c>
      <c r="AC22" s="3" t="s">
        <v>2363</v>
      </c>
      <c r="AD22" s="3">
        <v>3217110302760010</v>
      </c>
      <c r="AE22" s="3" t="s">
        <v>4464</v>
      </c>
      <c r="AF22" s="3">
        <v>1983</v>
      </c>
      <c r="AG22" s="3" t="s">
        <v>2361</v>
      </c>
      <c r="AH22" s="3" t="s">
        <v>2365</v>
      </c>
      <c r="AI22" s="3" t="s">
        <v>2366</v>
      </c>
      <c r="AJ22" s="3">
        <v>3217115202830000</v>
      </c>
      <c r="AK22" s="3"/>
      <c r="AL22" s="3"/>
      <c r="AM22" s="3"/>
      <c r="AN22" s="3"/>
      <c r="AO22" s="3"/>
      <c r="AP22" s="3"/>
      <c r="AQ22" s="3" t="s">
        <v>5146</v>
      </c>
      <c r="AR22" s="3"/>
      <c r="AS22" s="3"/>
      <c r="AT22" s="3" t="s">
        <v>2359</v>
      </c>
      <c r="AU22" s="3"/>
      <c r="AV22" s="3">
        <v>1</v>
      </c>
      <c r="AW22" s="3"/>
      <c r="AX22" s="3" t="s">
        <v>4465</v>
      </c>
      <c r="AY22" s="3"/>
      <c r="AZ22" s="3"/>
      <c r="BA22" s="3"/>
      <c r="BB22" s="3" t="s">
        <v>2369</v>
      </c>
      <c r="BC22" s="3" t="s">
        <v>2370</v>
      </c>
      <c r="BD22" s="3" t="s">
        <v>2371</v>
      </c>
      <c r="BE22" s="3" t="s">
        <v>2669</v>
      </c>
      <c r="BF22" s="3">
        <v>1</v>
      </c>
      <c r="BG22" s="3">
        <v>-6.9625000000000004</v>
      </c>
      <c r="BH22" s="3">
        <v>107.4346</v>
      </c>
      <c r="BI22" s="3">
        <v>3217111911070020</v>
      </c>
      <c r="BJ22" s="3">
        <v>39</v>
      </c>
      <c r="BK22" s="3">
        <v>141</v>
      </c>
      <c r="BL22" s="3">
        <v>53</v>
      </c>
      <c r="BM22" s="3">
        <v>1</v>
      </c>
      <c r="BN22" s="3">
        <v>2</v>
      </c>
    </row>
    <row r="23" spans="1:66" s="219" customFormat="1" hidden="1" x14ac:dyDescent="0.3">
      <c r="A23" s="54">
        <v>17</v>
      </c>
      <c r="B23" s="54" t="s">
        <v>1749</v>
      </c>
      <c r="C23" s="54" t="s">
        <v>2254</v>
      </c>
      <c r="D23" s="54" t="s">
        <v>52</v>
      </c>
      <c r="E23" s="54">
        <v>97348348</v>
      </c>
      <c r="F23" s="54" t="s">
        <v>2373</v>
      </c>
      <c r="G23" s="108">
        <v>40145</v>
      </c>
      <c r="H23" s="54">
        <v>3217122811090000</v>
      </c>
      <c r="I23" s="54" t="s">
        <v>2353</v>
      </c>
      <c r="J23" s="54" t="s">
        <v>3011</v>
      </c>
      <c r="K23" s="54">
        <v>2</v>
      </c>
      <c r="L23" s="54">
        <v>6</v>
      </c>
      <c r="M23" s="54"/>
      <c r="N23" s="54" t="s">
        <v>2415</v>
      </c>
      <c r="O23" s="54" t="s">
        <v>2356</v>
      </c>
      <c r="P23" s="54"/>
      <c r="Q23" s="54" t="s">
        <v>2357</v>
      </c>
      <c r="R23" s="54" t="s">
        <v>2374</v>
      </c>
      <c r="S23" s="54"/>
      <c r="T23" s="54"/>
      <c r="U23" s="54"/>
      <c r="V23" s="54"/>
      <c r="W23" s="54" t="s">
        <v>2359</v>
      </c>
      <c r="X23" s="54"/>
      <c r="Y23" s="54"/>
      <c r="Z23" s="54">
        <v>0</v>
      </c>
      <c r="AA23" s="54"/>
      <c r="AB23" s="54" t="s">
        <v>2362</v>
      </c>
      <c r="AC23" s="54" t="s">
        <v>2375</v>
      </c>
      <c r="AD23" s="54"/>
      <c r="AE23" s="54" t="s">
        <v>3012</v>
      </c>
      <c r="AF23" s="54">
        <v>0</v>
      </c>
      <c r="AG23" s="54"/>
      <c r="AH23" s="54" t="s">
        <v>2365</v>
      </c>
      <c r="AI23" s="54" t="s">
        <v>2366</v>
      </c>
      <c r="AJ23" s="54"/>
      <c r="AK23" s="54"/>
      <c r="AL23" s="54"/>
      <c r="AM23" s="54"/>
      <c r="AN23" s="54"/>
      <c r="AO23" s="54"/>
      <c r="AP23" s="54"/>
      <c r="AQ23" s="54" t="s">
        <v>8178</v>
      </c>
      <c r="AR23" s="54"/>
      <c r="AS23" s="54"/>
      <c r="AT23" s="54" t="s">
        <v>2359</v>
      </c>
      <c r="AU23" s="54"/>
      <c r="AV23" s="54">
        <v>1</v>
      </c>
      <c r="AW23" s="54"/>
      <c r="AX23" s="54"/>
      <c r="AY23" s="54"/>
      <c r="AZ23" s="54"/>
      <c r="BA23" s="54"/>
      <c r="BB23" s="54" t="s">
        <v>2359</v>
      </c>
      <c r="BC23" s="54"/>
      <c r="BD23" s="54" t="s">
        <v>2371</v>
      </c>
      <c r="BE23" s="54" t="s">
        <v>2376</v>
      </c>
      <c r="BF23" s="54">
        <v>1</v>
      </c>
      <c r="BG23" s="54">
        <v>-6.9625000000000004</v>
      </c>
      <c r="BH23" s="54">
        <v>107.4346</v>
      </c>
      <c r="BI23" s="54"/>
      <c r="BJ23" s="54">
        <v>45</v>
      </c>
      <c r="BK23" s="54">
        <v>140</v>
      </c>
      <c r="BL23" s="54">
        <v>60</v>
      </c>
      <c r="BM23" s="54">
        <v>1</v>
      </c>
      <c r="BN23" s="54">
        <v>3</v>
      </c>
    </row>
    <row r="24" spans="1:66" hidden="1" x14ac:dyDescent="0.3">
      <c r="A24" s="3">
        <v>18</v>
      </c>
      <c r="B24" s="3" t="s">
        <v>3872</v>
      </c>
      <c r="C24" s="3" t="s">
        <v>4326</v>
      </c>
      <c r="D24" s="3" t="s">
        <v>52</v>
      </c>
      <c r="E24" s="3">
        <v>3109279488</v>
      </c>
      <c r="F24" s="3" t="s">
        <v>2446</v>
      </c>
      <c r="G24" s="157">
        <v>40330</v>
      </c>
      <c r="H24" s="3">
        <v>3217120106100000</v>
      </c>
      <c r="I24" s="3" t="s">
        <v>2353</v>
      </c>
      <c r="J24" s="3" t="s">
        <v>3585</v>
      </c>
      <c r="K24" s="3">
        <v>2</v>
      </c>
      <c r="L24" s="3">
        <v>6</v>
      </c>
      <c r="M24" s="3"/>
      <c r="N24" s="3" t="s">
        <v>4466</v>
      </c>
      <c r="O24" s="3" t="s">
        <v>2356</v>
      </c>
      <c r="P24" s="3">
        <v>40762</v>
      </c>
      <c r="Q24" s="3" t="s">
        <v>2357</v>
      </c>
      <c r="R24" s="3" t="s">
        <v>2374</v>
      </c>
      <c r="S24" s="3"/>
      <c r="T24" s="3"/>
      <c r="U24" s="3"/>
      <c r="V24" s="3"/>
      <c r="W24" s="3" t="s">
        <v>2359</v>
      </c>
      <c r="X24" s="3"/>
      <c r="Y24" s="3" t="s">
        <v>4033</v>
      </c>
      <c r="Z24" s="3">
        <v>1959</v>
      </c>
      <c r="AA24" s="3" t="s">
        <v>2361</v>
      </c>
      <c r="AB24" s="3" t="s">
        <v>2362</v>
      </c>
      <c r="AC24" s="3" t="s">
        <v>2363</v>
      </c>
      <c r="AD24" s="3">
        <v>3217121306590000</v>
      </c>
      <c r="AE24" s="3" t="s">
        <v>4034</v>
      </c>
      <c r="AF24" s="3">
        <v>1978</v>
      </c>
      <c r="AG24" s="3" t="s">
        <v>2361</v>
      </c>
      <c r="AH24" s="3" t="s">
        <v>2365</v>
      </c>
      <c r="AI24" s="3" t="s">
        <v>2366</v>
      </c>
      <c r="AJ24" s="3">
        <v>3217125207780000</v>
      </c>
      <c r="AK24" s="3"/>
      <c r="AL24" s="3"/>
      <c r="AM24" s="3"/>
      <c r="AN24" s="3"/>
      <c r="AO24" s="3"/>
      <c r="AP24" s="3"/>
      <c r="AQ24" s="3" t="s">
        <v>5152</v>
      </c>
      <c r="AR24" s="3"/>
      <c r="AS24" s="3"/>
      <c r="AT24" s="3" t="s">
        <v>2359</v>
      </c>
      <c r="AU24" s="3"/>
      <c r="AV24" s="3">
        <v>1</v>
      </c>
      <c r="AW24" s="3"/>
      <c r="AX24" s="3" t="s">
        <v>4032</v>
      </c>
      <c r="AY24" s="3"/>
      <c r="AZ24" s="3"/>
      <c r="BA24" s="3"/>
      <c r="BB24" s="3" t="s">
        <v>2369</v>
      </c>
      <c r="BC24" s="3" t="s">
        <v>2370</v>
      </c>
      <c r="BD24" s="3" t="s">
        <v>2371</v>
      </c>
      <c r="BE24" s="3" t="s">
        <v>4459</v>
      </c>
      <c r="BF24" s="3">
        <v>2</v>
      </c>
      <c r="BG24" s="3">
        <v>-6.9625000000000004</v>
      </c>
      <c r="BH24" s="3">
        <v>107.4346</v>
      </c>
      <c r="BI24" s="3">
        <v>3217122403080000</v>
      </c>
      <c r="BJ24" s="3">
        <v>48</v>
      </c>
      <c r="BK24" s="3">
        <v>144</v>
      </c>
      <c r="BL24" s="3">
        <v>49</v>
      </c>
      <c r="BM24" s="3">
        <v>1</v>
      </c>
      <c r="BN24" s="3">
        <v>3</v>
      </c>
    </row>
    <row r="25" spans="1:66" s="219" customFormat="1" hidden="1" x14ac:dyDescent="0.3">
      <c r="A25" s="54">
        <v>19</v>
      </c>
      <c r="B25" s="54" t="s">
        <v>3781</v>
      </c>
      <c r="C25" s="54" t="s">
        <v>4216</v>
      </c>
      <c r="D25" s="54" t="s">
        <v>52</v>
      </c>
      <c r="E25" s="54">
        <v>82260011</v>
      </c>
      <c r="F25" s="54" t="s">
        <v>4467</v>
      </c>
      <c r="G25" s="108">
        <v>39674</v>
      </c>
      <c r="H25" s="54">
        <v>3172011408081000</v>
      </c>
      <c r="I25" s="54" t="s">
        <v>2353</v>
      </c>
      <c r="J25" s="54" t="s">
        <v>4468</v>
      </c>
      <c r="K25" s="54">
        <v>1</v>
      </c>
      <c r="L25" s="54">
        <v>17</v>
      </c>
      <c r="M25" s="54"/>
      <c r="N25" s="54" t="s">
        <v>4469</v>
      </c>
      <c r="O25" s="54" t="s">
        <v>4470</v>
      </c>
      <c r="P25" s="54">
        <v>14440</v>
      </c>
      <c r="Q25" s="54" t="s">
        <v>2357</v>
      </c>
      <c r="R25" s="54" t="s">
        <v>2374</v>
      </c>
      <c r="S25" s="54"/>
      <c r="T25" s="54">
        <v>83896712588</v>
      </c>
      <c r="U25" s="54"/>
      <c r="V25" s="54"/>
      <c r="W25" s="54" t="s">
        <v>2359</v>
      </c>
      <c r="X25" s="54"/>
      <c r="Y25" s="54" t="s">
        <v>4471</v>
      </c>
      <c r="Z25" s="54">
        <v>1976</v>
      </c>
      <c r="AA25" s="54" t="s">
        <v>2390</v>
      </c>
      <c r="AB25" s="54" t="s">
        <v>2388</v>
      </c>
      <c r="AC25" s="54" t="s">
        <v>2375</v>
      </c>
      <c r="AD25" s="54">
        <v>3172011303760010</v>
      </c>
      <c r="AE25" s="54" t="s">
        <v>4472</v>
      </c>
      <c r="AF25" s="54">
        <v>1985</v>
      </c>
      <c r="AG25" s="54" t="s">
        <v>2390</v>
      </c>
      <c r="AH25" s="54" t="s">
        <v>2365</v>
      </c>
      <c r="AI25" s="54" t="s">
        <v>2366</v>
      </c>
      <c r="AJ25" s="54">
        <v>3172015210851000</v>
      </c>
      <c r="AK25" s="54"/>
      <c r="AL25" s="54"/>
      <c r="AM25" s="54"/>
      <c r="AN25" s="54"/>
      <c r="AO25" s="54"/>
      <c r="AP25" s="54"/>
      <c r="AQ25" s="54" t="s">
        <v>8181</v>
      </c>
      <c r="AR25" s="54"/>
      <c r="AS25" s="54"/>
      <c r="AT25" s="54" t="s">
        <v>2359</v>
      </c>
      <c r="AU25" s="54"/>
      <c r="AV25" s="54">
        <v>0</v>
      </c>
      <c r="AW25" s="54"/>
      <c r="AX25" s="54" t="s">
        <v>4473</v>
      </c>
      <c r="AY25" s="54"/>
      <c r="AZ25" s="54"/>
      <c r="BA25" s="54"/>
      <c r="BB25" s="54" t="s">
        <v>2359</v>
      </c>
      <c r="BC25" s="54"/>
      <c r="BD25" s="54" t="s">
        <v>2371</v>
      </c>
      <c r="BE25" s="54" t="s">
        <v>4474</v>
      </c>
      <c r="BF25" s="54">
        <v>1</v>
      </c>
      <c r="BG25" s="54">
        <v>-6.1205562999999996</v>
      </c>
      <c r="BH25" s="54">
        <v>106.8037736</v>
      </c>
      <c r="BI25" s="54">
        <v>3172010511100060</v>
      </c>
      <c r="BJ25" s="54">
        <v>55</v>
      </c>
      <c r="BK25" s="54">
        <v>149</v>
      </c>
      <c r="BL25" s="54">
        <v>52</v>
      </c>
      <c r="BM25" s="54">
        <v>1</v>
      </c>
      <c r="BN25" s="54">
        <v>3</v>
      </c>
    </row>
    <row r="26" spans="1:66" s="219" customFormat="1" hidden="1" x14ac:dyDescent="0.3">
      <c r="A26" s="54">
        <v>20</v>
      </c>
      <c r="B26" s="54" t="s">
        <v>1840</v>
      </c>
      <c r="C26" s="54" t="s">
        <v>1488</v>
      </c>
      <c r="D26" s="54" t="s">
        <v>52</v>
      </c>
      <c r="E26" s="54">
        <v>94027829</v>
      </c>
      <c r="F26" s="54" t="s">
        <v>2382</v>
      </c>
      <c r="G26" s="108">
        <v>40121</v>
      </c>
      <c r="H26" s="54">
        <v>3275060411090000</v>
      </c>
      <c r="I26" s="54" t="s">
        <v>2353</v>
      </c>
      <c r="J26" s="54" t="s">
        <v>3442</v>
      </c>
      <c r="K26" s="54">
        <v>6</v>
      </c>
      <c r="L26" s="54">
        <v>2</v>
      </c>
      <c r="M26" s="54"/>
      <c r="N26" s="54" t="s">
        <v>3443</v>
      </c>
      <c r="O26" s="54" t="s">
        <v>3444</v>
      </c>
      <c r="P26" s="54">
        <v>17183</v>
      </c>
      <c r="Q26" s="54" t="s">
        <v>2357</v>
      </c>
      <c r="R26" s="54" t="s">
        <v>2358</v>
      </c>
      <c r="S26" s="54"/>
      <c r="T26" s="54">
        <v>82116393814</v>
      </c>
      <c r="U26" s="54"/>
      <c r="V26" s="54"/>
      <c r="W26" s="54" t="s">
        <v>2359</v>
      </c>
      <c r="X26" s="54"/>
      <c r="Y26" s="54" t="s">
        <v>3435</v>
      </c>
      <c r="Z26" s="54">
        <v>1985</v>
      </c>
      <c r="AA26" s="54" t="s">
        <v>2390</v>
      </c>
      <c r="AB26" s="54" t="s">
        <v>2362</v>
      </c>
      <c r="AC26" s="54" t="s">
        <v>2403</v>
      </c>
      <c r="AD26" s="54">
        <v>3275062707850010</v>
      </c>
      <c r="AE26" s="54" t="s">
        <v>3445</v>
      </c>
      <c r="AF26" s="54">
        <v>1988</v>
      </c>
      <c r="AG26" s="54" t="s">
        <v>2390</v>
      </c>
      <c r="AH26" s="54" t="s">
        <v>2365</v>
      </c>
      <c r="AI26" s="54" t="s">
        <v>2366</v>
      </c>
      <c r="AJ26" s="54">
        <v>3275066503880010</v>
      </c>
      <c r="AK26" s="54"/>
      <c r="AL26" s="54"/>
      <c r="AM26" s="54"/>
      <c r="AN26" s="54"/>
      <c r="AO26" s="54"/>
      <c r="AP26" s="54"/>
      <c r="AQ26" s="54" t="s">
        <v>5147</v>
      </c>
      <c r="AR26" s="54"/>
      <c r="AS26" s="54"/>
      <c r="AT26" s="54" t="s">
        <v>2359</v>
      </c>
      <c r="AU26" s="54"/>
      <c r="AV26" s="54">
        <v>0</v>
      </c>
      <c r="AW26" s="54"/>
      <c r="AX26" s="54" t="s">
        <v>3446</v>
      </c>
      <c r="AY26" s="54"/>
      <c r="AZ26" s="54"/>
      <c r="BA26" s="54"/>
      <c r="BB26" s="54" t="s">
        <v>2369</v>
      </c>
      <c r="BC26" s="54" t="s">
        <v>2370</v>
      </c>
      <c r="BD26" s="54" t="s">
        <v>2371</v>
      </c>
      <c r="BE26" s="54"/>
      <c r="BF26" s="54">
        <v>1</v>
      </c>
      <c r="BG26" s="54">
        <v>-6.2248999999999999</v>
      </c>
      <c r="BH26" s="54">
        <v>107.0222</v>
      </c>
      <c r="BI26" s="54">
        <v>3275060103110010</v>
      </c>
      <c r="BJ26" s="54">
        <v>14</v>
      </c>
      <c r="BK26" s="54">
        <v>115</v>
      </c>
      <c r="BL26" s="54">
        <v>52</v>
      </c>
      <c r="BM26" s="54">
        <v>1</v>
      </c>
      <c r="BN26" s="54">
        <v>1</v>
      </c>
    </row>
    <row r="27" spans="1:66" x14ac:dyDescent="0.3">
      <c r="A27" s="3">
        <v>21</v>
      </c>
      <c r="B27" s="3" t="s">
        <v>3933</v>
      </c>
      <c r="C27" s="3" t="s">
        <v>4391</v>
      </c>
      <c r="D27" s="3" t="s">
        <v>52</v>
      </c>
      <c r="E27" s="3">
        <v>108332234</v>
      </c>
      <c r="F27" s="3" t="s">
        <v>2377</v>
      </c>
      <c r="G27" s="157">
        <v>40486</v>
      </c>
      <c r="H27" s="3">
        <v>3217120411100000</v>
      </c>
      <c r="I27" s="3" t="s">
        <v>2353</v>
      </c>
      <c r="J27" s="3" t="s">
        <v>3050</v>
      </c>
      <c r="K27" s="3">
        <v>1</v>
      </c>
      <c r="L27" s="3">
        <v>4</v>
      </c>
      <c r="M27" s="3"/>
      <c r="N27" s="3" t="s">
        <v>4475</v>
      </c>
      <c r="O27" s="3" t="s">
        <v>2356</v>
      </c>
      <c r="P27" s="3">
        <v>40564</v>
      </c>
      <c r="Q27" s="3" t="s">
        <v>2357</v>
      </c>
      <c r="R27" s="3" t="s">
        <v>2358</v>
      </c>
      <c r="S27" s="3"/>
      <c r="T27" s="3">
        <v>87825836624</v>
      </c>
      <c r="U27" s="3"/>
      <c r="V27" s="3"/>
      <c r="W27" s="3" t="s">
        <v>2359</v>
      </c>
      <c r="X27" s="3"/>
      <c r="Y27" s="3" t="s">
        <v>3504</v>
      </c>
      <c r="Z27" s="3">
        <v>1982</v>
      </c>
      <c r="AA27" s="3" t="s">
        <v>2361</v>
      </c>
      <c r="AB27" s="3" t="s">
        <v>2362</v>
      </c>
      <c r="AC27" s="3" t="s">
        <v>2363</v>
      </c>
      <c r="AD27" s="3">
        <v>3217120111820020</v>
      </c>
      <c r="AE27" s="3" t="s">
        <v>4172</v>
      </c>
      <c r="AF27" s="3">
        <v>1988</v>
      </c>
      <c r="AG27" s="3" t="s">
        <v>2361</v>
      </c>
      <c r="AH27" s="3" t="s">
        <v>2365</v>
      </c>
      <c r="AI27" s="3" t="s">
        <v>2366</v>
      </c>
      <c r="AJ27" s="3">
        <v>3217124712880000</v>
      </c>
      <c r="AK27" s="3"/>
      <c r="AL27" s="3"/>
      <c r="AM27" s="3" t="s">
        <v>2367</v>
      </c>
      <c r="AN27" s="3"/>
      <c r="AO27" s="3"/>
      <c r="AP27" s="3"/>
      <c r="AQ27" s="3" t="s">
        <v>5148</v>
      </c>
      <c r="AR27" s="3"/>
      <c r="AS27" s="3"/>
      <c r="AT27" s="3" t="s">
        <v>2369</v>
      </c>
      <c r="AU27" s="3"/>
      <c r="AV27" s="3">
        <v>0</v>
      </c>
      <c r="AW27" s="3"/>
      <c r="AX27" s="3" t="s">
        <v>4476</v>
      </c>
      <c r="AY27" s="3"/>
      <c r="AZ27" s="3"/>
      <c r="BA27" s="3"/>
      <c r="BB27" s="3" t="s">
        <v>2369</v>
      </c>
      <c r="BC27" s="3"/>
      <c r="BD27" s="3" t="s">
        <v>2371</v>
      </c>
      <c r="BE27" s="3" t="s">
        <v>2372</v>
      </c>
      <c r="BF27" s="3">
        <v>3</v>
      </c>
      <c r="BG27" s="3">
        <v>-6.9676999999999998</v>
      </c>
      <c r="BH27" s="3">
        <v>107.4117</v>
      </c>
      <c r="BI27" s="3">
        <v>3217122802230010</v>
      </c>
      <c r="BJ27" s="3">
        <v>47</v>
      </c>
      <c r="BK27" s="3">
        <v>143</v>
      </c>
      <c r="BL27" s="3">
        <v>56</v>
      </c>
      <c r="BM27" s="3">
        <v>1</v>
      </c>
      <c r="BN27" s="3">
        <v>2</v>
      </c>
    </row>
    <row r="28" spans="1:66" s="219" customFormat="1" hidden="1" x14ac:dyDescent="0.3">
      <c r="A28" s="54">
        <v>22</v>
      </c>
      <c r="B28" s="54" t="s">
        <v>1787</v>
      </c>
      <c r="C28" s="54" t="s">
        <v>1574</v>
      </c>
      <c r="D28" s="54" t="s">
        <v>52</v>
      </c>
      <c r="E28" s="54">
        <v>94923785</v>
      </c>
      <c r="F28" s="54" t="s">
        <v>2352</v>
      </c>
      <c r="G28" s="108">
        <v>39977</v>
      </c>
      <c r="H28" s="54">
        <v>3217121306090000</v>
      </c>
      <c r="I28" s="54" t="s">
        <v>2353</v>
      </c>
      <c r="J28" s="54" t="s">
        <v>3200</v>
      </c>
      <c r="K28" s="54">
        <v>1</v>
      </c>
      <c r="L28" s="54">
        <v>8</v>
      </c>
      <c r="M28" s="54" t="s">
        <v>2398</v>
      </c>
      <c r="N28" s="54" t="s">
        <v>2399</v>
      </c>
      <c r="O28" s="54" t="s">
        <v>2356</v>
      </c>
      <c r="P28" s="54">
        <v>40564</v>
      </c>
      <c r="Q28" s="54" t="s">
        <v>2357</v>
      </c>
      <c r="R28" s="54" t="s">
        <v>2358</v>
      </c>
      <c r="S28" s="54"/>
      <c r="T28" s="54">
        <v>83843124253</v>
      </c>
      <c r="U28" s="54"/>
      <c r="V28" s="54"/>
      <c r="W28" s="54" t="s">
        <v>2369</v>
      </c>
      <c r="X28" s="54" t="s">
        <v>3216</v>
      </c>
      <c r="Y28" s="54" t="s">
        <v>3217</v>
      </c>
      <c r="Z28" s="54">
        <v>1966</v>
      </c>
      <c r="AA28" s="54" t="s">
        <v>2361</v>
      </c>
      <c r="AB28" s="54" t="s">
        <v>2362</v>
      </c>
      <c r="AC28" s="54" t="s">
        <v>2363</v>
      </c>
      <c r="AD28" s="54"/>
      <c r="AE28" s="54" t="s">
        <v>3288</v>
      </c>
      <c r="AF28" s="54">
        <v>1974</v>
      </c>
      <c r="AG28" s="54" t="s">
        <v>2361</v>
      </c>
      <c r="AH28" s="54" t="s">
        <v>2365</v>
      </c>
      <c r="AI28" s="54" t="s">
        <v>2366</v>
      </c>
      <c r="AJ28" s="54"/>
      <c r="AK28" s="54"/>
      <c r="AL28" s="54"/>
      <c r="AM28" s="54"/>
      <c r="AN28" s="54"/>
      <c r="AO28" s="54"/>
      <c r="AP28" s="54"/>
      <c r="AQ28" s="54" t="s">
        <v>5147</v>
      </c>
      <c r="AR28" s="54"/>
      <c r="AS28" s="54"/>
      <c r="AT28" s="54" t="s">
        <v>2359</v>
      </c>
      <c r="AU28" s="54"/>
      <c r="AV28" s="54">
        <v>0</v>
      </c>
      <c r="AW28" s="54" t="s">
        <v>3218</v>
      </c>
      <c r="AX28" s="54"/>
      <c r="AY28" s="54"/>
      <c r="AZ28" s="54"/>
      <c r="BA28" s="54"/>
      <c r="BB28" s="54" t="s">
        <v>2369</v>
      </c>
      <c r="BC28" s="54" t="s">
        <v>2443</v>
      </c>
      <c r="BD28" s="54" t="s">
        <v>2371</v>
      </c>
      <c r="BE28" s="54"/>
      <c r="BF28" s="54">
        <v>3</v>
      </c>
      <c r="BG28" s="54">
        <v>-6.9486999999999997</v>
      </c>
      <c r="BH28" s="54">
        <v>107.3831</v>
      </c>
      <c r="BI28" s="54">
        <v>3217120906120000</v>
      </c>
      <c r="BJ28" s="54">
        <v>51</v>
      </c>
      <c r="BK28" s="54">
        <v>147</v>
      </c>
      <c r="BL28" s="54">
        <v>58</v>
      </c>
      <c r="BM28" s="54">
        <v>2</v>
      </c>
      <c r="BN28" s="54">
        <v>2</v>
      </c>
    </row>
    <row r="29" spans="1:66" hidden="1" x14ac:dyDescent="0.3">
      <c r="A29" s="3">
        <v>23</v>
      </c>
      <c r="B29" s="3" t="s">
        <v>3873</v>
      </c>
      <c r="C29" s="3" t="s">
        <v>4327</v>
      </c>
      <c r="D29" s="3" t="s">
        <v>52</v>
      </c>
      <c r="E29" s="3">
        <v>3108442065</v>
      </c>
      <c r="F29" s="3" t="s">
        <v>2352</v>
      </c>
      <c r="G29" s="157">
        <v>40571</v>
      </c>
      <c r="H29" s="3">
        <v>3217122801110000</v>
      </c>
      <c r="I29" s="3" t="s">
        <v>2353</v>
      </c>
      <c r="J29" s="3" t="s">
        <v>4477</v>
      </c>
      <c r="K29" s="3">
        <v>2</v>
      </c>
      <c r="L29" s="3">
        <v>9</v>
      </c>
      <c r="M29" s="3"/>
      <c r="N29" s="3" t="s">
        <v>4475</v>
      </c>
      <c r="O29" s="3" t="s">
        <v>2356</v>
      </c>
      <c r="P29" s="3">
        <v>40564</v>
      </c>
      <c r="Q29" s="3" t="s">
        <v>2357</v>
      </c>
      <c r="R29" s="3" t="s">
        <v>2358</v>
      </c>
      <c r="S29" s="3"/>
      <c r="T29" s="3"/>
      <c r="U29" s="3"/>
      <c r="V29" s="3"/>
      <c r="W29" s="3" t="s">
        <v>2359</v>
      </c>
      <c r="X29" s="3"/>
      <c r="Y29" s="3" t="s">
        <v>4478</v>
      </c>
      <c r="Z29" s="3">
        <v>1981</v>
      </c>
      <c r="AA29" s="3" t="s">
        <v>2361</v>
      </c>
      <c r="AB29" s="3" t="s">
        <v>2362</v>
      </c>
      <c r="AC29" s="3" t="s">
        <v>2363</v>
      </c>
      <c r="AD29" s="3">
        <v>3217120210810000</v>
      </c>
      <c r="AE29" s="3" t="s">
        <v>4023</v>
      </c>
      <c r="AF29" s="3">
        <v>1985</v>
      </c>
      <c r="AG29" s="3" t="s">
        <v>2402</v>
      </c>
      <c r="AH29" s="3" t="s">
        <v>2365</v>
      </c>
      <c r="AI29" s="3" t="s">
        <v>2366</v>
      </c>
      <c r="AJ29" s="3">
        <v>3217124304850040</v>
      </c>
      <c r="AK29" s="3"/>
      <c r="AL29" s="3"/>
      <c r="AM29" s="3"/>
      <c r="AN29" s="3"/>
      <c r="AO29" s="3"/>
      <c r="AP29" s="3"/>
      <c r="AQ29" s="3" t="s">
        <v>5152</v>
      </c>
      <c r="AR29" s="3" t="s">
        <v>4479</v>
      </c>
      <c r="AS29" s="3" t="s">
        <v>4480</v>
      </c>
      <c r="AT29" s="3" t="s">
        <v>2359</v>
      </c>
      <c r="AU29" s="3"/>
      <c r="AV29" s="3">
        <v>1</v>
      </c>
      <c r="AW29" s="3"/>
      <c r="AX29" s="3" t="s">
        <v>4481</v>
      </c>
      <c r="AY29" s="3"/>
      <c r="AZ29" s="3"/>
      <c r="BA29" s="3"/>
      <c r="BB29" s="3" t="s">
        <v>2369</v>
      </c>
      <c r="BC29" s="3" t="s">
        <v>2370</v>
      </c>
      <c r="BD29" s="3" t="s">
        <v>2371</v>
      </c>
      <c r="BE29" s="3" t="s">
        <v>4482</v>
      </c>
      <c r="BF29" s="3">
        <v>1</v>
      </c>
      <c r="BG29" s="3">
        <v>-6.9625000000000004</v>
      </c>
      <c r="BH29" s="3">
        <v>107.4346</v>
      </c>
      <c r="BI29" s="3">
        <v>3217122606120110</v>
      </c>
      <c r="BJ29" s="3">
        <v>41</v>
      </c>
      <c r="BK29" s="3">
        <v>139</v>
      </c>
      <c r="BL29" s="3">
        <v>57</v>
      </c>
      <c r="BM29" s="3">
        <v>1</v>
      </c>
      <c r="BN29" s="3">
        <v>2</v>
      </c>
    </row>
    <row r="30" spans="1:66" s="219" customFormat="1" hidden="1" x14ac:dyDescent="0.3">
      <c r="A30" s="54">
        <v>24</v>
      </c>
      <c r="B30" s="54" t="s">
        <v>1385</v>
      </c>
      <c r="C30" s="54" t="s">
        <v>1575</v>
      </c>
      <c r="D30" s="54" t="s">
        <v>53</v>
      </c>
      <c r="E30" s="54">
        <v>93377043</v>
      </c>
      <c r="F30" s="54" t="s">
        <v>2373</v>
      </c>
      <c r="G30" s="108">
        <v>39844</v>
      </c>
      <c r="H30" s="54">
        <v>3217117101090000</v>
      </c>
      <c r="I30" s="54" t="s">
        <v>2353</v>
      </c>
      <c r="J30" s="54" t="s">
        <v>2582</v>
      </c>
      <c r="K30" s="54">
        <v>1</v>
      </c>
      <c r="L30" s="54">
        <v>14</v>
      </c>
      <c r="M30" s="54"/>
      <c r="N30" s="54" t="s">
        <v>2425</v>
      </c>
      <c r="O30" s="54" t="s">
        <v>2426</v>
      </c>
      <c r="P30" s="54">
        <v>40562</v>
      </c>
      <c r="Q30" s="54" t="s">
        <v>2357</v>
      </c>
      <c r="R30" s="54" t="s">
        <v>2358</v>
      </c>
      <c r="S30" s="54"/>
      <c r="T30" s="54">
        <v>83174788176</v>
      </c>
      <c r="U30" s="54"/>
      <c r="V30" s="54"/>
      <c r="W30" s="54" t="s">
        <v>2359</v>
      </c>
      <c r="X30" s="54" t="s">
        <v>3219</v>
      </c>
      <c r="Y30" s="54" t="s">
        <v>3220</v>
      </c>
      <c r="Z30" s="54">
        <v>1969</v>
      </c>
      <c r="AA30" s="54" t="s">
        <v>2361</v>
      </c>
      <c r="AB30" s="54" t="s">
        <v>2362</v>
      </c>
      <c r="AC30" s="54" t="s">
        <v>2403</v>
      </c>
      <c r="AD30" s="54"/>
      <c r="AE30" s="54" t="s">
        <v>3221</v>
      </c>
      <c r="AF30" s="54">
        <v>1973</v>
      </c>
      <c r="AG30" s="54" t="s">
        <v>2361</v>
      </c>
      <c r="AH30" s="54" t="s">
        <v>2365</v>
      </c>
      <c r="AI30" s="54" t="s">
        <v>2366</v>
      </c>
      <c r="AJ30" s="54"/>
      <c r="AK30" s="54"/>
      <c r="AL30" s="54"/>
      <c r="AM30" s="54"/>
      <c r="AN30" s="54"/>
      <c r="AO30" s="54"/>
      <c r="AP30" s="54"/>
      <c r="AQ30" s="54" t="s">
        <v>5147</v>
      </c>
      <c r="AR30" s="54"/>
      <c r="AS30" s="54"/>
      <c r="AT30" s="54" t="s">
        <v>2369</v>
      </c>
      <c r="AU30" s="54" t="s">
        <v>3222</v>
      </c>
      <c r="AV30" s="54">
        <v>0</v>
      </c>
      <c r="AW30" s="54" t="s">
        <v>3223</v>
      </c>
      <c r="AX30" s="54" t="s">
        <v>3224</v>
      </c>
      <c r="AY30" s="54" t="s">
        <v>2460</v>
      </c>
      <c r="AZ30" s="54">
        <v>367101002787501</v>
      </c>
      <c r="BA30" s="54" t="s">
        <v>3225</v>
      </c>
      <c r="BB30" s="54" t="s">
        <v>2369</v>
      </c>
      <c r="BC30" s="54"/>
      <c r="BD30" s="54" t="s">
        <v>2371</v>
      </c>
      <c r="BE30" s="54"/>
      <c r="BF30" s="54">
        <v>3</v>
      </c>
      <c r="BG30" s="54">
        <v>-6.9514541999999997</v>
      </c>
      <c r="BH30" s="54">
        <v>107.4179645</v>
      </c>
      <c r="BI30" s="54"/>
      <c r="BJ30" s="54">
        <v>39</v>
      </c>
      <c r="BK30" s="54">
        <v>132</v>
      </c>
      <c r="BL30" s="54">
        <v>55</v>
      </c>
      <c r="BM30" s="54">
        <v>2</v>
      </c>
      <c r="BN30" s="54">
        <v>1</v>
      </c>
    </row>
    <row r="31" spans="1:66" s="219" customFormat="1" hidden="1" x14ac:dyDescent="0.3">
      <c r="A31" s="54">
        <v>25</v>
      </c>
      <c r="B31" s="54" t="s">
        <v>4483</v>
      </c>
      <c r="C31" s="54" t="s">
        <v>2289</v>
      </c>
      <c r="D31" s="54" t="s">
        <v>53</v>
      </c>
      <c r="E31" s="54">
        <v>94741938</v>
      </c>
      <c r="F31" s="54" t="s">
        <v>2377</v>
      </c>
      <c r="G31" s="108">
        <v>39892</v>
      </c>
      <c r="H31" s="54">
        <v>3217126003090000</v>
      </c>
      <c r="I31" s="54" t="s">
        <v>2353</v>
      </c>
      <c r="J31" s="54" t="s">
        <v>4484</v>
      </c>
      <c r="K31" s="54">
        <v>2</v>
      </c>
      <c r="L31" s="54">
        <v>12</v>
      </c>
      <c r="M31" s="54"/>
      <c r="N31" s="54" t="s">
        <v>2399</v>
      </c>
      <c r="O31" s="54" t="s">
        <v>2356</v>
      </c>
      <c r="P31" s="54">
        <v>40764</v>
      </c>
      <c r="Q31" s="54" t="s">
        <v>2357</v>
      </c>
      <c r="R31" s="54" t="s">
        <v>2358</v>
      </c>
      <c r="S31" s="54"/>
      <c r="T31" s="54">
        <v>83821653147</v>
      </c>
      <c r="U31" s="54"/>
      <c r="V31" s="54"/>
      <c r="W31" s="54" t="s">
        <v>2359</v>
      </c>
      <c r="X31" s="54"/>
      <c r="Y31" s="54" t="s">
        <v>4184</v>
      </c>
      <c r="Z31" s="54">
        <v>1975</v>
      </c>
      <c r="AA31" s="54" t="s">
        <v>2361</v>
      </c>
      <c r="AB31" s="54" t="s">
        <v>2362</v>
      </c>
      <c r="AC31" s="54" t="s">
        <v>2403</v>
      </c>
      <c r="AD31" s="54">
        <v>3217120303750020</v>
      </c>
      <c r="AE31" s="54" t="s">
        <v>4485</v>
      </c>
      <c r="AF31" s="54">
        <v>1979</v>
      </c>
      <c r="AG31" s="54" t="s">
        <v>2361</v>
      </c>
      <c r="AH31" s="54" t="s">
        <v>2365</v>
      </c>
      <c r="AI31" s="54" t="s">
        <v>2366</v>
      </c>
      <c r="AJ31" s="54">
        <v>3217126512790000</v>
      </c>
      <c r="AK31" s="54"/>
      <c r="AL31" s="54"/>
      <c r="AM31" s="54"/>
      <c r="AN31" s="54"/>
      <c r="AO31" s="54"/>
      <c r="AP31" s="54"/>
      <c r="AQ31" s="54" t="s">
        <v>5147</v>
      </c>
      <c r="AR31" s="54"/>
      <c r="AS31" s="54"/>
      <c r="AT31" s="54" t="s">
        <v>2359</v>
      </c>
      <c r="AU31" s="54"/>
      <c r="AV31" s="54">
        <v>0</v>
      </c>
      <c r="AW31" s="54"/>
      <c r="AX31" s="54" t="s">
        <v>4486</v>
      </c>
      <c r="AY31" s="54"/>
      <c r="AZ31" s="54"/>
      <c r="BA31" s="54"/>
      <c r="BB31" s="54" t="s">
        <v>2369</v>
      </c>
      <c r="BC31" s="54" t="s">
        <v>2370</v>
      </c>
      <c r="BD31" s="54" t="s">
        <v>2371</v>
      </c>
      <c r="BE31" s="54"/>
      <c r="BF31" s="54">
        <v>2</v>
      </c>
      <c r="BG31" s="54">
        <v>-6.9450000000000003</v>
      </c>
      <c r="BH31" s="54">
        <v>107.39919999999999</v>
      </c>
      <c r="BI31" s="54">
        <v>3217121604055810</v>
      </c>
      <c r="BJ31" s="54">
        <v>50</v>
      </c>
      <c r="BK31" s="54">
        <v>155</v>
      </c>
      <c r="BL31" s="54">
        <v>0</v>
      </c>
      <c r="BM31" s="54">
        <v>0</v>
      </c>
      <c r="BN31" s="54">
        <v>1</v>
      </c>
    </row>
    <row r="32" spans="1:66" s="219" customFormat="1" hidden="1" x14ac:dyDescent="0.3">
      <c r="A32" s="54">
        <v>26</v>
      </c>
      <c r="B32" s="54" t="s">
        <v>1788</v>
      </c>
      <c r="C32" s="54" t="s">
        <v>1424</v>
      </c>
      <c r="D32" s="54" t="s">
        <v>53</v>
      </c>
      <c r="E32" s="54">
        <v>3092707194</v>
      </c>
      <c r="F32" s="54" t="s">
        <v>2373</v>
      </c>
      <c r="G32" s="108">
        <v>40006</v>
      </c>
      <c r="H32" s="54">
        <v>3217125207090000</v>
      </c>
      <c r="I32" s="54" t="s">
        <v>2353</v>
      </c>
      <c r="J32" s="54" t="s">
        <v>2507</v>
      </c>
      <c r="K32" s="54">
        <v>1</v>
      </c>
      <c r="L32" s="54">
        <v>3</v>
      </c>
      <c r="M32" s="54"/>
      <c r="N32" s="54" t="s">
        <v>2438</v>
      </c>
      <c r="O32" s="54" t="s">
        <v>2356</v>
      </c>
      <c r="P32" s="54"/>
      <c r="Q32" s="54" t="s">
        <v>2357</v>
      </c>
      <c r="R32" s="54" t="s">
        <v>2374</v>
      </c>
      <c r="S32" s="54"/>
      <c r="T32" s="54">
        <v>83824058317</v>
      </c>
      <c r="U32" s="54"/>
      <c r="V32" s="54"/>
      <c r="W32" s="54" t="s">
        <v>2359</v>
      </c>
      <c r="X32" s="54"/>
      <c r="Y32" s="54" t="s">
        <v>3226</v>
      </c>
      <c r="Z32" s="54">
        <v>1959</v>
      </c>
      <c r="AA32" s="54" t="s">
        <v>2361</v>
      </c>
      <c r="AB32" s="54" t="s">
        <v>2362</v>
      </c>
      <c r="AC32" s="54" t="s">
        <v>2363</v>
      </c>
      <c r="AD32" s="54">
        <v>3217121312590000</v>
      </c>
      <c r="AE32" s="54" t="s">
        <v>3227</v>
      </c>
      <c r="AF32" s="54">
        <v>1973</v>
      </c>
      <c r="AG32" s="54" t="s">
        <v>2361</v>
      </c>
      <c r="AH32" s="54" t="s">
        <v>2365</v>
      </c>
      <c r="AI32" s="54" t="s">
        <v>2366</v>
      </c>
      <c r="AJ32" s="54">
        <v>3217124204730030</v>
      </c>
      <c r="AK32" s="54"/>
      <c r="AL32" s="54"/>
      <c r="AM32" s="54"/>
      <c r="AN32" s="54"/>
      <c r="AO32" s="54"/>
      <c r="AP32" s="54"/>
      <c r="AQ32" s="54" t="s">
        <v>5147</v>
      </c>
      <c r="AR32" s="54"/>
      <c r="AS32" s="54"/>
      <c r="AT32" s="54" t="s">
        <v>2359</v>
      </c>
      <c r="AU32" s="54"/>
      <c r="AV32" s="54">
        <v>0</v>
      </c>
      <c r="AW32" s="54"/>
      <c r="AX32" s="54" t="s">
        <v>3228</v>
      </c>
      <c r="AY32" s="54"/>
      <c r="AZ32" s="54"/>
      <c r="BA32" s="54"/>
      <c r="BB32" s="54" t="s">
        <v>2369</v>
      </c>
      <c r="BC32" s="54" t="s">
        <v>2370</v>
      </c>
      <c r="BD32" s="54" t="s">
        <v>2371</v>
      </c>
      <c r="BE32" s="54"/>
      <c r="BF32" s="54">
        <v>1</v>
      </c>
      <c r="BG32" s="54">
        <v>-6.9625000000000004</v>
      </c>
      <c r="BH32" s="54">
        <v>107.4346</v>
      </c>
      <c r="BI32" s="54">
        <v>3217121604051870</v>
      </c>
      <c r="BJ32" s="54">
        <v>47</v>
      </c>
      <c r="BK32" s="54">
        <v>145</v>
      </c>
      <c r="BL32" s="54">
        <v>55</v>
      </c>
      <c r="BM32" s="54">
        <v>1</v>
      </c>
      <c r="BN32" s="54">
        <v>2</v>
      </c>
    </row>
    <row r="33" spans="1:66" s="219" customFormat="1" hidden="1" x14ac:dyDescent="0.3">
      <c r="A33" s="54">
        <v>27</v>
      </c>
      <c r="B33" s="54" t="s">
        <v>1741</v>
      </c>
      <c r="C33" s="54" t="s">
        <v>2221</v>
      </c>
      <c r="D33" s="54" t="s">
        <v>53</v>
      </c>
      <c r="E33" s="54">
        <v>3098801430</v>
      </c>
      <c r="F33" s="54" t="s">
        <v>2446</v>
      </c>
      <c r="G33" s="108">
        <v>40088</v>
      </c>
      <c r="H33" s="54">
        <v>3204284210090000</v>
      </c>
      <c r="I33" s="54" t="s">
        <v>2353</v>
      </c>
      <c r="J33" s="54" t="s">
        <v>2895</v>
      </c>
      <c r="K33" s="54">
        <v>1</v>
      </c>
      <c r="L33" s="54">
        <v>3</v>
      </c>
      <c r="M33" s="54"/>
      <c r="N33" s="54" t="s">
        <v>2513</v>
      </c>
      <c r="O33" s="54" t="s">
        <v>4487</v>
      </c>
      <c r="P33" s="54"/>
      <c r="Q33" s="54" t="s">
        <v>2357</v>
      </c>
      <c r="R33" s="54" t="s">
        <v>2358</v>
      </c>
      <c r="S33" s="54"/>
      <c r="T33" s="54"/>
      <c r="U33" s="54"/>
      <c r="V33" s="54"/>
      <c r="W33" s="54" t="s">
        <v>2359</v>
      </c>
      <c r="X33" s="54"/>
      <c r="Y33" s="54"/>
      <c r="Z33" s="54">
        <v>0</v>
      </c>
      <c r="AA33" s="54"/>
      <c r="AB33" s="54" t="s">
        <v>2362</v>
      </c>
      <c r="AC33" s="54" t="s">
        <v>2363</v>
      </c>
      <c r="AD33" s="54"/>
      <c r="AE33" s="54" t="s">
        <v>4488</v>
      </c>
      <c r="AF33" s="54">
        <v>0</v>
      </c>
      <c r="AG33" s="54"/>
      <c r="AH33" s="54" t="s">
        <v>2365</v>
      </c>
      <c r="AI33" s="54" t="s">
        <v>2366</v>
      </c>
      <c r="AJ33" s="54"/>
      <c r="AK33" s="54"/>
      <c r="AL33" s="54"/>
      <c r="AM33" s="54"/>
      <c r="AN33" s="54"/>
      <c r="AO33" s="54"/>
      <c r="AP33" s="54"/>
      <c r="AQ33" s="54" t="s">
        <v>8184</v>
      </c>
      <c r="AR33" s="54" t="s">
        <v>4489</v>
      </c>
      <c r="AS33" s="54" t="s">
        <v>4490</v>
      </c>
      <c r="AT33" s="54" t="s">
        <v>2359</v>
      </c>
      <c r="AU33" s="54"/>
      <c r="AV33" s="54">
        <v>1</v>
      </c>
      <c r="AW33" s="54"/>
      <c r="AX33" s="54"/>
      <c r="AY33" s="54"/>
      <c r="AZ33" s="54"/>
      <c r="BA33" s="54"/>
      <c r="BB33" s="54" t="s">
        <v>2359</v>
      </c>
      <c r="BC33" s="54"/>
      <c r="BD33" s="54" t="s">
        <v>2371</v>
      </c>
      <c r="BE33" s="54" t="s">
        <v>4491</v>
      </c>
      <c r="BF33" s="54">
        <v>1</v>
      </c>
      <c r="BG33" s="54">
        <v>-6.9625000000000004</v>
      </c>
      <c r="BH33" s="54">
        <v>107.4346</v>
      </c>
      <c r="BI33" s="54"/>
      <c r="BJ33" s="54">
        <v>44</v>
      </c>
      <c r="BK33" s="54">
        <v>140</v>
      </c>
      <c r="BL33" s="54">
        <v>57</v>
      </c>
      <c r="BM33" s="54">
        <v>1</v>
      </c>
      <c r="BN33" s="54">
        <v>1</v>
      </c>
    </row>
    <row r="34" spans="1:66" s="219" customFormat="1" hidden="1" x14ac:dyDescent="0.3">
      <c r="A34" s="54">
        <v>28</v>
      </c>
      <c r="B34" s="54" t="s">
        <v>2393</v>
      </c>
      <c r="C34" s="54" t="s">
        <v>2098</v>
      </c>
      <c r="D34" s="54" t="s">
        <v>53</v>
      </c>
      <c r="E34" s="54">
        <v>3091641487</v>
      </c>
      <c r="F34" s="54" t="s">
        <v>2373</v>
      </c>
      <c r="G34" s="108">
        <v>40464</v>
      </c>
      <c r="H34" s="54">
        <v>3217125302100000</v>
      </c>
      <c r="I34" s="54" t="s">
        <v>2353</v>
      </c>
      <c r="J34" s="54" t="s">
        <v>4492</v>
      </c>
      <c r="K34" s="54">
        <v>2</v>
      </c>
      <c r="L34" s="54">
        <v>2</v>
      </c>
      <c r="M34" s="54"/>
      <c r="N34" s="54" t="s">
        <v>4493</v>
      </c>
      <c r="O34" s="54" t="s">
        <v>4494</v>
      </c>
      <c r="P34" s="54">
        <v>16421</v>
      </c>
      <c r="Q34" s="54" t="s">
        <v>2607</v>
      </c>
      <c r="R34" s="54" t="s">
        <v>2358</v>
      </c>
      <c r="S34" s="54"/>
      <c r="T34" s="54"/>
      <c r="U34" s="54"/>
      <c r="V34" s="54"/>
      <c r="W34" s="54" t="s">
        <v>2359</v>
      </c>
      <c r="X34" s="54"/>
      <c r="Y34" s="54" t="s">
        <v>4495</v>
      </c>
      <c r="Z34" s="54">
        <v>1985</v>
      </c>
      <c r="AA34" s="54" t="s">
        <v>2361</v>
      </c>
      <c r="AB34" s="54" t="s">
        <v>2362</v>
      </c>
      <c r="AC34" s="54" t="s">
        <v>2363</v>
      </c>
      <c r="AD34" s="54">
        <v>3303170508850000</v>
      </c>
      <c r="AE34" s="54" t="s">
        <v>2396</v>
      </c>
      <c r="AF34" s="54">
        <v>1988</v>
      </c>
      <c r="AG34" s="54" t="s">
        <v>2361</v>
      </c>
      <c r="AH34" s="54" t="s">
        <v>2365</v>
      </c>
      <c r="AI34" s="54" t="s">
        <v>2366</v>
      </c>
      <c r="AJ34" s="54">
        <v>3217127004880000</v>
      </c>
      <c r="AK34" s="54"/>
      <c r="AL34" s="54"/>
      <c r="AM34" s="54"/>
      <c r="AN34" s="54"/>
      <c r="AO34" s="54"/>
      <c r="AP34" s="54"/>
      <c r="AQ34" s="54" t="s">
        <v>8177</v>
      </c>
      <c r="AR34" s="54"/>
      <c r="AS34" s="54"/>
      <c r="AT34" s="54" t="s">
        <v>2359</v>
      </c>
      <c r="AU34" s="54"/>
      <c r="AV34" s="54">
        <v>1</v>
      </c>
      <c r="AW34" s="54"/>
      <c r="AX34" s="54" t="s">
        <v>4496</v>
      </c>
      <c r="AY34" s="54"/>
      <c r="AZ34" s="54"/>
      <c r="BA34" s="54"/>
      <c r="BB34" s="54" t="s">
        <v>2369</v>
      </c>
      <c r="BC34" s="54" t="s">
        <v>2370</v>
      </c>
      <c r="BD34" s="54" t="s">
        <v>2371</v>
      </c>
      <c r="BE34" s="54" t="s">
        <v>4497</v>
      </c>
      <c r="BF34" s="54">
        <v>1</v>
      </c>
      <c r="BG34" s="54">
        <v>-6.9625000000000004</v>
      </c>
      <c r="BH34" s="54">
        <v>107.4346</v>
      </c>
      <c r="BI34" s="54">
        <v>3276062406190000</v>
      </c>
      <c r="BJ34" s="54">
        <v>42</v>
      </c>
      <c r="BK34" s="54">
        <v>141</v>
      </c>
      <c r="BL34" s="54">
        <v>49</v>
      </c>
      <c r="BM34" s="54">
        <v>1</v>
      </c>
      <c r="BN34" s="54">
        <v>2</v>
      </c>
    </row>
    <row r="35" spans="1:66" hidden="1" x14ac:dyDescent="0.3">
      <c r="A35" s="3">
        <v>29</v>
      </c>
      <c r="B35" s="3" t="s">
        <v>3814</v>
      </c>
      <c r="C35" s="3" t="s">
        <v>4261</v>
      </c>
      <c r="D35" s="3" t="s">
        <v>52</v>
      </c>
      <c r="E35" s="3">
        <v>114893938</v>
      </c>
      <c r="F35" s="3" t="s">
        <v>2377</v>
      </c>
      <c r="G35" s="157">
        <v>40547</v>
      </c>
      <c r="H35" s="3">
        <v>3217120401110000</v>
      </c>
      <c r="I35" s="3" t="s">
        <v>2353</v>
      </c>
      <c r="J35" s="3" t="s">
        <v>2641</v>
      </c>
      <c r="K35" s="3">
        <v>1</v>
      </c>
      <c r="L35" s="3">
        <v>10</v>
      </c>
      <c r="M35" s="3"/>
      <c r="N35" s="3" t="s">
        <v>4475</v>
      </c>
      <c r="O35" s="3" t="s">
        <v>2356</v>
      </c>
      <c r="P35" s="3">
        <v>40564</v>
      </c>
      <c r="Q35" s="3" t="s">
        <v>2357</v>
      </c>
      <c r="R35" s="3" t="s">
        <v>2358</v>
      </c>
      <c r="S35" s="3"/>
      <c r="T35" s="3">
        <v>83875757918</v>
      </c>
      <c r="U35" s="3"/>
      <c r="V35" s="3"/>
      <c r="W35" s="3" t="s">
        <v>2359</v>
      </c>
      <c r="X35" s="3"/>
      <c r="Y35" s="3" t="s">
        <v>4176</v>
      </c>
      <c r="Z35" s="3">
        <v>1986</v>
      </c>
      <c r="AA35" s="3" t="s">
        <v>2402</v>
      </c>
      <c r="AB35" s="3" t="s">
        <v>2362</v>
      </c>
      <c r="AC35" s="3" t="s">
        <v>2363</v>
      </c>
      <c r="AD35" s="3">
        <v>3217121205880020</v>
      </c>
      <c r="AE35" s="3" t="s">
        <v>4177</v>
      </c>
      <c r="AF35" s="3">
        <v>1992</v>
      </c>
      <c r="AG35" s="3" t="s">
        <v>2361</v>
      </c>
      <c r="AH35" s="3" t="s">
        <v>2365</v>
      </c>
      <c r="AI35" s="3" t="s">
        <v>2366</v>
      </c>
      <c r="AJ35" s="3">
        <v>3217125508920020</v>
      </c>
      <c r="AK35" s="3"/>
      <c r="AL35" s="3"/>
      <c r="AM35" s="3" t="s">
        <v>2367</v>
      </c>
      <c r="AN35" s="3"/>
      <c r="AO35" s="3"/>
      <c r="AP35" s="3"/>
      <c r="AQ35" s="3" t="s">
        <v>5149</v>
      </c>
      <c r="AR35" s="3"/>
      <c r="AS35" s="3"/>
      <c r="AT35" s="3" t="s">
        <v>2359</v>
      </c>
      <c r="AU35" s="3"/>
      <c r="AV35" s="3">
        <v>0</v>
      </c>
      <c r="AW35" s="3">
        <v>1946</v>
      </c>
      <c r="AX35" s="3" t="s">
        <v>4175</v>
      </c>
      <c r="AY35" s="3"/>
      <c r="AZ35" s="3"/>
      <c r="BA35" s="3"/>
      <c r="BB35" s="3" t="s">
        <v>2369</v>
      </c>
      <c r="BC35" s="3" t="s">
        <v>2443</v>
      </c>
      <c r="BD35" s="3" t="s">
        <v>2371</v>
      </c>
      <c r="BE35" s="3" t="s">
        <v>2372</v>
      </c>
      <c r="BF35" s="3">
        <v>1</v>
      </c>
      <c r="BG35" s="3">
        <v>-6.9676999999999998</v>
      </c>
      <c r="BH35" s="3">
        <v>107.4117</v>
      </c>
      <c r="BI35" s="3"/>
      <c r="BJ35" s="3">
        <v>41</v>
      </c>
      <c r="BK35" s="3">
        <v>139</v>
      </c>
      <c r="BL35" s="3">
        <v>56</v>
      </c>
      <c r="BM35" s="3">
        <v>1</v>
      </c>
      <c r="BN35" s="3">
        <v>2</v>
      </c>
    </row>
    <row r="36" spans="1:66" s="219" customFormat="1" hidden="1" x14ac:dyDescent="0.3">
      <c r="A36" s="54">
        <v>30</v>
      </c>
      <c r="B36" s="54" t="s">
        <v>1841</v>
      </c>
      <c r="C36" s="54" t="s">
        <v>1489</v>
      </c>
      <c r="D36" s="54" t="s">
        <v>52</v>
      </c>
      <c r="E36" s="54">
        <v>92734571</v>
      </c>
      <c r="F36" s="54" t="s">
        <v>3116</v>
      </c>
      <c r="G36" s="108">
        <v>39983</v>
      </c>
      <c r="H36" s="54">
        <v>3172021906090000</v>
      </c>
      <c r="I36" s="54" t="s">
        <v>2353</v>
      </c>
      <c r="J36" s="54" t="s">
        <v>3447</v>
      </c>
      <c r="K36" s="54">
        <v>3</v>
      </c>
      <c r="L36" s="54">
        <v>7</v>
      </c>
      <c r="M36" s="54"/>
      <c r="N36" s="54" t="s">
        <v>2425</v>
      </c>
      <c r="O36" s="54" t="s">
        <v>2426</v>
      </c>
      <c r="P36" s="54">
        <v>40561</v>
      </c>
      <c r="Q36" s="54" t="s">
        <v>2357</v>
      </c>
      <c r="R36" s="54" t="s">
        <v>2358</v>
      </c>
      <c r="S36" s="54"/>
      <c r="T36" s="54">
        <v>82122934565</v>
      </c>
      <c r="U36" s="54"/>
      <c r="V36" s="54"/>
      <c r="W36" s="54" t="s">
        <v>2359</v>
      </c>
      <c r="X36" s="54"/>
      <c r="Y36" s="54"/>
      <c r="Z36" s="54">
        <v>0</v>
      </c>
      <c r="AA36" s="54"/>
      <c r="AB36" s="54"/>
      <c r="AC36" s="54"/>
      <c r="AD36" s="54"/>
      <c r="AE36" s="54" t="s">
        <v>3448</v>
      </c>
      <c r="AF36" s="54">
        <v>1969</v>
      </c>
      <c r="AG36" s="54" t="s">
        <v>2390</v>
      </c>
      <c r="AH36" s="54" t="s">
        <v>2365</v>
      </c>
      <c r="AI36" s="54" t="s">
        <v>2366</v>
      </c>
      <c r="AJ36" s="54"/>
      <c r="AK36" s="54"/>
      <c r="AL36" s="54"/>
      <c r="AM36" s="54"/>
      <c r="AN36" s="54"/>
      <c r="AO36" s="54"/>
      <c r="AP36" s="54"/>
      <c r="AQ36" s="54" t="s">
        <v>5147</v>
      </c>
      <c r="AR36" s="54"/>
      <c r="AS36" s="54"/>
      <c r="AT36" s="54" t="s">
        <v>2359</v>
      </c>
      <c r="AU36" s="54"/>
      <c r="AV36" s="54">
        <v>0</v>
      </c>
      <c r="AW36" s="54"/>
      <c r="AX36" s="54" t="s">
        <v>3449</v>
      </c>
      <c r="AY36" s="54"/>
      <c r="AZ36" s="54"/>
      <c r="BA36" s="54"/>
      <c r="BB36" s="54" t="s">
        <v>2359</v>
      </c>
      <c r="BC36" s="54"/>
      <c r="BD36" s="54" t="s">
        <v>2371</v>
      </c>
      <c r="BE36" s="54"/>
      <c r="BF36" s="54">
        <v>2</v>
      </c>
      <c r="BG36" s="54">
        <v>-6.9625000000000004</v>
      </c>
      <c r="BH36" s="54">
        <v>107.4346</v>
      </c>
      <c r="BI36" s="54">
        <v>3217111407160000</v>
      </c>
      <c r="BJ36" s="54">
        <v>40</v>
      </c>
      <c r="BK36" s="54">
        <v>134</v>
      </c>
      <c r="BL36" s="54">
        <v>55</v>
      </c>
      <c r="BM36" s="54">
        <v>1</v>
      </c>
      <c r="BN36" s="54">
        <v>2</v>
      </c>
    </row>
    <row r="37" spans="1:66" s="219" customFormat="1" hidden="1" x14ac:dyDescent="0.3">
      <c r="A37" s="54">
        <v>31</v>
      </c>
      <c r="B37" s="54" t="s">
        <v>1892</v>
      </c>
      <c r="C37" s="54" t="s">
        <v>1545</v>
      </c>
      <c r="D37" s="54" t="s">
        <v>52</v>
      </c>
      <c r="E37" s="54">
        <v>3107195270</v>
      </c>
      <c r="F37" s="54" t="s">
        <v>2373</v>
      </c>
      <c r="G37" s="108">
        <v>40302</v>
      </c>
      <c r="H37" s="54">
        <v>3217120403100000</v>
      </c>
      <c r="I37" s="54" t="s">
        <v>2353</v>
      </c>
      <c r="J37" s="54" t="s">
        <v>2998</v>
      </c>
      <c r="K37" s="54">
        <v>2</v>
      </c>
      <c r="L37" s="54">
        <v>8</v>
      </c>
      <c r="M37" s="54"/>
      <c r="N37" s="54" t="s">
        <v>2438</v>
      </c>
      <c r="O37" s="54" t="s">
        <v>2356</v>
      </c>
      <c r="P37" s="54"/>
      <c r="Q37" s="54" t="s">
        <v>2357</v>
      </c>
      <c r="R37" s="54" t="s">
        <v>2374</v>
      </c>
      <c r="S37" s="54"/>
      <c r="T37" s="54">
        <v>83150209829</v>
      </c>
      <c r="U37" s="54"/>
      <c r="V37" s="54"/>
      <c r="W37" s="54" t="s">
        <v>2359</v>
      </c>
      <c r="X37" s="54"/>
      <c r="Y37" s="54"/>
      <c r="Z37" s="54">
        <v>1960</v>
      </c>
      <c r="AA37" s="54" t="s">
        <v>2361</v>
      </c>
      <c r="AB37" s="54" t="s">
        <v>2362</v>
      </c>
      <c r="AC37" s="54" t="s">
        <v>2363</v>
      </c>
      <c r="AD37" s="54"/>
      <c r="AE37" s="54" t="s">
        <v>3674</v>
      </c>
      <c r="AF37" s="54">
        <v>1979</v>
      </c>
      <c r="AG37" s="54"/>
      <c r="AH37" s="54" t="s">
        <v>2365</v>
      </c>
      <c r="AI37" s="54" t="s">
        <v>2366</v>
      </c>
      <c r="AJ37" s="54"/>
      <c r="AK37" s="54"/>
      <c r="AL37" s="54"/>
      <c r="AM37" s="54"/>
      <c r="AN37" s="54"/>
      <c r="AO37" s="54"/>
      <c r="AP37" s="54"/>
      <c r="AQ37" s="54" t="s">
        <v>5147</v>
      </c>
      <c r="AR37" s="54"/>
      <c r="AS37" s="54"/>
      <c r="AT37" s="54" t="s">
        <v>2359</v>
      </c>
      <c r="AU37" s="54"/>
      <c r="AV37" s="54">
        <v>0</v>
      </c>
      <c r="AW37" s="54"/>
      <c r="AX37" s="54" t="s">
        <v>3675</v>
      </c>
      <c r="AY37" s="54"/>
      <c r="AZ37" s="54"/>
      <c r="BA37" s="54"/>
      <c r="BB37" s="54" t="s">
        <v>2369</v>
      </c>
      <c r="BC37" s="54" t="s">
        <v>2868</v>
      </c>
      <c r="BD37" s="54" t="s">
        <v>2371</v>
      </c>
      <c r="BE37" s="54"/>
      <c r="BF37" s="54">
        <v>1</v>
      </c>
      <c r="BG37" s="54">
        <v>-6.9625000000000004</v>
      </c>
      <c r="BH37" s="54">
        <v>107.4346</v>
      </c>
      <c r="BI37" s="54">
        <v>3217121604053650</v>
      </c>
      <c r="BJ37" s="54">
        <v>41</v>
      </c>
      <c r="BK37" s="54">
        <v>133</v>
      </c>
      <c r="BL37" s="54">
        <v>49</v>
      </c>
      <c r="BM37" s="54">
        <v>1</v>
      </c>
      <c r="BN37" s="54">
        <v>3</v>
      </c>
    </row>
    <row r="38" spans="1:66" hidden="1" x14ac:dyDescent="0.3">
      <c r="A38" s="3">
        <v>32</v>
      </c>
      <c r="B38" s="3" t="s">
        <v>4498</v>
      </c>
      <c r="C38" s="3" t="s">
        <v>4229</v>
      </c>
      <c r="D38" s="3" t="s">
        <v>52</v>
      </c>
      <c r="E38" s="3">
        <v>105367284</v>
      </c>
      <c r="F38" s="3" t="s">
        <v>2446</v>
      </c>
      <c r="G38" s="157">
        <v>40466</v>
      </c>
      <c r="H38" s="3">
        <v>3217121510100000</v>
      </c>
      <c r="I38" s="3" t="s">
        <v>2353</v>
      </c>
      <c r="J38" s="3" t="s">
        <v>4499</v>
      </c>
      <c r="K38" s="3">
        <v>1</v>
      </c>
      <c r="L38" s="3">
        <v>1</v>
      </c>
      <c r="M38" s="3"/>
      <c r="N38" s="3" t="s">
        <v>2945</v>
      </c>
      <c r="O38" s="3" t="s">
        <v>2356</v>
      </c>
      <c r="P38" s="3">
        <v>40764</v>
      </c>
      <c r="Q38" s="3" t="s">
        <v>2357</v>
      </c>
      <c r="R38" s="3" t="s">
        <v>2358</v>
      </c>
      <c r="S38" s="3"/>
      <c r="T38" s="3">
        <v>85321964772</v>
      </c>
      <c r="U38" s="3"/>
      <c r="V38" s="3"/>
      <c r="W38" s="3" t="s">
        <v>2359</v>
      </c>
      <c r="X38" s="3"/>
      <c r="Y38" s="3" t="s">
        <v>3490</v>
      </c>
      <c r="Z38" s="3">
        <v>1977</v>
      </c>
      <c r="AA38" s="3" t="s">
        <v>2390</v>
      </c>
      <c r="AB38" s="3" t="s">
        <v>2474</v>
      </c>
      <c r="AC38" s="3" t="s">
        <v>2403</v>
      </c>
      <c r="AD38" s="3">
        <v>3217120505770020</v>
      </c>
      <c r="AE38" s="3" t="s">
        <v>4500</v>
      </c>
      <c r="AF38" s="3">
        <v>1987</v>
      </c>
      <c r="AG38" s="3" t="s">
        <v>2402</v>
      </c>
      <c r="AH38" s="3" t="s">
        <v>2474</v>
      </c>
      <c r="AI38" s="3" t="s">
        <v>2366</v>
      </c>
      <c r="AJ38" s="3">
        <v>3217125705870000</v>
      </c>
      <c r="AK38" s="3"/>
      <c r="AL38" s="3"/>
      <c r="AM38" s="3" t="s">
        <v>2367</v>
      </c>
      <c r="AN38" s="3"/>
      <c r="AO38" s="3"/>
      <c r="AP38" s="3"/>
      <c r="AQ38" s="3" t="s">
        <v>5146</v>
      </c>
      <c r="AR38" s="3"/>
      <c r="AS38" s="3"/>
      <c r="AT38" s="3" t="s">
        <v>2359</v>
      </c>
      <c r="AU38" s="3"/>
      <c r="AV38" s="3">
        <v>0</v>
      </c>
      <c r="AW38" s="3"/>
      <c r="AX38" s="3" t="s">
        <v>4027</v>
      </c>
      <c r="AY38" s="3"/>
      <c r="AZ38" s="3"/>
      <c r="BA38" s="3"/>
      <c r="BB38" s="3" t="s">
        <v>2369</v>
      </c>
      <c r="BC38" s="3" t="s">
        <v>2370</v>
      </c>
      <c r="BD38" s="3" t="s">
        <v>2371</v>
      </c>
      <c r="BE38" s="3" t="s">
        <v>2948</v>
      </c>
      <c r="BF38" s="3">
        <v>2</v>
      </c>
      <c r="BG38" s="3">
        <v>-6.9409580000000002</v>
      </c>
      <c r="BH38" s="3">
        <v>107.323818</v>
      </c>
      <c r="BI38" s="3">
        <v>3217121111110010</v>
      </c>
      <c r="BJ38" s="3">
        <v>44</v>
      </c>
      <c r="BK38" s="3">
        <v>138</v>
      </c>
      <c r="BL38" s="3">
        <v>54</v>
      </c>
      <c r="BM38" s="3">
        <v>1</v>
      </c>
      <c r="BN38" s="3">
        <v>2</v>
      </c>
    </row>
    <row r="39" spans="1:66" s="219" customFormat="1" hidden="1" x14ac:dyDescent="0.3">
      <c r="A39" s="54">
        <v>33</v>
      </c>
      <c r="B39" s="54" t="s">
        <v>1343</v>
      </c>
      <c r="C39" s="54" t="s">
        <v>1396</v>
      </c>
      <c r="D39" s="54" t="s">
        <v>52</v>
      </c>
      <c r="E39" s="54">
        <v>85676893</v>
      </c>
      <c r="F39" s="54" t="s">
        <v>2446</v>
      </c>
      <c r="G39" s="108">
        <v>39563</v>
      </c>
      <c r="H39" s="54">
        <v>3217112504080000</v>
      </c>
      <c r="I39" s="54" t="s">
        <v>2353</v>
      </c>
      <c r="J39" s="54" t="s">
        <v>2588</v>
      </c>
      <c r="K39" s="54">
        <v>4</v>
      </c>
      <c r="L39" s="54">
        <v>3</v>
      </c>
      <c r="M39" s="54"/>
      <c r="N39" s="54" t="s">
        <v>2566</v>
      </c>
      <c r="O39" s="54" t="s">
        <v>2426</v>
      </c>
      <c r="P39" s="54">
        <v>40562</v>
      </c>
      <c r="Q39" s="54" t="s">
        <v>2357</v>
      </c>
      <c r="R39" s="54" t="s">
        <v>2374</v>
      </c>
      <c r="S39" s="54"/>
      <c r="T39" s="54">
        <v>82317897817</v>
      </c>
      <c r="U39" s="54"/>
      <c r="V39" s="54"/>
      <c r="W39" s="54" t="s">
        <v>2359</v>
      </c>
      <c r="X39" s="54"/>
      <c r="Y39" s="54" t="s">
        <v>3082</v>
      </c>
      <c r="Z39" s="54">
        <v>1979</v>
      </c>
      <c r="AA39" s="54" t="s">
        <v>2402</v>
      </c>
      <c r="AB39" s="54" t="s">
        <v>2362</v>
      </c>
      <c r="AC39" s="54" t="s">
        <v>2363</v>
      </c>
      <c r="AD39" s="54">
        <v>3217112911790000</v>
      </c>
      <c r="AE39" s="54" t="s">
        <v>3083</v>
      </c>
      <c r="AF39" s="54">
        <v>1991</v>
      </c>
      <c r="AG39" s="54" t="s">
        <v>2402</v>
      </c>
      <c r="AH39" s="54" t="s">
        <v>2365</v>
      </c>
      <c r="AI39" s="54" t="s">
        <v>2366</v>
      </c>
      <c r="AJ39" s="54">
        <v>3217115206910010</v>
      </c>
      <c r="AK39" s="54"/>
      <c r="AL39" s="54"/>
      <c r="AM39" s="54"/>
      <c r="AN39" s="54"/>
      <c r="AO39" s="54"/>
      <c r="AP39" s="54"/>
      <c r="AQ39" s="54" t="s">
        <v>5147</v>
      </c>
      <c r="AR39" s="54"/>
      <c r="AS39" s="54"/>
      <c r="AT39" s="54" t="s">
        <v>2359</v>
      </c>
      <c r="AU39" s="54"/>
      <c r="AV39" s="54">
        <v>0</v>
      </c>
      <c r="AW39" s="54"/>
      <c r="AX39" s="54" t="s">
        <v>3084</v>
      </c>
      <c r="AY39" s="54"/>
      <c r="AZ39" s="54"/>
      <c r="BA39" s="54"/>
      <c r="BB39" s="54" t="s">
        <v>2369</v>
      </c>
      <c r="BC39" s="54" t="s">
        <v>2370</v>
      </c>
      <c r="BD39" s="54" t="s">
        <v>2371</v>
      </c>
      <c r="BE39" s="54" t="s">
        <v>3085</v>
      </c>
      <c r="BF39" s="54">
        <v>1</v>
      </c>
      <c r="BG39" s="54">
        <v>-6.9743000000000004</v>
      </c>
      <c r="BH39" s="54">
        <v>107.43559999999999</v>
      </c>
      <c r="BI39" s="54">
        <v>3217110603130000</v>
      </c>
      <c r="BJ39" s="54">
        <v>35</v>
      </c>
      <c r="BK39" s="54">
        <v>130</v>
      </c>
      <c r="BL39" s="54">
        <v>55</v>
      </c>
      <c r="BM39" s="54">
        <v>1</v>
      </c>
      <c r="BN39" s="54">
        <v>1</v>
      </c>
    </row>
    <row r="40" spans="1:66" hidden="1" x14ac:dyDescent="0.3">
      <c r="A40" s="3">
        <v>34</v>
      </c>
      <c r="B40" s="3" t="s">
        <v>4440</v>
      </c>
      <c r="C40" s="3" t="s">
        <v>4293</v>
      </c>
      <c r="D40" s="3" t="s">
        <v>52</v>
      </c>
      <c r="E40" s="3">
        <v>105009425</v>
      </c>
      <c r="F40" s="3" t="s">
        <v>4119</v>
      </c>
      <c r="G40" s="157">
        <v>40453</v>
      </c>
      <c r="H40" s="3">
        <v>3277030210100000</v>
      </c>
      <c r="I40" s="3" t="s">
        <v>2353</v>
      </c>
      <c r="J40" s="3" t="s">
        <v>4501</v>
      </c>
      <c r="K40" s="3">
        <v>2</v>
      </c>
      <c r="L40" s="3">
        <v>15</v>
      </c>
      <c r="M40" s="3"/>
      <c r="N40" s="3" t="s">
        <v>4502</v>
      </c>
      <c r="O40" s="3" t="s">
        <v>4503</v>
      </c>
      <c r="P40" s="3">
        <v>40512</v>
      </c>
      <c r="Q40" s="3" t="s">
        <v>2357</v>
      </c>
      <c r="R40" s="3" t="s">
        <v>2358</v>
      </c>
      <c r="S40" s="3"/>
      <c r="T40" s="3">
        <v>85720304294</v>
      </c>
      <c r="U40" s="3"/>
      <c r="V40" s="3"/>
      <c r="W40" s="3" t="s">
        <v>2359</v>
      </c>
      <c r="X40" s="3"/>
      <c r="Y40" s="3" t="s">
        <v>4504</v>
      </c>
      <c r="Z40" s="3">
        <v>1980</v>
      </c>
      <c r="AA40" s="3" t="s">
        <v>2402</v>
      </c>
      <c r="AB40" s="3" t="s">
        <v>2362</v>
      </c>
      <c r="AC40" s="3" t="s">
        <v>2403</v>
      </c>
      <c r="AD40" s="3">
        <v>3277031708800040</v>
      </c>
      <c r="AE40" s="3" t="s">
        <v>2704</v>
      </c>
      <c r="AF40" s="3">
        <v>1972</v>
      </c>
      <c r="AG40" s="3" t="s">
        <v>2402</v>
      </c>
      <c r="AH40" s="3" t="s">
        <v>2388</v>
      </c>
      <c r="AI40" s="3" t="s">
        <v>2363</v>
      </c>
      <c r="AJ40" s="3">
        <v>3277034504720000</v>
      </c>
      <c r="AK40" s="3"/>
      <c r="AL40" s="3"/>
      <c r="AM40" s="3" t="s">
        <v>2367</v>
      </c>
      <c r="AN40" s="3"/>
      <c r="AO40" s="3"/>
      <c r="AP40" s="3"/>
      <c r="AQ40" s="3" t="s">
        <v>5150</v>
      </c>
      <c r="AR40" s="3"/>
      <c r="AS40" s="3"/>
      <c r="AT40" s="3" t="s">
        <v>2359</v>
      </c>
      <c r="AU40" s="3"/>
      <c r="AV40" s="3">
        <v>0</v>
      </c>
      <c r="AW40" s="3"/>
      <c r="AX40" s="3" t="s">
        <v>4505</v>
      </c>
      <c r="AY40" s="3"/>
      <c r="AZ40" s="3"/>
      <c r="BA40" s="3"/>
      <c r="BB40" s="3" t="s">
        <v>2359</v>
      </c>
      <c r="BC40" s="3"/>
      <c r="BD40" s="3" t="s">
        <v>2371</v>
      </c>
      <c r="BE40" s="3" t="s">
        <v>4506</v>
      </c>
      <c r="BF40" s="3">
        <v>1</v>
      </c>
      <c r="BG40" s="3">
        <v>-6.8513900000000003</v>
      </c>
      <c r="BH40" s="3">
        <v>107.53258</v>
      </c>
      <c r="BI40" s="3">
        <v>3277032210100020</v>
      </c>
      <c r="BJ40" s="3">
        <v>50</v>
      </c>
      <c r="BK40" s="3">
        <v>144</v>
      </c>
      <c r="BL40" s="3">
        <v>57</v>
      </c>
      <c r="BM40" s="3">
        <v>1</v>
      </c>
      <c r="BN40" s="3">
        <v>3</v>
      </c>
    </row>
    <row r="41" spans="1:66" hidden="1" x14ac:dyDescent="0.3">
      <c r="A41" s="3">
        <v>35</v>
      </c>
      <c r="B41" s="3" t="s">
        <v>4507</v>
      </c>
      <c r="C41" s="3" t="s">
        <v>4361</v>
      </c>
      <c r="D41" s="3" t="s">
        <v>52</v>
      </c>
      <c r="E41" s="3">
        <v>107651387</v>
      </c>
      <c r="F41" s="3" t="s">
        <v>2377</v>
      </c>
      <c r="G41" s="157">
        <v>40272</v>
      </c>
      <c r="H41" s="3">
        <v>1111111111111110</v>
      </c>
      <c r="I41" s="3" t="s">
        <v>2353</v>
      </c>
      <c r="J41" s="3" t="s">
        <v>2839</v>
      </c>
      <c r="K41" s="3">
        <v>4</v>
      </c>
      <c r="L41" s="3">
        <v>9</v>
      </c>
      <c r="M41" s="3"/>
      <c r="N41" s="3" t="s">
        <v>4508</v>
      </c>
      <c r="O41" s="3" t="s">
        <v>2426</v>
      </c>
      <c r="P41" s="3">
        <v>40562</v>
      </c>
      <c r="Q41" s="3" t="s">
        <v>2357</v>
      </c>
      <c r="R41" s="3" t="s">
        <v>2374</v>
      </c>
      <c r="S41" s="3"/>
      <c r="T41" s="3">
        <v>83117775232</v>
      </c>
      <c r="U41" s="3"/>
      <c r="V41" s="3"/>
      <c r="W41" s="3" t="s">
        <v>2359</v>
      </c>
      <c r="X41" s="3"/>
      <c r="Y41" s="3" t="s">
        <v>4509</v>
      </c>
      <c r="Z41" s="3">
        <v>1987</v>
      </c>
      <c r="AA41" s="3" t="s">
        <v>2390</v>
      </c>
      <c r="AB41" s="3" t="s">
        <v>2365</v>
      </c>
      <c r="AC41" s="3" t="s">
        <v>2366</v>
      </c>
      <c r="AD41" s="3"/>
      <c r="AE41" s="3" t="s">
        <v>4059</v>
      </c>
      <c r="AF41" s="3">
        <v>1990</v>
      </c>
      <c r="AG41" s="3" t="s">
        <v>2402</v>
      </c>
      <c r="AH41" s="3" t="s">
        <v>2365</v>
      </c>
      <c r="AI41" s="3" t="s">
        <v>2366</v>
      </c>
      <c r="AJ41" s="3"/>
      <c r="AK41" s="3"/>
      <c r="AL41" s="3"/>
      <c r="AM41" s="3" t="s">
        <v>2367</v>
      </c>
      <c r="AN41" s="3"/>
      <c r="AO41" s="3"/>
      <c r="AP41" s="3"/>
      <c r="AQ41" s="3" t="s">
        <v>5151</v>
      </c>
      <c r="AR41" s="3"/>
      <c r="AS41" s="3"/>
      <c r="AT41" s="3" t="s">
        <v>2359</v>
      </c>
      <c r="AU41" s="3"/>
      <c r="AV41" s="3">
        <v>0</v>
      </c>
      <c r="AW41" s="3"/>
      <c r="AX41" s="3"/>
      <c r="AY41" s="3"/>
      <c r="AZ41" s="3"/>
      <c r="BA41" s="3"/>
      <c r="BB41" s="3" t="s">
        <v>2369</v>
      </c>
      <c r="BC41" s="3" t="s">
        <v>2370</v>
      </c>
      <c r="BD41" s="3" t="s">
        <v>2371</v>
      </c>
      <c r="BE41" s="3" t="s">
        <v>2691</v>
      </c>
      <c r="BF41" s="3">
        <v>1</v>
      </c>
      <c r="BG41" s="3">
        <v>-6.9743000000000004</v>
      </c>
      <c r="BH41" s="3">
        <v>107.43559999999999</v>
      </c>
      <c r="BI41" s="3"/>
      <c r="BJ41" s="3">
        <v>35</v>
      </c>
      <c r="BK41" s="3">
        <v>135</v>
      </c>
      <c r="BL41" s="3">
        <v>0</v>
      </c>
      <c r="BM41" s="3">
        <v>0</v>
      </c>
      <c r="BN41" s="3">
        <v>1</v>
      </c>
    </row>
    <row r="42" spans="1:66" s="219" customFormat="1" hidden="1" x14ac:dyDescent="0.3">
      <c r="A42" s="54">
        <v>36</v>
      </c>
      <c r="B42" s="54" t="s">
        <v>1816</v>
      </c>
      <c r="C42" s="54" t="s">
        <v>1458</v>
      </c>
      <c r="D42" s="54" t="s">
        <v>53</v>
      </c>
      <c r="E42" s="54">
        <v>98158024</v>
      </c>
      <c r="F42" s="54" t="s">
        <v>2373</v>
      </c>
      <c r="G42" s="108">
        <v>40072</v>
      </c>
      <c r="H42" s="54">
        <v>3217125609090000</v>
      </c>
      <c r="I42" s="54" t="s">
        <v>2353</v>
      </c>
      <c r="J42" s="54" t="s">
        <v>2619</v>
      </c>
      <c r="K42" s="54">
        <v>1</v>
      </c>
      <c r="L42" s="54">
        <v>11</v>
      </c>
      <c r="M42" s="54"/>
      <c r="N42" s="54" t="s">
        <v>2513</v>
      </c>
      <c r="O42" s="54" t="s">
        <v>2356</v>
      </c>
      <c r="P42" s="54">
        <v>40562</v>
      </c>
      <c r="Q42" s="54" t="s">
        <v>2357</v>
      </c>
      <c r="R42" s="54" t="s">
        <v>2358</v>
      </c>
      <c r="S42" s="54"/>
      <c r="T42" s="54">
        <v>82113559185</v>
      </c>
      <c r="U42" s="54"/>
      <c r="V42" s="54"/>
      <c r="W42" s="54" t="s">
        <v>2369</v>
      </c>
      <c r="X42" s="54">
        <v>122000110363567</v>
      </c>
      <c r="Y42" s="54" t="s">
        <v>3333</v>
      </c>
      <c r="Z42" s="54">
        <v>1982</v>
      </c>
      <c r="AA42" s="54" t="s">
        <v>2402</v>
      </c>
      <c r="AB42" s="54" t="s">
        <v>2362</v>
      </c>
      <c r="AC42" s="54" t="s">
        <v>2363</v>
      </c>
      <c r="AD42" s="54">
        <v>3217120410820000</v>
      </c>
      <c r="AE42" s="54" t="s">
        <v>3334</v>
      </c>
      <c r="AF42" s="54">
        <v>1987</v>
      </c>
      <c r="AG42" s="54" t="s">
        <v>2361</v>
      </c>
      <c r="AH42" s="54" t="s">
        <v>2365</v>
      </c>
      <c r="AI42" s="54" t="s">
        <v>2366</v>
      </c>
      <c r="AJ42" s="54">
        <v>3217124909860010</v>
      </c>
      <c r="AK42" s="54"/>
      <c r="AL42" s="54"/>
      <c r="AM42" s="54"/>
      <c r="AN42" s="54"/>
      <c r="AO42" s="54"/>
      <c r="AP42" s="54"/>
      <c r="AQ42" s="54" t="s">
        <v>5147</v>
      </c>
      <c r="AR42" s="54"/>
      <c r="AS42" s="54"/>
      <c r="AT42" s="54" t="s">
        <v>2359</v>
      </c>
      <c r="AU42" s="54"/>
      <c r="AV42" s="54">
        <v>0</v>
      </c>
      <c r="AW42" s="54"/>
      <c r="AX42" s="54"/>
      <c r="AY42" s="54"/>
      <c r="AZ42" s="54"/>
      <c r="BA42" s="54"/>
      <c r="BB42" s="54" t="s">
        <v>2369</v>
      </c>
      <c r="BC42" s="54" t="s">
        <v>2443</v>
      </c>
      <c r="BD42" s="54" t="s">
        <v>2371</v>
      </c>
      <c r="BE42" s="54"/>
      <c r="BF42" s="54">
        <v>1</v>
      </c>
      <c r="BG42" s="54">
        <v>-7.0068000000000001</v>
      </c>
      <c r="BH42" s="54">
        <v>107.2349</v>
      </c>
      <c r="BI42" s="54">
        <v>3217121903080000</v>
      </c>
      <c r="BJ42" s="54">
        <v>13</v>
      </c>
      <c r="BK42" s="54">
        <v>132</v>
      </c>
      <c r="BL42" s="54">
        <v>48</v>
      </c>
      <c r="BM42" s="54">
        <v>2</v>
      </c>
      <c r="BN42" s="54">
        <v>1</v>
      </c>
    </row>
    <row r="43" spans="1:66" hidden="1" x14ac:dyDescent="0.3">
      <c r="A43" s="3">
        <v>37</v>
      </c>
      <c r="B43" s="3" t="s">
        <v>3844</v>
      </c>
      <c r="C43" s="3" t="s">
        <v>4294</v>
      </c>
      <c r="D43" s="3" t="s">
        <v>53</v>
      </c>
      <c r="E43" s="3">
        <v>3102323454</v>
      </c>
      <c r="F43" s="3" t="s">
        <v>2352</v>
      </c>
      <c r="G43" s="157">
        <v>40392</v>
      </c>
      <c r="H43" s="3">
        <v>3217114208100000</v>
      </c>
      <c r="I43" s="3" t="s">
        <v>2353</v>
      </c>
      <c r="J43" s="3" t="s">
        <v>2616</v>
      </c>
      <c r="K43" s="3">
        <v>3</v>
      </c>
      <c r="L43" s="3">
        <v>13</v>
      </c>
      <c r="M43" s="3"/>
      <c r="N43" s="3" t="s">
        <v>2617</v>
      </c>
      <c r="O43" s="3" t="s">
        <v>2426</v>
      </c>
      <c r="P43" s="3">
        <v>40545</v>
      </c>
      <c r="Q43" s="3" t="s">
        <v>2357</v>
      </c>
      <c r="R43" s="3" t="s">
        <v>2358</v>
      </c>
      <c r="S43" s="3"/>
      <c r="T43" s="3"/>
      <c r="U43" s="3"/>
      <c r="V43" s="3"/>
      <c r="W43" s="3" t="s">
        <v>2359</v>
      </c>
      <c r="X43" s="3"/>
      <c r="Y43" s="3" t="s">
        <v>4510</v>
      </c>
      <c r="Z43" s="3">
        <v>0</v>
      </c>
      <c r="AA43" s="3" t="s">
        <v>2390</v>
      </c>
      <c r="AB43" s="3" t="s">
        <v>2493</v>
      </c>
      <c r="AC43" s="3" t="s">
        <v>2363</v>
      </c>
      <c r="AD43" s="3"/>
      <c r="AE43" s="3" t="s">
        <v>4144</v>
      </c>
      <c r="AF43" s="3">
        <v>0</v>
      </c>
      <c r="AG43" s="3" t="s">
        <v>2402</v>
      </c>
      <c r="AH43" s="3" t="s">
        <v>2365</v>
      </c>
      <c r="AI43" s="3" t="s">
        <v>2366</v>
      </c>
      <c r="AJ43" s="3"/>
      <c r="AK43" s="3"/>
      <c r="AL43" s="3"/>
      <c r="AM43" s="3"/>
      <c r="AN43" s="3"/>
      <c r="AO43" s="3"/>
      <c r="AP43" s="3"/>
      <c r="AQ43" s="3" t="s">
        <v>5150</v>
      </c>
      <c r="AR43" s="3"/>
      <c r="AS43" s="3"/>
      <c r="AT43" s="3" t="s">
        <v>2359</v>
      </c>
      <c r="AU43" s="3"/>
      <c r="AV43" s="3">
        <v>1</v>
      </c>
      <c r="AW43" s="3"/>
      <c r="AX43" s="3" t="s">
        <v>4143</v>
      </c>
      <c r="AY43" s="3"/>
      <c r="AZ43" s="3"/>
      <c r="BA43" s="3"/>
      <c r="BB43" s="3" t="s">
        <v>2369</v>
      </c>
      <c r="BC43" s="3" t="s">
        <v>2370</v>
      </c>
      <c r="BD43" s="3" t="s">
        <v>2371</v>
      </c>
      <c r="BE43" s="3"/>
      <c r="BF43" s="3">
        <v>1</v>
      </c>
      <c r="BG43" s="3">
        <v>-6.9625000000000004</v>
      </c>
      <c r="BH43" s="3">
        <v>107.4346</v>
      </c>
      <c r="BI43" s="3">
        <v>3217110205190000</v>
      </c>
      <c r="BJ43" s="3">
        <v>43</v>
      </c>
      <c r="BK43" s="3">
        <v>144</v>
      </c>
      <c r="BL43" s="3">
        <v>60</v>
      </c>
      <c r="BM43" s="3">
        <v>1</v>
      </c>
      <c r="BN43" s="3">
        <v>2</v>
      </c>
    </row>
    <row r="44" spans="1:66" hidden="1" x14ac:dyDescent="0.3">
      <c r="A44" s="3">
        <v>38</v>
      </c>
      <c r="B44" s="3" t="s">
        <v>3815</v>
      </c>
      <c r="C44" s="3" t="s">
        <v>4262</v>
      </c>
      <c r="D44" s="3" t="s">
        <v>52</v>
      </c>
      <c r="E44" s="3">
        <v>118912557</v>
      </c>
      <c r="F44" s="3" t="s">
        <v>2377</v>
      </c>
      <c r="G44" s="157">
        <v>40890</v>
      </c>
      <c r="H44" s="3">
        <v>3217111312110000</v>
      </c>
      <c r="I44" s="3" t="s">
        <v>2353</v>
      </c>
      <c r="J44" s="3" t="s">
        <v>4511</v>
      </c>
      <c r="K44" s="3">
        <v>2</v>
      </c>
      <c r="L44" s="3">
        <v>1</v>
      </c>
      <c r="M44" s="3"/>
      <c r="N44" s="3" t="s">
        <v>3105</v>
      </c>
      <c r="O44" s="3" t="s">
        <v>2426</v>
      </c>
      <c r="P44" s="3">
        <v>40562</v>
      </c>
      <c r="Q44" s="3" t="s">
        <v>2357</v>
      </c>
      <c r="R44" s="3" t="s">
        <v>2358</v>
      </c>
      <c r="S44" s="3"/>
      <c r="T44" s="3">
        <v>83136248356</v>
      </c>
      <c r="U44" s="3"/>
      <c r="V44" s="3"/>
      <c r="W44" s="3" t="s">
        <v>2359</v>
      </c>
      <c r="X44" s="3"/>
      <c r="Y44" s="3" t="s">
        <v>4076</v>
      </c>
      <c r="Z44" s="3">
        <v>1981</v>
      </c>
      <c r="AA44" s="3" t="s">
        <v>2402</v>
      </c>
      <c r="AB44" s="3" t="s">
        <v>2362</v>
      </c>
      <c r="AC44" s="3" t="s">
        <v>2403</v>
      </c>
      <c r="AD44" s="3">
        <v>3217112812810000</v>
      </c>
      <c r="AE44" s="3" t="s">
        <v>4077</v>
      </c>
      <c r="AF44" s="3">
        <v>1985</v>
      </c>
      <c r="AG44" s="3" t="s">
        <v>2367</v>
      </c>
      <c r="AH44" s="3" t="s">
        <v>2365</v>
      </c>
      <c r="AI44" s="3" t="s">
        <v>2366</v>
      </c>
      <c r="AJ44" s="3">
        <v>3217114410850000</v>
      </c>
      <c r="AK44" s="3"/>
      <c r="AL44" s="3"/>
      <c r="AM44" s="3" t="s">
        <v>2367</v>
      </c>
      <c r="AN44" s="3"/>
      <c r="AO44" s="3"/>
      <c r="AP44" s="3"/>
      <c r="AQ44" s="3" t="s">
        <v>5149</v>
      </c>
      <c r="AR44" s="3"/>
      <c r="AS44" s="3"/>
      <c r="AT44" s="3" t="s">
        <v>2359</v>
      </c>
      <c r="AU44" s="3"/>
      <c r="AV44" s="3">
        <v>0</v>
      </c>
      <c r="AW44" s="3"/>
      <c r="AX44" s="3"/>
      <c r="AY44" s="3"/>
      <c r="AZ44" s="3"/>
      <c r="BA44" s="3"/>
      <c r="BB44" s="3" t="s">
        <v>2369</v>
      </c>
      <c r="BC44" s="3" t="s">
        <v>2370</v>
      </c>
      <c r="BD44" s="3" t="s">
        <v>2371</v>
      </c>
      <c r="BE44" s="3" t="s">
        <v>2691</v>
      </c>
      <c r="BF44" s="3">
        <v>1</v>
      </c>
      <c r="BG44" s="3">
        <v>-6.9743000000000004</v>
      </c>
      <c r="BH44" s="3">
        <v>107.43559999999999</v>
      </c>
      <c r="BI44" s="3"/>
      <c r="BJ44" s="3">
        <v>28</v>
      </c>
      <c r="BK44" s="3">
        <v>129</v>
      </c>
      <c r="BL44" s="3">
        <v>43</v>
      </c>
      <c r="BM44" s="3">
        <v>3</v>
      </c>
      <c r="BN44" s="3">
        <v>1</v>
      </c>
    </row>
    <row r="45" spans="1:66" s="219" customFormat="1" hidden="1" x14ac:dyDescent="0.3">
      <c r="A45" s="54">
        <v>39</v>
      </c>
      <c r="B45" s="54" t="s">
        <v>1765</v>
      </c>
      <c r="C45" s="54" t="s">
        <v>2255</v>
      </c>
      <c r="D45" s="54" t="s">
        <v>53</v>
      </c>
      <c r="E45" s="54">
        <v>99313142</v>
      </c>
      <c r="F45" s="54" t="s">
        <v>2377</v>
      </c>
      <c r="G45" s="108">
        <v>40159</v>
      </c>
      <c r="H45" s="54">
        <v>3217125212090000</v>
      </c>
      <c r="I45" s="54" t="s">
        <v>2353</v>
      </c>
      <c r="J45" s="54" t="s">
        <v>2354</v>
      </c>
      <c r="K45" s="54">
        <v>3</v>
      </c>
      <c r="L45" s="54">
        <v>4</v>
      </c>
      <c r="M45" s="54"/>
      <c r="N45" s="54" t="s">
        <v>3013</v>
      </c>
      <c r="O45" s="54" t="s">
        <v>2356</v>
      </c>
      <c r="P45" s="54">
        <v>40564</v>
      </c>
      <c r="Q45" s="54" t="s">
        <v>2357</v>
      </c>
      <c r="R45" s="54" t="s">
        <v>2358</v>
      </c>
      <c r="S45" s="54"/>
      <c r="T45" s="54">
        <v>83150208337</v>
      </c>
      <c r="U45" s="54"/>
      <c r="V45" s="54"/>
      <c r="W45" s="54" t="s">
        <v>2359</v>
      </c>
      <c r="X45" s="54"/>
      <c r="Y45" s="54" t="s">
        <v>3014</v>
      </c>
      <c r="Z45" s="54">
        <v>1981</v>
      </c>
      <c r="AA45" s="54" t="s">
        <v>2402</v>
      </c>
      <c r="AB45" s="54" t="s">
        <v>2362</v>
      </c>
      <c r="AC45" s="54" t="s">
        <v>2363</v>
      </c>
      <c r="AD45" s="54">
        <v>3217120506810030</v>
      </c>
      <c r="AE45" s="54" t="s">
        <v>2922</v>
      </c>
      <c r="AF45" s="54">
        <v>1984</v>
      </c>
      <c r="AG45" s="54" t="s">
        <v>2361</v>
      </c>
      <c r="AH45" s="54" t="s">
        <v>2365</v>
      </c>
      <c r="AI45" s="54" t="s">
        <v>2366</v>
      </c>
      <c r="AJ45" s="54">
        <v>3217124407840010</v>
      </c>
      <c r="AK45" s="54"/>
      <c r="AL45" s="54"/>
      <c r="AM45" s="54" t="s">
        <v>2367</v>
      </c>
      <c r="AN45" s="54"/>
      <c r="AO45" s="54"/>
      <c r="AP45" s="54"/>
      <c r="AQ45" s="54" t="s">
        <v>8182</v>
      </c>
      <c r="AR45" s="54"/>
      <c r="AS45" s="54"/>
      <c r="AT45" s="54" t="s">
        <v>2359</v>
      </c>
      <c r="AU45" s="54"/>
      <c r="AV45" s="54">
        <v>0</v>
      </c>
      <c r="AW45" s="54" t="s">
        <v>3015</v>
      </c>
      <c r="AX45" s="54"/>
      <c r="AY45" s="54"/>
      <c r="AZ45" s="54"/>
      <c r="BA45" s="54"/>
      <c r="BB45" s="54" t="s">
        <v>2369</v>
      </c>
      <c r="BC45" s="54" t="s">
        <v>2443</v>
      </c>
      <c r="BD45" s="54" t="s">
        <v>2371</v>
      </c>
      <c r="BE45" s="54" t="s">
        <v>2372</v>
      </c>
      <c r="BF45" s="54">
        <v>1</v>
      </c>
      <c r="BG45" s="54">
        <v>-6.9676999999999998</v>
      </c>
      <c r="BH45" s="54">
        <v>107.4117</v>
      </c>
      <c r="BI45" s="54"/>
      <c r="BJ45" s="54">
        <v>45</v>
      </c>
      <c r="BK45" s="54">
        <v>137</v>
      </c>
      <c r="BL45" s="54">
        <v>0</v>
      </c>
      <c r="BM45" s="54">
        <v>0</v>
      </c>
      <c r="BN45" s="54">
        <v>0</v>
      </c>
    </row>
    <row r="46" spans="1:66" s="219" customFormat="1" hidden="1" x14ac:dyDescent="0.3">
      <c r="A46" s="54">
        <v>40</v>
      </c>
      <c r="B46" s="54" t="s">
        <v>2059</v>
      </c>
      <c r="C46" s="54" t="s">
        <v>2100</v>
      </c>
      <c r="D46" s="54" t="s">
        <v>53</v>
      </c>
      <c r="E46" s="54">
        <v>101000889</v>
      </c>
      <c r="F46" s="54" t="s">
        <v>2377</v>
      </c>
      <c r="G46" s="108">
        <v>40254</v>
      </c>
      <c r="H46" s="54">
        <v>3217125703100000</v>
      </c>
      <c r="I46" s="54" t="s">
        <v>2353</v>
      </c>
      <c r="J46" s="54" t="s">
        <v>2397</v>
      </c>
      <c r="K46" s="54">
        <v>1</v>
      </c>
      <c r="L46" s="54">
        <v>7</v>
      </c>
      <c r="M46" s="54" t="s">
        <v>2398</v>
      </c>
      <c r="N46" s="54" t="s">
        <v>2399</v>
      </c>
      <c r="O46" s="54" t="s">
        <v>2356</v>
      </c>
      <c r="P46" s="54">
        <v>40564</v>
      </c>
      <c r="Q46" s="54" t="s">
        <v>2357</v>
      </c>
      <c r="R46" s="54" t="s">
        <v>2400</v>
      </c>
      <c r="S46" s="54"/>
      <c r="T46" s="54">
        <v>83820466374</v>
      </c>
      <c r="U46" s="54"/>
      <c r="V46" s="54"/>
      <c r="W46" s="54" t="s">
        <v>2359</v>
      </c>
      <c r="X46" s="54"/>
      <c r="Y46" s="54" t="s">
        <v>2401</v>
      </c>
      <c r="Z46" s="54">
        <v>1985</v>
      </c>
      <c r="AA46" s="54" t="s">
        <v>2402</v>
      </c>
      <c r="AB46" s="54" t="s">
        <v>2362</v>
      </c>
      <c r="AC46" s="54" t="s">
        <v>2403</v>
      </c>
      <c r="AD46" s="54">
        <v>3217120307850010</v>
      </c>
      <c r="AE46" s="54" t="s">
        <v>2404</v>
      </c>
      <c r="AF46" s="54">
        <v>1981</v>
      </c>
      <c r="AG46" s="54" t="s">
        <v>2390</v>
      </c>
      <c r="AH46" s="54" t="s">
        <v>2365</v>
      </c>
      <c r="AI46" s="54" t="s">
        <v>2366</v>
      </c>
      <c r="AJ46" s="54">
        <v>3217124106810020</v>
      </c>
      <c r="AK46" s="54"/>
      <c r="AL46" s="54"/>
      <c r="AM46" s="54" t="s">
        <v>2367</v>
      </c>
      <c r="AN46" s="54"/>
      <c r="AO46" s="54"/>
      <c r="AP46" s="54"/>
      <c r="AQ46" s="54" t="s">
        <v>8177</v>
      </c>
      <c r="AR46" s="54"/>
      <c r="AS46" s="54"/>
      <c r="AT46" s="54" t="s">
        <v>2359</v>
      </c>
      <c r="AU46" s="54"/>
      <c r="AV46" s="54">
        <v>0</v>
      </c>
      <c r="AW46" s="54"/>
      <c r="AX46" s="54" t="s">
        <v>2405</v>
      </c>
      <c r="AY46" s="54"/>
      <c r="AZ46" s="54"/>
      <c r="BA46" s="54"/>
      <c r="BB46" s="54" t="s">
        <v>2369</v>
      </c>
      <c r="BC46" s="54" t="s">
        <v>2370</v>
      </c>
      <c r="BD46" s="54" t="s">
        <v>2371</v>
      </c>
      <c r="BE46" s="54" t="s">
        <v>2406</v>
      </c>
      <c r="BF46" s="54">
        <v>1</v>
      </c>
      <c r="BG46" s="54">
        <v>-6.9509224410000003</v>
      </c>
      <c r="BH46" s="54">
        <v>107.3819804</v>
      </c>
      <c r="BI46" s="54"/>
      <c r="BJ46" s="54">
        <v>51</v>
      </c>
      <c r="BK46" s="54">
        <v>138</v>
      </c>
      <c r="BL46" s="54">
        <v>0</v>
      </c>
      <c r="BM46" s="54">
        <v>0</v>
      </c>
      <c r="BN46" s="54">
        <v>0</v>
      </c>
    </row>
    <row r="47" spans="1:66" hidden="1" x14ac:dyDescent="0.3">
      <c r="A47" s="3">
        <v>41</v>
      </c>
      <c r="B47" s="3" t="s">
        <v>4512</v>
      </c>
      <c r="C47" s="3" t="s">
        <v>4263</v>
      </c>
      <c r="D47" s="3" t="s">
        <v>52</v>
      </c>
      <c r="E47" s="3">
        <v>101081014</v>
      </c>
      <c r="F47" s="3" t="s">
        <v>2373</v>
      </c>
      <c r="G47" s="157">
        <v>40288</v>
      </c>
      <c r="H47" s="3">
        <v>3217122004100000</v>
      </c>
      <c r="I47" s="3" t="s">
        <v>2353</v>
      </c>
      <c r="J47" s="3" t="s">
        <v>2699</v>
      </c>
      <c r="K47" s="3">
        <v>2</v>
      </c>
      <c r="L47" s="3">
        <v>10</v>
      </c>
      <c r="M47" s="3"/>
      <c r="N47" s="3" t="s">
        <v>2395</v>
      </c>
      <c r="O47" s="3" t="s">
        <v>2356</v>
      </c>
      <c r="P47" s="3">
        <v>40553</v>
      </c>
      <c r="Q47" s="3" t="s">
        <v>2357</v>
      </c>
      <c r="R47" s="3" t="s">
        <v>2358</v>
      </c>
      <c r="S47" s="3"/>
      <c r="T47" s="3">
        <v>81915191538</v>
      </c>
      <c r="U47" s="3"/>
      <c r="V47" s="3"/>
      <c r="W47" s="3" t="s">
        <v>2359</v>
      </c>
      <c r="X47" s="3"/>
      <c r="Y47" s="3" t="s">
        <v>4513</v>
      </c>
      <c r="Z47" s="3">
        <v>1978</v>
      </c>
      <c r="AA47" s="3" t="s">
        <v>2402</v>
      </c>
      <c r="AB47" s="3" t="s">
        <v>2362</v>
      </c>
      <c r="AC47" s="3" t="s">
        <v>2363</v>
      </c>
      <c r="AD47" s="3">
        <v>3217120506780020</v>
      </c>
      <c r="AE47" s="3" t="s">
        <v>4514</v>
      </c>
      <c r="AF47" s="3">
        <v>1982</v>
      </c>
      <c r="AG47" s="3" t="s">
        <v>2361</v>
      </c>
      <c r="AH47" s="3" t="s">
        <v>2365</v>
      </c>
      <c r="AI47" s="3" t="s">
        <v>2366</v>
      </c>
      <c r="AJ47" s="3">
        <v>3217124803820010</v>
      </c>
      <c r="AK47" s="3"/>
      <c r="AL47" s="3"/>
      <c r="AM47" s="3" t="s">
        <v>2367</v>
      </c>
      <c r="AN47" s="3"/>
      <c r="AO47" s="3"/>
      <c r="AP47" s="3"/>
      <c r="AQ47" s="3" t="s">
        <v>5149</v>
      </c>
      <c r="AR47" s="3"/>
      <c r="AS47" s="3"/>
      <c r="AT47" s="3" t="s">
        <v>2359</v>
      </c>
      <c r="AU47" s="3"/>
      <c r="AV47" s="3">
        <v>0</v>
      </c>
      <c r="AW47" s="3"/>
      <c r="AX47" s="3" t="s">
        <v>4046</v>
      </c>
      <c r="AY47" s="3"/>
      <c r="AZ47" s="3"/>
      <c r="BA47" s="3"/>
      <c r="BB47" s="3" t="s">
        <v>2369</v>
      </c>
      <c r="BC47" s="3" t="s">
        <v>2370</v>
      </c>
      <c r="BD47" s="3" t="s">
        <v>2371</v>
      </c>
      <c r="BE47" s="3" t="s">
        <v>2553</v>
      </c>
      <c r="BF47" s="3">
        <v>2</v>
      </c>
      <c r="BG47" s="3">
        <v>-7.0068000000000001</v>
      </c>
      <c r="BH47" s="3">
        <v>107.2349</v>
      </c>
      <c r="BI47" s="3">
        <v>3217121005080020</v>
      </c>
      <c r="BJ47" s="3">
        <v>55</v>
      </c>
      <c r="BK47" s="3">
        <v>148</v>
      </c>
      <c r="BL47" s="3">
        <v>62</v>
      </c>
      <c r="BM47" s="3">
        <v>1</v>
      </c>
      <c r="BN47" s="3">
        <v>2</v>
      </c>
    </row>
    <row r="48" spans="1:66" s="219" customFormat="1" hidden="1" x14ac:dyDescent="0.3">
      <c r="A48" s="54">
        <v>42</v>
      </c>
      <c r="B48" s="54" t="s">
        <v>1893</v>
      </c>
      <c r="C48" s="54" t="s">
        <v>1576</v>
      </c>
      <c r="D48" s="54" t="s">
        <v>53</v>
      </c>
      <c r="E48" s="54">
        <v>94827851</v>
      </c>
      <c r="F48" s="54" t="s">
        <v>2377</v>
      </c>
      <c r="G48" s="108">
        <v>39863</v>
      </c>
      <c r="H48" s="54">
        <v>3217115902090000</v>
      </c>
      <c r="I48" s="54" t="s">
        <v>2353</v>
      </c>
      <c r="J48" s="54" t="s">
        <v>2663</v>
      </c>
      <c r="K48" s="54">
        <v>3</v>
      </c>
      <c r="L48" s="54">
        <v>1</v>
      </c>
      <c r="M48" s="54" t="s">
        <v>2664</v>
      </c>
      <c r="N48" s="54" t="s">
        <v>2409</v>
      </c>
      <c r="O48" s="54" t="s">
        <v>2356</v>
      </c>
      <c r="P48" s="54">
        <v>40562</v>
      </c>
      <c r="Q48" s="54" t="s">
        <v>2357</v>
      </c>
      <c r="R48" s="54" t="s">
        <v>2358</v>
      </c>
      <c r="S48" s="54"/>
      <c r="T48" s="54">
        <v>83822690584</v>
      </c>
      <c r="U48" s="54"/>
      <c r="V48" s="54"/>
      <c r="W48" s="54" t="s">
        <v>2369</v>
      </c>
      <c r="X48" s="54">
        <v>122000105874099</v>
      </c>
      <c r="Y48" s="54" t="s">
        <v>2509</v>
      </c>
      <c r="Z48" s="54">
        <v>1978</v>
      </c>
      <c r="AA48" s="54" t="s">
        <v>2361</v>
      </c>
      <c r="AB48" s="54" t="s">
        <v>2362</v>
      </c>
      <c r="AC48" s="54" t="s">
        <v>2403</v>
      </c>
      <c r="AD48" s="54">
        <v>3217111209780000</v>
      </c>
      <c r="AE48" s="54" t="s">
        <v>3676</v>
      </c>
      <c r="AF48" s="54">
        <v>1983</v>
      </c>
      <c r="AG48" s="54" t="s">
        <v>2361</v>
      </c>
      <c r="AH48" s="54" t="s">
        <v>2365</v>
      </c>
      <c r="AI48" s="54" t="s">
        <v>2366</v>
      </c>
      <c r="AJ48" s="54">
        <v>3217115702830000</v>
      </c>
      <c r="AK48" s="54"/>
      <c r="AL48" s="54"/>
      <c r="AM48" s="54" t="s">
        <v>2367</v>
      </c>
      <c r="AN48" s="54"/>
      <c r="AO48" s="54"/>
      <c r="AP48" s="54"/>
      <c r="AQ48" s="54" t="s">
        <v>5147</v>
      </c>
      <c r="AR48" s="54"/>
      <c r="AS48" s="54"/>
      <c r="AT48" s="54" t="s">
        <v>2359</v>
      </c>
      <c r="AU48" s="54"/>
      <c r="AV48" s="54">
        <v>0</v>
      </c>
      <c r="AW48" s="54" t="s">
        <v>3677</v>
      </c>
      <c r="AX48" s="54" t="s">
        <v>3678</v>
      </c>
      <c r="AY48" s="54"/>
      <c r="AZ48" s="54"/>
      <c r="BA48" s="54"/>
      <c r="BB48" s="54" t="s">
        <v>2369</v>
      </c>
      <c r="BC48" s="54" t="s">
        <v>2443</v>
      </c>
      <c r="BD48" s="54" t="s">
        <v>2371</v>
      </c>
      <c r="BE48" s="54"/>
      <c r="BF48" s="54">
        <v>2</v>
      </c>
      <c r="BG48" s="54">
        <v>-6.9546999999999999</v>
      </c>
      <c r="BH48" s="54">
        <v>107.39</v>
      </c>
      <c r="BI48" s="54"/>
      <c r="BJ48" s="54">
        <v>26</v>
      </c>
      <c r="BK48" s="54">
        <v>124</v>
      </c>
      <c r="BL48" s="54">
        <v>58</v>
      </c>
      <c r="BM48" s="54">
        <v>1</v>
      </c>
      <c r="BN48" s="54">
        <v>2</v>
      </c>
    </row>
    <row r="49" spans="1:66" s="219" customFormat="1" hidden="1" x14ac:dyDescent="0.3">
      <c r="A49" s="54">
        <v>43</v>
      </c>
      <c r="B49" s="54" t="s">
        <v>1864</v>
      </c>
      <c r="C49" s="54" t="s">
        <v>1520</v>
      </c>
      <c r="D49" s="54" t="s">
        <v>53</v>
      </c>
      <c r="E49" s="54">
        <v>3094437312</v>
      </c>
      <c r="F49" s="54" t="s">
        <v>2373</v>
      </c>
      <c r="G49" s="108">
        <v>39972</v>
      </c>
      <c r="H49" s="54">
        <v>3217114806090000</v>
      </c>
      <c r="I49" s="54" t="s">
        <v>2353</v>
      </c>
      <c r="J49" s="54" t="s">
        <v>3301</v>
      </c>
      <c r="K49" s="54">
        <v>3</v>
      </c>
      <c r="L49" s="54">
        <v>5</v>
      </c>
      <c r="M49" s="54"/>
      <c r="N49" s="54" t="s">
        <v>2617</v>
      </c>
      <c r="O49" s="54" t="s">
        <v>2426</v>
      </c>
      <c r="P49" s="54">
        <v>40562</v>
      </c>
      <c r="Q49" s="54" t="s">
        <v>2357</v>
      </c>
      <c r="R49" s="54" t="s">
        <v>2358</v>
      </c>
      <c r="S49" s="54"/>
      <c r="T49" s="54">
        <v>83822466733</v>
      </c>
      <c r="U49" s="54"/>
      <c r="V49" s="54"/>
      <c r="W49" s="54" t="s">
        <v>2359</v>
      </c>
      <c r="X49" s="54"/>
      <c r="Y49" s="54"/>
      <c r="Z49" s="54">
        <v>1983</v>
      </c>
      <c r="AA49" s="54" t="s">
        <v>2390</v>
      </c>
      <c r="AB49" s="54" t="s">
        <v>2362</v>
      </c>
      <c r="AC49" s="54" t="s">
        <v>2375</v>
      </c>
      <c r="AD49" s="54"/>
      <c r="AE49" s="54" t="s">
        <v>3571</v>
      </c>
      <c r="AF49" s="54">
        <v>1987</v>
      </c>
      <c r="AG49" s="54" t="s">
        <v>2361</v>
      </c>
      <c r="AH49" s="54" t="s">
        <v>2365</v>
      </c>
      <c r="AI49" s="54" t="s">
        <v>2366</v>
      </c>
      <c r="AJ49" s="54"/>
      <c r="AK49" s="54"/>
      <c r="AL49" s="54"/>
      <c r="AM49" s="54"/>
      <c r="AN49" s="54"/>
      <c r="AO49" s="54"/>
      <c r="AP49" s="54"/>
      <c r="AQ49" s="54" t="s">
        <v>5147</v>
      </c>
      <c r="AR49" s="54" t="s">
        <v>4515</v>
      </c>
      <c r="AS49" s="54" t="s">
        <v>3572</v>
      </c>
      <c r="AT49" s="54" t="s">
        <v>2359</v>
      </c>
      <c r="AU49" s="54"/>
      <c r="AV49" s="54">
        <v>0</v>
      </c>
      <c r="AW49" s="54"/>
      <c r="AX49" s="54"/>
      <c r="AY49" s="54"/>
      <c r="AZ49" s="54"/>
      <c r="BA49" s="54"/>
      <c r="BB49" s="54" t="s">
        <v>2369</v>
      </c>
      <c r="BC49" s="54" t="s">
        <v>2370</v>
      </c>
      <c r="BD49" s="54" t="s">
        <v>2371</v>
      </c>
      <c r="BE49" s="54" t="s">
        <v>3573</v>
      </c>
      <c r="BF49" s="54">
        <v>1</v>
      </c>
      <c r="BG49" s="54">
        <v>-6.9625000000000004</v>
      </c>
      <c r="BH49" s="54">
        <v>107.4346</v>
      </c>
      <c r="BI49" s="54"/>
      <c r="BJ49" s="54">
        <v>39</v>
      </c>
      <c r="BK49" s="54">
        <v>143</v>
      </c>
      <c r="BL49" s="54">
        <v>55</v>
      </c>
      <c r="BM49" s="54">
        <v>1</v>
      </c>
      <c r="BN49" s="54">
        <v>2</v>
      </c>
    </row>
    <row r="50" spans="1:66" s="219" customFormat="1" hidden="1" x14ac:dyDescent="0.3">
      <c r="A50" s="54">
        <v>44</v>
      </c>
      <c r="B50" s="54" t="s">
        <v>1842</v>
      </c>
      <c r="C50" s="54" t="s">
        <v>1490</v>
      </c>
      <c r="D50" s="54" t="s">
        <v>53</v>
      </c>
      <c r="E50" s="54">
        <v>3085018102</v>
      </c>
      <c r="F50" s="54" t="s">
        <v>2373</v>
      </c>
      <c r="G50" s="108">
        <v>39790</v>
      </c>
      <c r="H50" s="54">
        <v>3217124812080000</v>
      </c>
      <c r="I50" s="54" t="s">
        <v>2353</v>
      </c>
      <c r="J50" s="54" t="s">
        <v>3450</v>
      </c>
      <c r="K50" s="54">
        <v>2</v>
      </c>
      <c r="L50" s="54">
        <v>6</v>
      </c>
      <c r="M50" s="54"/>
      <c r="N50" s="54" t="s">
        <v>2513</v>
      </c>
      <c r="O50" s="54" t="s">
        <v>2356</v>
      </c>
      <c r="P50" s="54">
        <v>40763</v>
      </c>
      <c r="Q50" s="54" t="s">
        <v>2357</v>
      </c>
      <c r="R50" s="54" t="s">
        <v>2374</v>
      </c>
      <c r="S50" s="54"/>
      <c r="T50" s="54">
        <v>83821670843</v>
      </c>
      <c r="U50" s="54"/>
      <c r="V50" s="54"/>
      <c r="W50" s="54" t="s">
        <v>2359</v>
      </c>
      <c r="X50" s="54"/>
      <c r="Y50" s="54" t="s">
        <v>3451</v>
      </c>
      <c r="Z50" s="54">
        <v>1987</v>
      </c>
      <c r="AA50" s="54" t="s">
        <v>2390</v>
      </c>
      <c r="AB50" s="54" t="s">
        <v>2362</v>
      </c>
      <c r="AC50" s="54" t="s">
        <v>2375</v>
      </c>
      <c r="AD50" s="54">
        <v>3217120302870010</v>
      </c>
      <c r="AE50" s="54" t="s">
        <v>3452</v>
      </c>
      <c r="AF50" s="54">
        <v>1980</v>
      </c>
      <c r="AG50" s="54" t="s">
        <v>2402</v>
      </c>
      <c r="AH50" s="54" t="s">
        <v>2365</v>
      </c>
      <c r="AI50" s="54" t="s">
        <v>2366</v>
      </c>
      <c r="AJ50" s="54">
        <v>3217124204880010</v>
      </c>
      <c r="AK50" s="54"/>
      <c r="AL50" s="54"/>
      <c r="AM50" s="54"/>
      <c r="AN50" s="54"/>
      <c r="AO50" s="54"/>
      <c r="AP50" s="54"/>
      <c r="AQ50" s="54" t="s">
        <v>5147</v>
      </c>
      <c r="AR50" s="54"/>
      <c r="AS50" s="54"/>
      <c r="AT50" s="54" t="s">
        <v>2359</v>
      </c>
      <c r="AU50" s="54"/>
      <c r="AV50" s="54">
        <v>0</v>
      </c>
      <c r="AW50" s="54"/>
      <c r="AX50" s="54" t="s">
        <v>3453</v>
      </c>
      <c r="AY50" s="54"/>
      <c r="AZ50" s="54"/>
      <c r="BA50" s="54"/>
      <c r="BB50" s="54" t="s">
        <v>2359</v>
      </c>
      <c r="BC50" s="54"/>
      <c r="BD50" s="54" t="s">
        <v>2371</v>
      </c>
      <c r="BE50" s="54"/>
      <c r="BF50" s="54">
        <v>1</v>
      </c>
      <c r="BG50" s="54">
        <v>-6.9625000000000004</v>
      </c>
      <c r="BH50" s="54">
        <v>107.4346</v>
      </c>
      <c r="BI50" s="54">
        <v>3217121403080020</v>
      </c>
      <c r="BJ50" s="54">
        <v>43</v>
      </c>
      <c r="BK50" s="54">
        <v>143</v>
      </c>
      <c r="BL50" s="54">
        <v>59</v>
      </c>
      <c r="BM50" s="54">
        <v>3</v>
      </c>
      <c r="BN50" s="54">
        <v>2</v>
      </c>
    </row>
    <row r="51" spans="1:66" s="219" customFormat="1" hidden="1" x14ac:dyDescent="0.3">
      <c r="A51" s="54">
        <v>45</v>
      </c>
      <c r="B51" s="54" t="s">
        <v>1789</v>
      </c>
      <c r="C51" s="54" t="s">
        <v>1425</v>
      </c>
      <c r="D51" s="54" t="s">
        <v>53</v>
      </c>
      <c r="E51" s="54">
        <v>3084117448</v>
      </c>
      <c r="F51" s="54" t="s">
        <v>2446</v>
      </c>
      <c r="G51" s="108">
        <v>39692</v>
      </c>
      <c r="H51" s="54">
        <v>89699484</v>
      </c>
      <c r="I51" s="54" t="s">
        <v>2353</v>
      </c>
      <c r="J51" s="54" t="s">
        <v>3229</v>
      </c>
      <c r="K51" s="54">
        <v>2</v>
      </c>
      <c r="L51" s="54"/>
      <c r="M51" s="54"/>
      <c r="N51" s="54" t="s">
        <v>2425</v>
      </c>
      <c r="O51" s="54" t="s">
        <v>2426</v>
      </c>
      <c r="P51" s="54">
        <v>40562</v>
      </c>
      <c r="Q51" s="54" t="s">
        <v>2357</v>
      </c>
      <c r="R51" s="54" t="s">
        <v>2358</v>
      </c>
      <c r="S51" s="54"/>
      <c r="T51" s="54">
        <v>3217115503850020</v>
      </c>
      <c r="U51" s="54"/>
      <c r="V51" s="54"/>
      <c r="W51" s="54" t="s">
        <v>2359</v>
      </c>
      <c r="X51" s="54"/>
      <c r="Y51" s="54"/>
      <c r="Z51" s="54">
        <v>1982</v>
      </c>
      <c r="AA51" s="54" t="s">
        <v>2390</v>
      </c>
      <c r="AB51" s="54" t="s">
        <v>2362</v>
      </c>
      <c r="AC51" s="54" t="s">
        <v>2375</v>
      </c>
      <c r="AD51" s="54"/>
      <c r="AE51" s="54" t="s">
        <v>3230</v>
      </c>
      <c r="AF51" s="54">
        <v>1985</v>
      </c>
      <c r="AG51" s="54" t="s">
        <v>2402</v>
      </c>
      <c r="AH51" s="54" t="s">
        <v>2365</v>
      </c>
      <c r="AI51" s="54" t="s">
        <v>2366</v>
      </c>
      <c r="AJ51" s="54"/>
      <c r="AK51" s="54"/>
      <c r="AL51" s="54"/>
      <c r="AM51" s="54"/>
      <c r="AN51" s="54"/>
      <c r="AO51" s="54"/>
      <c r="AP51" s="54"/>
      <c r="AQ51" s="54" t="s">
        <v>5147</v>
      </c>
      <c r="AR51" s="54"/>
      <c r="AS51" s="54"/>
      <c r="AT51" s="54" t="s">
        <v>2359</v>
      </c>
      <c r="AU51" s="54"/>
      <c r="AV51" s="54">
        <v>0</v>
      </c>
      <c r="AW51" s="54"/>
      <c r="AX51" s="54" t="s">
        <v>3231</v>
      </c>
      <c r="AY51" s="54"/>
      <c r="AZ51" s="54"/>
      <c r="BA51" s="54"/>
      <c r="BB51" s="54" t="s">
        <v>2369</v>
      </c>
      <c r="BC51" s="54" t="s">
        <v>2370</v>
      </c>
      <c r="BD51" s="54" t="s">
        <v>2371</v>
      </c>
      <c r="BE51" s="54"/>
      <c r="BF51" s="54">
        <v>1</v>
      </c>
      <c r="BG51" s="54">
        <v>-6.9625000000000004</v>
      </c>
      <c r="BH51" s="54">
        <v>107.4346</v>
      </c>
      <c r="BI51" s="54">
        <v>3217110608090000</v>
      </c>
      <c r="BJ51" s="54">
        <v>40</v>
      </c>
      <c r="BK51" s="54">
        <v>136</v>
      </c>
      <c r="BL51" s="54">
        <v>59</v>
      </c>
      <c r="BM51" s="54">
        <v>1</v>
      </c>
      <c r="BN51" s="54">
        <v>1</v>
      </c>
    </row>
    <row r="52" spans="1:66" hidden="1" x14ac:dyDescent="0.3">
      <c r="A52" s="3">
        <v>46</v>
      </c>
      <c r="B52" s="3" t="s">
        <v>4516</v>
      </c>
      <c r="C52" s="3" t="s">
        <v>4328</v>
      </c>
      <c r="D52" s="3" t="s">
        <v>53</v>
      </c>
      <c r="E52" s="3">
        <v>3105828397</v>
      </c>
      <c r="F52" s="3" t="s">
        <v>2468</v>
      </c>
      <c r="G52" s="157">
        <v>40280</v>
      </c>
      <c r="H52" s="3">
        <v>3171055204101000</v>
      </c>
      <c r="I52" s="3" t="s">
        <v>2353</v>
      </c>
      <c r="J52" s="3" t="s">
        <v>4517</v>
      </c>
      <c r="K52" s="3">
        <v>14</v>
      </c>
      <c r="L52" s="3">
        <v>4</v>
      </c>
      <c r="M52" s="3"/>
      <c r="N52" s="3" t="s">
        <v>4518</v>
      </c>
      <c r="O52" s="3" t="s">
        <v>4519</v>
      </c>
      <c r="P52" s="3">
        <v>10562</v>
      </c>
      <c r="Q52" s="3" t="s">
        <v>2470</v>
      </c>
      <c r="R52" s="3" t="s">
        <v>2374</v>
      </c>
      <c r="S52" s="3"/>
      <c r="T52" s="3"/>
      <c r="U52" s="3"/>
      <c r="V52" s="3"/>
      <c r="W52" s="3" t="s">
        <v>2359</v>
      </c>
      <c r="X52" s="3"/>
      <c r="Y52" s="3" t="s">
        <v>4520</v>
      </c>
      <c r="Z52" s="3">
        <v>1972</v>
      </c>
      <c r="AA52" s="3" t="s">
        <v>2390</v>
      </c>
      <c r="AB52" s="3" t="s">
        <v>2493</v>
      </c>
      <c r="AC52" s="3" t="s">
        <v>2375</v>
      </c>
      <c r="AD52" s="3">
        <v>3171050808720000</v>
      </c>
      <c r="AE52" s="3" t="s">
        <v>4521</v>
      </c>
      <c r="AF52" s="3">
        <v>1985</v>
      </c>
      <c r="AG52" s="3" t="s">
        <v>2390</v>
      </c>
      <c r="AH52" s="3" t="s">
        <v>2365</v>
      </c>
      <c r="AI52" s="3" t="s">
        <v>2366</v>
      </c>
      <c r="AJ52" s="3">
        <v>3171055005850000</v>
      </c>
      <c r="AK52" s="3"/>
      <c r="AL52" s="3"/>
      <c r="AM52" s="3"/>
      <c r="AN52" s="3"/>
      <c r="AO52" s="3"/>
      <c r="AP52" s="3"/>
      <c r="AQ52" s="3" t="s">
        <v>5152</v>
      </c>
      <c r="AR52" s="3"/>
      <c r="AS52" s="3"/>
      <c r="AT52" s="3" t="s">
        <v>2359</v>
      </c>
      <c r="AU52" s="3"/>
      <c r="AV52" s="3">
        <v>1</v>
      </c>
      <c r="AW52" s="3"/>
      <c r="AX52" s="3" t="s">
        <v>4125</v>
      </c>
      <c r="AY52" s="3"/>
      <c r="AZ52" s="3"/>
      <c r="BA52" s="3"/>
      <c r="BB52" s="3" t="s">
        <v>2369</v>
      </c>
      <c r="BC52" s="3" t="s">
        <v>2370</v>
      </c>
      <c r="BD52" s="3" t="s">
        <v>2371</v>
      </c>
      <c r="BE52" s="3" t="s">
        <v>2905</v>
      </c>
      <c r="BF52" s="3">
        <v>2</v>
      </c>
      <c r="BG52" s="3">
        <v>-6.9625000000000004</v>
      </c>
      <c r="BH52" s="3">
        <v>107.4346</v>
      </c>
      <c r="BI52" s="3">
        <v>3171051301098690</v>
      </c>
      <c r="BJ52" s="3">
        <v>42</v>
      </c>
      <c r="BK52" s="3">
        <v>137</v>
      </c>
      <c r="BL52" s="3">
        <v>48</v>
      </c>
      <c r="BM52" s="3">
        <v>1</v>
      </c>
      <c r="BN52" s="3">
        <v>1</v>
      </c>
    </row>
    <row r="53" spans="1:66" s="219" customFormat="1" hidden="1" x14ac:dyDescent="0.3">
      <c r="A53" s="54">
        <v>47</v>
      </c>
      <c r="B53" s="54" t="s">
        <v>1759</v>
      </c>
      <c r="C53" s="54" t="s">
        <v>2256</v>
      </c>
      <c r="D53" s="54" t="s">
        <v>53</v>
      </c>
      <c r="E53" s="54">
        <v>99569181</v>
      </c>
      <c r="F53" s="54" t="s">
        <v>2377</v>
      </c>
      <c r="G53" s="108">
        <v>40147</v>
      </c>
      <c r="H53" s="54">
        <v>3217127011090000</v>
      </c>
      <c r="I53" s="54" t="s">
        <v>2353</v>
      </c>
      <c r="J53" s="54" t="s">
        <v>2732</v>
      </c>
      <c r="K53" s="54">
        <v>3</v>
      </c>
      <c r="L53" s="54">
        <v>1</v>
      </c>
      <c r="M53" s="54" t="s">
        <v>2733</v>
      </c>
      <c r="N53" s="54" t="s">
        <v>2399</v>
      </c>
      <c r="O53" s="54" t="s">
        <v>2356</v>
      </c>
      <c r="P53" s="54">
        <v>40564</v>
      </c>
      <c r="Q53" s="54" t="s">
        <v>2357</v>
      </c>
      <c r="R53" s="54" t="s">
        <v>2358</v>
      </c>
      <c r="S53" s="54"/>
      <c r="T53" s="54">
        <v>83842682854</v>
      </c>
      <c r="U53" s="54"/>
      <c r="V53" s="54"/>
      <c r="W53" s="54" t="s">
        <v>2369</v>
      </c>
      <c r="X53" s="54" t="s">
        <v>3016</v>
      </c>
      <c r="Y53" s="54" t="s">
        <v>3017</v>
      </c>
      <c r="Z53" s="54">
        <v>1981</v>
      </c>
      <c r="AA53" s="54" t="s">
        <v>2390</v>
      </c>
      <c r="AB53" s="54" t="s">
        <v>2362</v>
      </c>
      <c r="AC53" s="54" t="s">
        <v>2363</v>
      </c>
      <c r="AD53" s="54">
        <v>3217122712810000</v>
      </c>
      <c r="AE53" s="54" t="s">
        <v>3018</v>
      </c>
      <c r="AF53" s="54">
        <v>1985</v>
      </c>
      <c r="AG53" s="54" t="s">
        <v>2361</v>
      </c>
      <c r="AH53" s="54" t="s">
        <v>2365</v>
      </c>
      <c r="AI53" s="54" t="s">
        <v>2366</v>
      </c>
      <c r="AJ53" s="54">
        <v>3217124709850020</v>
      </c>
      <c r="AK53" s="54"/>
      <c r="AL53" s="54"/>
      <c r="AM53" s="54" t="s">
        <v>2367</v>
      </c>
      <c r="AN53" s="54"/>
      <c r="AO53" s="54"/>
      <c r="AP53" s="54"/>
      <c r="AQ53" s="54" t="s">
        <v>8182</v>
      </c>
      <c r="AR53" s="54"/>
      <c r="AS53" s="54"/>
      <c r="AT53" s="54" t="s">
        <v>2359</v>
      </c>
      <c r="AU53" s="54"/>
      <c r="AV53" s="54">
        <v>0</v>
      </c>
      <c r="AW53" s="54"/>
      <c r="AX53" s="54" t="s">
        <v>3019</v>
      </c>
      <c r="AY53" s="54"/>
      <c r="AZ53" s="54"/>
      <c r="BA53" s="54"/>
      <c r="BB53" s="54" t="s">
        <v>2369</v>
      </c>
      <c r="BC53" s="54" t="s">
        <v>2370</v>
      </c>
      <c r="BD53" s="54" t="s">
        <v>2371</v>
      </c>
      <c r="BE53" s="54" t="s">
        <v>2406</v>
      </c>
      <c r="BF53" s="54">
        <v>2</v>
      </c>
      <c r="BG53" s="54">
        <v>-6.954245223</v>
      </c>
      <c r="BH53" s="54">
        <v>107.38974810000001</v>
      </c>
      <c r="BI53" s="54"/>
      <c r="BJ53" s="54">
        <v>54</v>
      </c>
      <c r="BK53" s="54">
        <v>145</v>
      </c>
      <c r="BL53" s="54">
        <v>0</v>
      </c>
      <c r="BM53" s="54">
        <v>0</v>
      </c>
      <c r="BN53" s="54">
        <v>0</v>
      </c>
    </row>
    <row r="54" spans="1:66" s="219" customFormat="1" hidden="1" x14ac:dyDescent="0.3">
      <c r="A54" s="54">
        <v>48</v>
      </c>
      <c r="B54" s="54" t="s">
        <v>1672</v>
      </c>
      <c r="C54" s="54" t="s">
        <v>2129</v>
      </c>
      <c r="D54" s="54" t="s">
        <v>53</v>
      </c>
      <c r="E54" s="54">
        <v>3094774665</v>
      </c>
      <c r="F54" s="54" t="s">
        <v>2373</v>
      </c>
      <c r="G54" s="108">
        <v>40178</v>
      </c>
      <c r="H54" s="54">
        <v>3217117112090000</v>
      </c>
      <c r="I54" s="54" t="s">
        <v>2353</v>
      </c>
      <c r="J54" s="54" t="s">
        <v>2530</v>
      </c>
      <c r="K54" s="54">
        <v>3</v>
      </c>
      <c r="L54" s="54">
        <v>8</v>
      </c>
      <c r="M54" s="54"/>
      <c r="N54" s="54" t="s">
        <v>2425</v>
      </c>
      <c r="O54" s="54" t="s">
        <v>2426</v>
      </c>
      <c r="P54" s="54">
        <v>40562</v>
      </c>
      <c r="Q54" s="54" t="s">
        <v>2357</v>
      </c>
      <c r="R54" s="54" t="s">
        <v>2358</v>
      </c>
      <c r="S54" s="54"/>
      <c r="T54" s="54"/>
      <c r="U54" s="54"/>
      <c r="V54" s="54"/>
      <c r="W54" s="54" t="s">
        <v>2359</v>
      </c>
      <c r="X54" s="54"/>
      <c r="Y54" s="54" t="s">
        <v>4522</v>
      </c>
      <c r="Z54" s="54">
        <v>1977</v>
      </c>
      <c r="AA54" s="54" t="s">
        <v>2402</v>
      </c>
      <c r="AB54" s="54" t="s">
        <v>2362</v>
      </c>
      <c r="AC54" s="54" t="s">
        <v>2363</v>
      </c>
      <c r="AD54" s="54">
        <v>3217111140677000</v>
      </c>
      <c r="AE54" s="54" t="s">
        <v>2543</v>
      </c>
      <c r="AF54" s="54">
        <v>1981</v>
      </c>
      <c r="AG54" s="54" t="s">
        <v>2402</v>
      </c>
      <c r="AH54" s="54" t="s">
        <v>2365</v>
      </c>
      <c r="AI54" s="54" t="s">
        <v>2366</v>
      </c>
      <c r="AJ54" s="54">
        <v>3217115106810000</v>
      </c>
      <c r="AK54" s="54"/>
      <c r="AL54" s="54"/>
      <c r="AM54" s="54"/>
      <c r="AN54" s="54"/>
      <c r="AO54" s="54"/>
      <c r="AP54" s="54"/>
      <c r="AQ54" s="54" t="s">
        <v>8181</v>
      </c>
      <c r="AR54" s="54"/>
      <c r="AS54" s="54"/>
      <c r="AT54" s="54" t="s">
        <v>2359</v>
      </c>
      <c r="AU54" s="54"/>
      <c r="AV54" s="54">
        <v>1</v>
      </c>
      <c r="AW54" s="54"/>
      <c r="AX54" s="54" t="s">
        <v>4523</v>
      </c>
      <c r="AY54" s="54"/>
      <c r="AZ54" s="54"/>
      <c r="BA54" s="54"/>
      <c r="BB54" s="54" t="s">
        <v>2369</v>
      </c>
      <c r="BC54" s="54" t="s">
        <v>2370</v>
      </c>
      <c r="BD54" s="54" t="s">
        <v>2371</v>
      </c>
      <c r="BE54" s="54" t="s">
        <v>2905</v>
      </c>
      <c r="BF54" s="54">
        <v>2</v>
      </c>
      <c r="BG54" s="54">
        <v>-6.9625000000000004</v>
      </c>
      <c r="BH54" s="54">
        <v>107.4346</v>
      </c>
      <c r="BI54" s="54">
        <v>3217112102060040</v>
      </c>
      <c r="BJ54" s="54">
        <v>39</v>
      </c>
      <c r="BK54" s="54">
        <v>137</v>
      </c>
      <c r="BL54" s="54">
        <v>55</v>
      </c>
      <c r="BM54" s="54">
        <v>1</v>
      </c>
      <c r="BN54" s="54">
        <v>1</v>
      </c>
    </row>
    <row r="55" spans="1:66" hidden="1" x14ac:dyDescent="0.3">
      <c r="A55" s="3">
        <v>49</v>
      </c>
      <c r="B55" s="3" t="s">
        <v>3817</v>
      </c>
      <c r="C55" s="3" t="s">
        <v>4264</v>
      </c>
      <c r="D55" s="3" t="s">
        <v>52</v>
      </c>
      <c r="E55" s="3">
        <v>3114074104</v>
      </c>
      <c r="F55" s="3" t="s">
        <v>4169</v>
      </c>
      <c r="G55" s="157">
        <v>40809</v>
      </c>
      <c r="H55" s="3">
        <v>3201012309110010</v>
      </c>
      <c r="I55" s="3" t="s">
        <v>2353</v>
      </c>
      <c r="J55" s="3" t="s">
        <v>4524</v>
      </c>
      <c r="K55" s="3">
        <v>1</v>
      </c>
      <c r="L55" s="3">
        <v>11</v>
      </c>
      <c r="M55" s="3"/>
      <c r="N55" s="3" t="s">
        <v>4475</v>
      </c>
      <c r="O55" s="3" t="s">
        <v>2356</v>
      </c>
      <c r="P55" s="3"/>
      <c r="Q55" s="3" t="s">
        <v>2357</v>
      </c>
      <c r="R55" s="3" t="s">
        <v>2358</v>
      </c>
      <c r="S55" s="3"/>
      <c r="T55" s="3">
        <v>85776607983</v>
      </c>
      <c r="U55" s="3"/>
      <c r="V55" s="3"/>
      <c r="W55" s="3" t="s">
        <v>2359</v>
      </c>
      <c r="X55" s="3"/>
      <c r="Y55" s="3" t="s">
        <v>4170</v>
      </c>
      <c r="Z55" s="3">
        <v>1971</v>
      </c>
      <c r="AA55" s="3" t="s">
        <v>2390</v>
      </c>
      <c r="AB55" s="3" t="s">
        <v>2362</v>
      </c>
      <c r="AC55" s="3" t="s">
        <v>2363</v>
      </c>
      <c r="AD55" s="3">
        <v>3201011505710010</v>
      </c>
      <c r="AE55" s="3" t="s">
        <v>4171</v>
      </c>
      <c r="AF55" s="3">
        <v>1975</v>
      </c>
      <c r="AG55" s="3"/>
      <c r="AH55" s="3" t="s">
        <v>2365</v>
      </c>
      <c r="AI55" s="3" t="s">
        <v>2366</v>
      </c>
      <c r="AJ55" s="3">
        <v>3201016501750010</v>
      </c>
      <c r="AK55" s="3"/>
      <c r="AL55" s="3"/>
      <c r="AM55" s="3"/>
      <c r="AN55" s="3" t="s">
        <v>2365</v>
      </c>
      <c r="AO55" s="3"/>
      <c r="AP55" s="3"/>
      <c r="AQ55" s="3" t="s">
        <v>5149</v>
      </c>
      <c r="AR55" s="3"/>
      <c r="AS55" s="3"/>
      <c r="AT55" s="3" t="s">
        <v>2369</v>
      </c>
      <c r="AU55" s="3"/>
      <c r="AV55" s="3">
        <v>1</v>
      </c>
      <c r="AW55" s="3"/>
      <c r="AX55" s="3"/>
      <c r="AY55" s="3"/>
      <c r="AZ55" s="3"/>
      <c r="BA55" s="3"/>
      <c r="BB55" s="3" t="s">
        <v>2369</v>
      </c>
      <c r="BC55" s="3"/>
      <c r="BD55" s="3" t="s">
        <v>2371</v>
      </c>
      <c r="BE55" s="3" t="s">
        <v>2372</v>
      </c>
      <c r="BF55" s="3">
        <v>1</v>
      </c>
      <c r="BG55" s="3">
        <v>-6.9676999999999998</v>
      </c>
      <c r="BH55" s="3">
        <v>107.4117</v>
      </c>
      <c r="BI55" s="3">
        <v>3201010207100010</v>
      </c>
      <c r="BJ55" s="3">
        <v>42</v>
      </c>
      <c r="BK55" s="3">
        <v>138</v>
      </c>
      <c r="BL55" s="3">
        <v>56</v>
      </c>
      <c r="BM55" s="3">
        <v>1</v>
      </c>
      <c r="BN55" s="3">
        <v>3</v>
      </c>
    </row>
    <row r="56" spans="1:66" s="219" customFormat="1" hidden="1" x14ac:dyDescent="0.3">
      <c r="A56" s="54">
        <v>50</v>
      </c>
      <c r="B56" s="54" t="s">
        <v>1657</v>
      </c>
      <c r="C56" s="54" t="s">
        <v>2130</v>
      </c>
      <c r="D56" s="54" t="s">
        <v>52</v>
      </c>
      <c r="E56" s="54">
        <v>3105924915</v>
      </c>
      <c r="F56" s="54" t="s">
        <v>2373</v>
      </c>
      <c r="G56" s="108">
        <v>40416</v>
      </c>
      <c r="H56" s="54">
        <v>3217122608100000</v>
      </c>
      <c r="I56" s="54" t="s">
        <v>2353</v>
      </c>
      <c r="J56" s="54" t="s">
        <v>2544</v>
      </c>
      <c r="K56" s="54">
        <v>1</v>
      </c>
      <c r="L56" s="54">
        <v>8</v>
      </c>
      <c r="M56" s="54"/>
      <c r="N56" s="54" t="s">
        <v>2395</v>
      </c>
      <c r="O56" s="54" t="s">
        <v>2356</v>
      </c>
      <c r="P56" s="54"/>
      <c r="Q56" s="54" t="s">
        <v>2357</v>
      </c>
      <c r="R56" s="54" t="s">
        <v>2358</v>
      </c>
      <c r="S56" s="54"/>
      <c r="T56" s="54"/>
      <c r="U56" s="54"/>
      <c r="V56" s="54"/>
      <c r="W56" s="54" t="s">
        <v>2359</v>
      </c>
      <c r="X56" s="54"/>
      <c r="Y56" s="54"/>
      <c r="Z56" s="54">
        <v>0</v>
      </c>
      <c r="AA56" s="54"/>
      <c r="AB56" s="54" t="s">
        <v>2362</v>
      </c>
      <c r="AC56" s="54" t="s">
        <v>2363</v>
      </c>
      <c r="AD56" s="54"/>
      <c r="AE56" s="54" t="s">
        <v>2545</v>
      </c>
      <c r="AF56" s="54">
        <v>0</v>
      </c>
      <c r="AG56" s="54"/>
      <c r="AH56" s="54" t="s">
        <v>2365</v>
      </c>
      <c r="AI56" s="54" t="s">
        <v>2366</v>
      </c>
      <c r="AJ56" s="54"/>
      <c r="AK56" s="54"/>
      <c r="AL56" s="54"/>
      <c r="AM56" s="54"/>
      <c r="AN56" s="54"/>
      <c r="AO56" s="54"/>
      <c r="AP56" s="54"/>
      <c r="AQ56" s="54" t="s">
        <v>8181</v>
      </c>
      <c r="AR56" s="54"/>
      <c r="AS56" s="54"/>
      <c r="AT56" s="54" t="s">
        <v>2359</v>
      </c>
      <c r="AU56" s="54"/>
      <c r="AV56" s="54">
        <v>1</v>
      </c>
      <c r="AW56" s="54"/>
      <c r="AX56" s="54"/>
      <c r="AY56" s="54"/>
      <c r="AZ56" s="54"/>
      <c r="BA56" s="54"/>
      <c r="BB56" s="54" t="s">
        <v>2369</v>
      </c>
      <c r="BC56" s="54" t="s">
        <v>2370</v>
      </c>
      <c r="BD56" s="54" t="s">
        <v>2371</v>
      </c>
      <c r="BE56" s="54" t="s">
        <v>2376</v>
      </c>
      <c r="BF56" s="54">
        <v>19</v>
      </c>
      <c r="BG56" s="54">
        <v>-6.9625000000000004</v>
      </c>
      <c r="BH56" s="54">
        <v>107.4346</v>
      </c>
      <c r="BI56" s="54"/>
      <c r="BJ56" s="54">
        <v>40</v>
      </c>
      <c r="BK56" s="54">
        <v>142</v>
      </c>
      <c r="BL56" s="54">
        <v>55</v>
      </c>
      <c r="BM56" s="54">
        <v>1</v>
      </c>
      <c r="BN56" s="54">
        <v>2</v>
      </c>
    </row>
    <row r="57" spans="1:66" hidden="1" x14ac:dyDescent="0.3">
      <c r="A57" s="3">
        <v>51</v>
      </c>
      <c r="B57" s="3" t="s">
        <v>4525</v>
      </c>
      <c r="C57" s="3" t="s">
        <v>4230</v>
      </c>
      <c r="D57" s="3" t="s">
        <v>53</v>
      </c>
      <c r="E57" s="3">
        <v>106849425</v>
      </c>
      <c r="F57" s="3" t="s">
        <v>2446</v>
      </c>
      <c r="G57" s="157">
        <v>40531</v>
      </c>
      <c r="H57" s="3">
        <v>3217125912100000</v>
      </c>
      <c r="I57" s="3" t="s">
        <v>2353</v>
      </c>
      <c r="J57" s="3" t="s">
        <v>4526</v>
      </c>
      <c r="K57" s="3">
        <v>2</v>
      </c>
      <c r="L57" s="3">
        <v>2</v>
      </c>
      <c r="M57" s="3">
        <v>2</v>
      </c>
      <c r="N57" s="3" t="s">
        <v>4527</v>
      </c>
      <c r="O57" s="3" t="s">
        <v>2356</v>
      </c>
      <c r="P57" s="3">
        <v>40564</v>
      </c>
      <c r="Q57" s="3" t="s">
        <v>2357</v>
      </c>
      <c r="R57" s="3" t="s">
        <v>2358</v>
      </c>
      <c r="S57" s="3"/>
      <c r="T57" s="3">
        <v>85864860748</v>
      </c>
      <c r="U57" s="3"/>
      <c r="V57" s="3"/>
      <c r="W57" s="3" t="s">
        <v>2369</v>
      </c>
      <c r="X57" s="3">
        <v>122000110523413</v>
      </c>
      <c r="Y57" s="3" t="s">
        <v>4528</v>
      </c>
      <c r="Z57" s="3">
        <v>1968</v>
      </c>
      <c r="AA57" s="3" t="s">
        <v>2361</v>
      </c>
      <c r="AB57" s="3" t="s">
        <v>2362</v>
      </c>
      <c r="AC57" s="3" t="s">
        <v>2403</v>
      </c>
      <c r="AD57" s="3">
        <v>3217121202680010</v>
      </c>
      <c r="AE57" s="3" t="s">
        <v>4529</v>
      </c>
      <c r="AF57" s="3">
        <v>1984</v>
      </c>
      <c r="AG57" s="3" t="s">
        <v>2361</v>
      </c>
      <c r="AH57" s="3" t="s">
        <v>2365</v>
      </c>
      <c r="AI57" s="3" t="s">
        <v>2366</v>
      </c>
      <c r="AJ57" s="3">
        <v>3217125109840000</v>
      </c>
      <c r="AK57" s="3"/>
      <c r="AL57" s="3"/>
      <c r="AM57" s="3" t="s">
        <v>2367</v>
      </c>
      <c r="AN57" s="3"/>
      <c r="AO57" s="3"/>
      <c r="AP57" s="3"/>
      <c r="AQ57" s="3" t="s">
        <v>5146</v>
      </c>
      <c r="AR57" s="3"/>
      <c r="AS57" s="3"/>
      <c r="AT57" s="3" t="s">
        <v>2359</v>
      </c>
      <c r="AU57" s="3"/>
      <c r="AV57" s="3">
        <v>0</v>
      </c>
      <c r="AW57" s="3"/>
      <c r="AX57" s="3" t="s">
        <v>4530</v>
      </c>
      <c r="AY57" s="3"/>
      <c r="AZ57" s="3"/>
      <c r="BA57" s="3"/>
      <c r="BB57" s="3" t="s">
        <v>2369</v>
      </c>
      <c r="BC57" s="3" t="s">
        <v>2443</v>
      </c>
      <c r="BD57" s="3" t="s">
        <v>2371</v>
      </c>
      <c r="BE57" s="3" t="s">
        <v>2880</v>
      </c>
      <c r="BF57" s="3">
        <v>3</v>
      </c>
      <c r="BG57" s="3">
        <v>-6.9522430369999997</v>
      </c>
      <c r="BH57" s="3">
        <v>107.39101410000001</v>
      </c>
      <c r="BI57" s="3"/>
      <c r="BJ57" s="3">
        <v>44</v>
      </c>
      <c r="BK57" s="3">
        <v>139</v>
      </c>
      <c r="BL57" s="3">
        <v>57</v>
      </c>
      <c r="BM57" s="3">
        <v>1</v>
      </c>
      <c r="BN57" s="3">
        <v>3</v>
      </c>
    </row>
    <row r="58" spans="1:66" s="219" customFormat="1" hidden="1" x14ac:dyDescent="0.3">
      <c r="A58" s="54">
        <v>52</v>
      </c>
      <c r="B58" s="54" t="s">
        <v>1386</v>
      </c>
      <c r="C58" s="54" t="s">
        <v>1577</v>
      </c>
      <c r="D58" s="54" t="s">
        <v>52</v>
      </c>
      <c r="E58" s="54">
        <v>95219582</v>
      </c>
      <c r="F58" s="54" t="s">
        <v>2373</v>
      </c>
      <c r="G58" s="108">
        <v>40003</v>
      </c>
      <c r="H58" s="54">
        <v>3217110907090000</v>
      </c>
      <c r="I58" s="54" t="s">
        <v>2353</v>
      </c>
      <c r="J58" s="54" t="s">
        <v>3165</v>
      </c>
      <c r="K58" s="54">
        <v>3</v>
      </c>
      <c r="L58" s="54">
        <v>9</v>
      </c>
      <c r="M58" s="54"/>
      <c r="N58" s="54" t="s">
        <v>2425</v>
      </c>
      <c r="O58" s="54" t="s">
        <v>2426</v>
      </c>
      <c r="P58" s="54">
        <v>40562</v>
      </c>
      <c r="Q58" s="54" t="s">
        <v>2357</v>
      </c>
      <c r="R58" s="54" t="s">
        <v>2358</v>
      </c>
      <c r="S58" s="54"/>
      <c r="T58" s="54"/>
      <c r="U58" s="54"/>
      <c r="V58" s="54"/>
      <c r="W58" s="54" t="s">
        <v>2359</v>
      </c>
      <c r="X58" s="54">
        <v>122000105842266</v>
      </c>
      <c r="Y58" s="54" t="s">
        <v>3335</v>
      </c>
      <c r="Z58" s="54">
        <v>1977</v>
      </c>
      <c r="AA58" s="54" t="s">
        <v>2390</v>
      </c>
      <c r="AB58" s="54" t="s">
        <v>2362</v>
      </c>
      <c r="AC58" s="54" t="s">
        <v>2403</v>
      </c>
      <c r="AD58" s="54">
        <v>3217112606770020</v>
      </c>
      <c r="AE58" s="54" t="s">
        <v>3336</v>
      </c>
      <c r="AF58" s="54">
        <v>1988</v>
      </c>
      <c r="AG58" s="54" t="s">
        <v>2390</v>
      </c>
      <c r="AH58" s="54" t="s">
        <v>2365</v>
      </c>
      <c r="AI58" s="54" t="s">
        <v>2366</v>
      </c>
      <c r="AJ58" s="54">
        <v>3217114507880030</v>
      </c>
      <c r="AK58" s="54"/>
      <c r="AL58" s="54"/>
      <c r="AM58" s="54"/>
      <c r="AN58" s="54"/>
      <c r="AO58" s="54"/>
      <c r="AP58" s="54"/>
      <c r="AQ58" s="54" t="s">
        <v>5147</v>
      </c>
      <c r="AR58" s="54"/>
      <c r="AS58" s="54"/>
      <c r="AT58" s="54" t="s">
        <v>2369</v>
      </c>
      <c r="AU58" s="54" t="s">
        <v>3337</v>
      </c>
      <c r="AV58" s="54">
        <v>0</v>
      </c>
      <c r="AW58" s="54" t="s">
        <v>3338</v>
      </c>
      <c r="AX58" s="54" t="s">
        <v>3339</v>
      </c>
      <c r="AY58" s="54" t="s">
        <v>2460</v>
      </c>
      <c r="AZ58" s="54">
        <v>367101002807505</v>
      </c>
      <c r="BA58" s="54" t="s">
        <v>3340</v>
      </c>
      <c r="BB58" s="54" t="s">
        <v>2369</v>
      </c>
      <c r="BC58" s="54"/>
      <c r="BD58" s="54" t="s">
        <v>2371</v>
      </c>
      <c r="BE58" s="54"/>
      <c r="BF58" s="54">
        <v>1</v>
      </c>
      <c r="BG58" s="54">
        <v>-6.9743000000000004</v>
      </c>
      <c r="BH58" s="54">
        <v>107.43559999999999</v>
      </c>
      <c r="BI58" s="54"/>
      <c r="BJ58" s="54">
        <v>35</v>
      </c>
      <c r="BK58" s="54">
        <v>130</v>
      </c>
      <c r="BL58" s="54">
        <v>57</v>
      </c>
      <c r="BM58" s="54">
        <v>3</v>
      </c>
      <c r="BN58" s="54">
        <v>1</v>
      </c>
    </row>
    <row r="59" spans="1:66" x14ac:dyDescent="0.3">
      <c r="A59" s="3">
        <v>53</v>
      </c>
      <c r="B59" s="3" t="s">
        <v>3934</v>
      </c>
      <c r="C59" s="3" t="s">
        <v>4392</v>
      </c>
      <c r="D59" s="3" t="s">
        <v>52</v>
      </c>
      <c r="E59" s="3">
        <v>3107043565</v>
      </c>
      <c r="F59" s="3" t="s">
        <v>2377</v>
      </c>
      <c r="G59" s="157">
        <v>40465</v>
      </c>
      <c r="H59" s="3">
        <v>3217121410100000</v>
      </c>
      <c r="I59" s="3" t="s">
        <v>2353</v>
      </c>
      <c r="J59" s="3" t="s">
        <v>2544</v>
      </c>
      <c r="K59" s="3">
        <v>2</v>
      </c>
      <c r="L59" s="3">
        <v>7</v>
      </c>
      <c r="M59" s="3"/>
      <c r="N59" s="3" t="s">
        <v>4475</v>
      </c>
      <c r="O59" s="3" t="s">
        <v>2356</v>
      </c>
      <c r="P59" s="3">
        <v>40762</v>
      </c>
      <c r="Q59" s="3" t="s">
        <v>2357</v>
      </c>
      <c r="R59" s="3" t="s">
        <v>2358</v>
      </c>
      <c r="S59" s="3"/>
      <c r="T59" s="3"/>
      <c r="U59" s="3"/>
      <c r="V59" s="3"/>
      <c r="W59" s="3" t="s">
        <v>2359</v>
      </c>
      <c r="X59" s="3"/>
      <c r="Y59" s="3" t="s">
        <v>4531</v>
      </c>
      <c r="Z59" s="3">
        <v>1987</v>
      </c>
      <c r="AA59" s="3" t="s">
        <v>2361</v>
      </c>
      <c r="AB59" s="3" t="s">
        <v>2362</v>
      </c>
      <c r="AC59" s="3" t="s">
        <v>2403</v>
      </c>
      <c r="AD59" s="3">
        <v>3217123112870000</v>
      </c>
      <c r="AE59" s="3" t="s">
        <v>3371</v>
      </c>
      <c r="AF59" s="3">
        <v>1990</v>
      </c>
      <c r="AG59" s="3" t="s">
        <v>2402</v>
      </c>
      <c r="AH59" s="3" t="s">
        <v>2365</v>
      </c>
      <c r="AI59" s="3" t="s">
        <v>2366</v>
      </c>
      <c r="AJ59" s="3">
        <v>3217125812900000</v>
      </c>
      <c r="AK59" s="3"/>
      <c r="AL59" s="3"/>
      <c r="AM59" s="3"/>
      <c r="AN59" s="3"/>
      <c r="AO59" s="3"/>
      <c r="AP59" s="3"/>
      <c r="AQ59" s="3" t="s">
        <v>5148</v>
      </c>
      <c r="AR59" s="3" t="s">
        <v>4017</v>
      </c>
      <c r="AS59" s="3" t="s">
        <v>4532</v>
      </c>
      <c r="AT59" s="3" t="s">
        <v>2359</v>
      </c>
      <c r="AU59" s="3"/>
      <c r="AV59" s="3">
        <v>1</v>
      </c>
      <c r="AW59" s="3"/>
      <c r="AX59" s="3" t="s">
        <v>4533</v>
      </c>
      <c r="AY59" s="3"/>
      <c r="AZ59" s="3"/>
      <c r="BA59" s="3"/>
      <c r="BB59" s="3" t="s">
        <v>2369</v>
      </c>
      <c r="BC59" s="3" t="s">
        <v>2370</v>
      </c>
      <c r="BD59" s="3" t="s">
        <v>2371</v>
      </c>
      <c r="BE59" s="3" t="s">
        <v>4497</v>
      </c>
      <c r="BF59" s="3">
        <v>1</v>
      </c>
      <c r="BG59" s="3">
        <v>-6.9625000000000004</v>
      </c>
      <c r="BH59" s="3">
        <v>107.4346</v>
      </c>
      <c r="BI59" s="3">
        <v>3217122606120010</v>
      </c>
      <c r="BJ59" s="3">
        <v>40</v>
      </c>
      <c r="BK59" s="3">
        <v>138</v>
      </c>
      <c r="BL59" s="3">
        <v>51</v>
      </c>
      <c r="BM59" s="3">
        <v>1</v>
      </c>
      <c r="BN59" s="3">
        <v>2</v>
      </c>
    </row>
    <row r="60" spans="1:66" s="219" customFormat="1" hidden="1" x14ac:dyDescent="0.3">
      <c r="A60" s="54">
        <v>54</v>
      </c>
      <c r="B60" s="54" t="s">
        <v>1601</v>
      </c>
      <c r="C60" s="54" t="s">
        <v>1894</v>
      </c>
      <c r="D60" s="54" t="s">
        <v>52</v>
      </c>
      <c r="E60" s="54">
        <v>86848689</v>
      </c>
      <c r="F60" s="54" t="s">
        <v>2373</v>
      </c>
      <c r="G60" s="108">
        <v>39622</v>
      </c>
      <c r="H60" s="54">
        <v>3217122306080000</v>
      </c>
      <c r="I60" s="54" t="s">
        <v>2353</v>
      </c>
      <c r="J60" s="54" t="s">
        <v>3050</v>
      </c>
      <c r="K60" s="54">
        <v>3</v>
      </c>
      <c r="L60" s="54">
        <v>4</v>
      </c>
      <c r="M60" s="54"/>
      <c r="N60" s="54" t="s">
        <v>2513</v>
      </c>
      <c r="O60" s="54" t="s">
        <v>2356</v>
      </c>
      <c r="P60" s="54">
        <v>40564</v>
      </c>
      <c r="Q60" s="54" t="s">
        <v>2357</v>
      </c>
      <c r="R60" s="54" t="s">
        <v>2358</v>
      </c>
      <c r="S60" s="54"/>
      <c r="T60" s="54">
        <v>83114744721</v>
      </c>
      <c r="U60" s="54"/>
      <c r="V60" s="54"/>
      <c r="W60" s="54" t="s">
        <v>2359</v>
      </c>
      <c r="X60" s="54"/>
      <c r="Y60" s="54" t="s">
        <v>3679</v>
      </c>
      <c r="Z60" s="54">
        <v>1980</v>
      </c>
      <c r="AA60" s="54" t="s">
        <v>2390</v>
      </c>
      <c r="AB60" s="54" t="s">
        <v>3187</v>
      </c>
      <c r="AC60" s="54" t="s">
        <v>2666</v>
      </c>
      <c r="AD60" s="54"/>
      <c r="AE60" s="54" t="s">
        <v>3680</v>
      </c>
      <c r="AF60" s="54">
        <v>1982</v>
      </c>
      <c r="AG60" s="54" t="s">
        <v>2402</v>
      </c>
      <c r="AH60" s="54" t="s">
        <v>2365</v>
      </c>
      <c r="AI60" s="54" t="s">
        <v>2366</v>
      </c>
      <c r="AJ60" s="54"/>
      <c r="AK60" s="54"/>
      <c r="AL60" s="54"/>
      <c r="AM60" s="54"/>
      <c r="AN60" s="54"/>
      <c r="AO60" s="54"/>
      <c r="AP60" s="54"/>
      <c r="AQ60" s="54" t="s">
        <v>5147</v>
      </c>
      <c r="AR60" s="54"/>
      <c r="AS60" s="54" t="s">
        <v>3681</v>
      </c>
      <c r="AT60" s="54" t="s">
        <v>2359</v>
      </c>
      <c r="AU60" s="54"/>
      <c r="AV60" s="54">
        <v>0</v>
      </c>
      <c r="AW60" s="54"/>
      <c r="AX60" s="54" t="s">
        <v>3682</v>
      </c>
      <c r="AY60" s="54"/>
      <c r="AZ60" s="54"/>
      <c r="BA60" s="54"/>
      <c r="BB60" s="54" t="s">
        <v>2369</v>
      </c>
      <c r="BC60" s="54" t="s">
        <v>2370</v>
      </c>
      <c r="BD60" s="54" t="s">
        <v>2371</v>
      </c>
      <c r="BE60" s="54" t="s">
        <v>2553</v>
      </c>
      <c r="BF60" s="54">
        <v>1</v>
      </c>
      <c r="BG60" s="54">
        <v>-7.0068000000000001</v>
      </c>
      <c r="BH60" s="54">
        <v>107.2349</v>
      </c>
      <c r="BI60" s="54">
        <v>3217121406120040</v>
      </c>
      <c r="BJ60" s="54">
        <v>44</v>
      </c>
      <c r="BK60" s="54">
        <v>142</v>
      </c>
      <c r="BL60" s="54">
        <v>59</v>
      </c>
      <c r="BM60" s="54">
        <v>1</v>
      </c>
      <c r="BN60" s="54">
        <v>2</v>
      </c>
    </row>
    <row r="61" spans="1:66" s="219" customFormat="1" hidden="1" x14ac:dyDescent="0.3">
      <c r="A61" s="54">
        <v>55</v>
      </c>
      <c r="B61" s="54" t="s">
        <v>1742</v>
      </c>
      <c r="C61" s="54" t="s">
        <v>2222</v>
      </c>
      <c r="D61" s="54" t="s">
        <v>53</v>
      </c>
      <c r="E61" s="54">
        <v>3097479367</v>
      </c>
      <c r="F61" s="54" t="s">
        <v>2446</v>
      </c>
      <c r="G61" s="108">
        <v>40281</v>
      </c>
      <c r="H61" s="54">
        <v>3217115304100000</v>
      </c>
      <c r="I61" s="54" t="s">
        <v>2353</v>
      </c>
      <c r="J61" s="54" t="s">
        <v>2530</v>
      </c>
      <c r="K61" s="54">
        <v>2</v>
      </c>
      <c r="L61" s="54">
        <v>7</v>
      </c>
      <c r="M61" s="54"/>
      <c r="N61" s="54" t="s">
        <v>2425</v>
      </c>
      <c r="O61" s="54" t="s">
        <v>2426</v>
      </c>
      <c r="P61" s="54">
        <v>40562</v>
      </c>
      <c r="Q61" s="54" t="s">
        <v>2357</v>
      </c>
      <c r="R61" s="54" t="s">
        <v>2358</v>
      </c>
      <c r="S61" s="54"/>
      <c r="T61" s="54"/>
      <c r="U61" s="54"/>
      <c r="V61" s="54"/>
      <c r="W61" s="54" t="s">
        <v>2359</v>
      </c>
      <c r="X61" s="54"/>
      <c r="Y61" s="54" t="s">
        <v>4534</v>
      </c>
      <c r="Z61" s="54">
        <v>0</v>
      </c>
      <c r="AA61" s="54" t="s">
        <v>2361</v>
      </c>
      <c r="AB61" s="54" t="s">
        <v>2867</v>
      </c>
      <c r="AC61" s="54" t="s">
        <v>2366</v>
      </c>
      <c r="AD61" s="54"/>
      <c r="AE61" s="54" t="s">
        <v>2896</v>
      </c>
      <c r="AF61" s="54">
        <v>1967</v>
      </c>
      <c r="AG61" s="54" t="s">
        <v>2361</v>
      </c>
      <c r="AH61" s="54" t="s">
        <v>2365</v>
      </c>
      <c r="AI61" s="54" t="s">
        <v>2366</v>
      </c>
      <c r="AJ61" s="54">
        <v>3217115202670000</v>
      </c>
      <c r="AK61" s="54"/>
      <c r="AL61" s="54"/>
      <c r="AM61" s="54"/>
      <c r="AN61" s="54"/>
      <c r="AO61" s="54"/>
      <c r="AP61" s="54"/>
      <c r="AQ61" s="54" t="s">
        <v>8178</v>
      </c>
      <c r="AR61" s="54"/>
      <c r="AS61" s="54"/>
      <c r="AT61" s="54" t="s">
        <v>2369</v>
      </c>
      <c r="AU61" s="54"/>
      <c r="AV61" s="54">
        <v>1</v>
      </c>
      <c r="AW61" s="54"/>
      <c r="AX61" s="54" t="s">
        <v>4535</v>
      </c>
      <c r="AY61" s="54"/>
      <c r="AZ61" s="54"/>
      <c r="BA61" s="54"/>
      <c r="BB61" s="54" t="s">
        <v>2369</v>
      </c>
      <c r="BC61" s="54"/>
      <c r="BD61" s="54" t="s">
        <v>2371</v>
      </c>
      <c r="BE61" s="54" t="s">
        <v>2897</v>
      </c>
      <c r="BF61" s="54">
        <v>1</v>
      </c>
      <c r="BG61" s="54">
        <v>-6.9625000000000004</v>
      </c>
      <c r="BH61" s="54">
        <v>107.4346</v>
      </c>
      <c r="BI61" s="54">
        <v>3217110909110000</v>
      </c>
      <c r="BJ61" s="54">
        <v>47</v>
      </c>
      <c r="BK61" s="54">
        <v>143</v>
      </c>
      <c r="BL61" s="54">
        <v>55</v>
      </c>
      <c r="BM61" s="54">
        <v>1</v>
      </c>
      <c r="BN61" s="54">
        <v>1</v>
      </c>
    </row>
    <row r="62" spans="1:66" s="219" customFormat="1" hidden="1" x14ac:dyDescent="0.3">
      <c r="A62" s="54">
        <v>56</v>
      </c>
      <c r="B62" s="54" t="s">
        <v>1387</v>
      </c>
      <c r="C62" s="54" t="s">
        <v>1578</v>
      </c>
      <c r="D62" s="54" t="s">
        <v>53</v>
      </c>
      <c r="E62" s="54">
        <v>96670419</v>
      </c>
      <c r="F62" s="54" t="s">
        <v>2446</v>
      </c>
      <c r="G62" s="108">
        <v>39926</v>
      </c>
      <c r="H62" s="54">
        <v>3217116304090000</v>
      </c>
      <c r="I62" s="54" t="s">
        <v>2353</v>
      </c>
      <c r="J62" s="54" t="s">
        <v>3341</v>
      </c>
      <c r="K62" s="54">
        <v>2</v>
      </c>
      <c r="L62" s="54">
        <v>11</v>
      </c>
      <c r="M62" s="54" t="s">
        <v>3341</v>
      </c>
      <c r="N62" s="54" t="s">
        <v>2425</v>
      </c>
      <c r="O62" s="54" t="s">
        <v>2426</v>
      </c>
      <c r="P62" s="54">
        <v>40562</v>
      </c>
      <c r="Q62" s="54" t="s">
        <v>2357</v>
      </c>
      <c r="R62" s="54" t="s">
        <v>2358</v>
      </c>
      <c r="S62" s="54"/>
      <c r="T62" s="54">
        <v>83821744511</v>
      </c>
      <c r="U62" s="54"/>
      <c r="V62" s="54"/>
      <c r="W62" s="54" t="s">
        <v>2359</v>
      </c>
      <c r="X62" s="54" t="s">
        <v>3342</v>
      </c>
      <c r="Y62" s="54" t="s">
        <v>3343</v>
      </c>
      <c r="Z62" s="54">
        <v>1981</v>
      </c>
      <c r="AA62" s="54" t="s">
        <v>2361</v>
      </c>
      <c r="AB62" s="54" t="s">
        <v>2362</v>
      </c>
      <c r="AC62" s="54" t="s">
        <v>2403</v>
      </c>
      <c r="AD62" s="54"/>
      <c r="AE62" s="54" t="s">
        <v>3344</v>
      </c>
      <c r="AF62" s="54">
        <v>1987</v>
      </c>
      <c r="AG62" s="54" t="s">
        <v>2361</v>
      </c>
      <c r="AH62" s="54" t="s">
        <v>2365</v>
      </c>
      <c r="AI62" s="54" t="s">
        <v>2366</v>
      </c>
      <c r="AJ62" s="54"/>
      <c r="AK62" s="54"/>
      <c r="AL62" s="54"/>
      <c r="AM62" s="54"/>
      <c r="AN62" s="54"/>
      <c r="AO62" s="54"/>
      <c r="AP62" s="54"/>
      <c r="AQ62" s="54" t="s">
        <v>5147</v>
      </c>
      <c r="AR62" s="54"/>
      <c r="AS62" s="54"/>
      <c r="AT62" s="54" t="s">
        <v>2369</v>
      </c>
      <c r="AU62" s="54" t="s">
        <v>3342</v>
      </c>
      <c r="AV62" s="54">
        <v>0</v>
      </c>
      <c r="AW62" s="54"/>
      <c r="AX62" s="54"/>
      <c r="AY62" s="54" t="s">
        <v>2460</v>
      </c>
      <c r="AZ62" s="54">
        <v>367101002896504</v>
      </c>
      <c r="BA62" s="54" t="s">
        <v>3345</v>
      </c>
      <c r="BB62" s="54" t="s">
        <v>2369</v>
      </c>
      <c r="BC62" s="54"/>
      <c r="BD62" s="54" t="s">
        <v>2371</v>
      </c>
      <c r="BE62" s="54"/>
      <c r="BF62" s="54">
        <v>1</v>
      </c>
      <c r="BG62" s="54">
        <v>-6.9514541999999997</v>
      </c>
      <c r="BH62" s="54">
        <v>107.4179645</v>
      </c>
      <c r="BI62" s="54"/>
      <c r="BJ62" s="54">
        <v>15</v>
      </c>
      <c r="BK62" s="54">
        <v>105</v>
      </c>
      <c r="BL62" s="54">
        <v>55</v>
      </c>
      <c r="BM62" s="54">
        <v>2</v>
      </c>
      <c r="BN62" s="54">
        <v>1</v>
      </c>
    </row>
    <row r="63" spans="1:66" s="219" customFormat="1" hidden="1" x14ac:dyDescent="0.3">
      <c r="A63" s="54">
        <v>57</v>
      </c>
      <c r="B63" s="54" t="s">
        <v>1817</v>
      </c>
      <c r="C63" s="54" t="s">
        <v>1459</v>
      </c>
      <c r="D63" s="54" t="s">
        <v>53</v>
      </c>
      <c r="E63" s="54">
        <v>99268921</v>
      </c>
      <c r="F63" s="54" t="s">
        <v>2352</v>
      </c>
      <c r="G63" s="108">
        <v>39978</v>
      </c>
      <c r="H63" s="54">
        <v>3217125406090000</v>
      </c>
      <c r="I63" s="54" t="s">
        <v>2353</v>
      </c>
      <c r="J63" s="54" t="s">
        <v>2831</v>
      </c>
      <c r="K63" s="54">
        <v>1</v>
      </c>
      <c r="L63" s="54">
        <v>4</v>
      </c>
      <c r="M63" s="54"/>
      <c r="N63" s="54" t="s">
        <v>2513</v>
      </c>
      <c r="O63" s="54" t="s">
        <v>2356</v>
      </c>
      <c r="P63" s="54">
        <v>40564</v>
      </c>
      <c r="Q63" s="54" t="s">
        <v>2357</v>
      </c>
      <c r="R63" s="54" t="s">
        <v>2358</v>
      </c>
      <c r="S63" s="54"/>
      <c r="T63" s="54">
        <v>83829216362</v>
      </c>
      <c r="U63" s="54"/>
      <c r="V63" s="54"/>
      <c r="W63" s="54" t="s">
        <v>2359</v>
      </c>
      <c r="X63" s="54"/>
      <c r="Y63" s="54" t="s">
        <v>3346</v>
      </c>
      <c r="Z63" s="54">
        <v>1978</v>
      </c>
      <c r="AA63" s="54" t="s">
        <v>2402</v>
      </c>
      <c r="AB63" s="54" t="s">
        <v>2362</v>
      </c>
      <c r="AC63" s="54" t="s">
        <v>2363</v>
      </c>
      <c r="AD63" s="54"/>
      <c r="AE63" s="54" t="s">
        <v>3347</v>
      </c>
      <c r="AF63" s="54">
        <v>1981</v>
      </c>
      <c r="AG63" s="54" t="s">
        <v>2402</v>
      </c>
      <c r="AH63" s="54" t="s">
        <v>2365</v>
      </c>
      <c r="AI63" s="54" t="s">
        <v>2366</v>
      </c>
      <c r="AJ63" s="54"/>
      <c r="AK63" s="54"/>
      <c r="AL63" s="54"/>
      <c r="AM63" s="54"/>
      <c r="AN63" s="54"/>
      <c r="AO63" s="54"/>
      <c r="AP63" s="54"/>
      <c r="AQ63" s="54" t="s">
        <v>5147</v>
      </c>
      <c r="AR63" s="54"/>
      <c r="AS63" s="54"/>
      <c r="AT63" s="54" t="s">
        <v>2359</v>
      </c>
      <c r="AU63" s="54"/>
      <c r="AV63" s="54">
        <v>0</v>
      </c>
      <c r="AW63" s="54"/>
      <c r="AX63" s="54"/>
      <c r="AY63" s="54"/>
      <c r="AZ63" s="54"/>
      <c r="BA63" s="54"/>
      <c r="BB63" s="54" t="s">
        <v>2369</v>
      </c>
      <c r="BC63" s="54" t="s">
        <v>2370</v>
      </c>
      <c r="BD63" s="54" t="s">
        <v>2371</v>
      </c>
      <c r="BE63" s="54"/>
      <c r="BF63" s="54">
        <v>2</v>
      </c>
      <c r="BG63" s="54">
        <v>-6.9676999999999998</v>
      </c>
      <c r="BH63" s="54">
        <v>107.4117</v>
      </c>
      <c r="BI63" s="54"/>
      <c r="BJ63" s="54">
        <v>21</v>
      </c>
      <c r="BK63" s="54">
        <v>120</v>
      </c>
      <c r="BL63" s="54">
        <v>54</v>
      </c>
      <c r="BM63" s="54">
        <v>1</v>
      </c>
      <c r="BN63" s="54">
        <v>3</v>
      </c>
    </row>
    <row r="64" spans="1:66" s="219" customFormat="1" hidden="1" x14ac:dyDescent="0.3">
      <c r="A64" s="54">
        <v>58</v>
      </c>
      <c r="B64" s="54" t="s">
        <v>2068</v>
      </c>
      <c r="C64" s="54" t="s">
        <v>2131</v>
      </c>
      <c r="D64" s="54" t="s">
        <v>53</v>
      </c>
      <c r="E64" s="54">
        <v>107551985</v>
      </c>
      <c r="F64" s="54" t="s">
        <v>2377</v>
      </c>
      <c r="G64" s="108">
        <v>40277</v>
      </c>
      <c r="H64" s="54">
        <v>3217124904100000</v>
      </c>
      <c r="I64" s="54" t="s">
        <v>2353</v>
      </c>
      <c r="J64" s="54" t="s">
        <v>2378</v>
      </c>
      <c r="K64" s="54">
        <v>1</v>
      </c>
      <c r="L64" s="54">
        <v>5</v>
      </c>
      <c r="M64" s="54"/>
      <c r="N64" s="54" t="s">
        <v>2355</v>
      </c>
      <c r="O64" s="54" t="s">
        <v>2356</v>
      </c>
      <c r="P64" s="54">
        <v>40564</v>
      </c>
      <c r="Q64" s="54" t="s">
        <v>2357</v>
      </c>
      <c r="R64" s="54" t="s">
        <v>2358</v>
      </c>
      <c r="S64" s="54"/>
      <c r="T64" s="54">
        <v>87717204040</v>
      </c>
      <c r="U64" s="54"/>
      <c r="V64" s="54"/>
      <c r="W64" s="54" t="s">
        <v>2359</v>
      </c>
      <c r="X64" s="54"/>
      <c r="Y64" s="54" t="s">
        <v>2546</v>
      </c>
      <c r="Z64" s="54">
        <v>1985</v>
      </c>
      <c r="AA64" s="54" t="s">
        <v>2390</v>
      </c>
      <c r="AB64" s="54" t="s">
        <v>2362</v>
      </c>
      <c r="AC64" s="54" t="s">
        <v>2363</v>
      </c>
      <c r="AD64" s="54">
        <v>3217122110850010</v>
      </c>
      <c r="AE64" s="54" t="s">
        <v>2547</v>
      </c>
      <c r="AF64" s="54">
        <v>1990</v>
      </c>
      <c r="AG64" s="54" t="s">
        <v>2390</v>
      </c>
      <c r="AH64" s="54" t="s">
        <v>2365</v>
      </c>
      <c r="AI64" s="54" t="s">
        <v>2366</v>
      </c>
      <c r="AJ64" s="54">
        <v>3217125602900010</v>
      </c>
      <c r="AK64" s="54"/>
      <c r="AL64" s="54"/>
      <c r="AM64" s="54" t="s">
        <v>2367</v>
      </c>
      <c r="AN64" s="54"/>
      <c r="AO64" s="54"/>
      <c r="AP64" s="54"/>
      <c r="AQ64" s="54" t="s">
        <v>8181</v>
      </c>
      <c r="AR64" s="54"/>
      <c r="AS64" s="54"/>
      <c r="AT64" s="54" t="s">
        <v>2359</v>
      </c>
      <c r="AU64" s="54"/>
      <c r="AV64" s="54">
        <v>0</v>
      </c>
      <c r="AW64" s="54"/>
      <c r="AX64" s="54" t="s">
        <v>2548</v>
      </c>
      <c r="AY64" s="54"/>
      <c r="AZ64" s="54"/>
      <c r="BA64" s="54"/>
      <c r="BB64" s="54" t="s">
        <v>2369</v>
      </c>
      <c r="BC64" s="54" t="s">
        <v>2370</v>
      </c>
      <c r="BD64" s="54" t="s">
        <v>2371</v>
      </c>
      <c r="BE64" s="54" t="s">
        <v>2372</v>
      </c>
      <c r="BF64" s="54">
        <v>1</v>
      </c>
      <c r="BG64" s="54">
        <v>-6.9676999999999998</v>
      </c>
      <c r="BH64" s="54">
        <v>107.4117</v>
      </c>
      <c r="BI64" s="54"/>
      <c r="BJ64" s="54">
        <v>42</v>
      </c>
      <c r="BK64" s="54">
        <v>137</v>
      </c>
      <c r="BL64" s="54">
        <v>0</v>
      </c>
      <c r="BM64" s="54">
        <v>0</v>
      </c>
      <c r="BN64" s="54">
        <v>0</v>
      </c>
    </row>
    <row r="65" spans="1:66" hidden="1" x14ac:dyDescent="0.3">
      <c r="A65" s="3">
        <v>59</v>
      </c>
      <c r="B65" s="3" t="s">
        <v>4536</v>
      </c>
      <c r="C65" s="3" t="s">
        <v>4362</v>
      </c>
      <c r="D65" s="3" t="s">
        <v>53</v>
      </c>
      <c r="E65" s="3">
        <v>3105612988</v>
      </c>
      <c r="F65" s="3" t="s">
        <v>2377</v>
      </c>
      <c r="G65" s="157">
        <v>40452</v>
      </c>
      <c r="H65" s="3">
        <v>3217114110100000</v>
      </c>
      <c r="I65" s="3" t="s">
        <v>2353</v>
      </c>
      <c r="J65" s="3" t="s">
        <v>2530</v>
      </c>
      <c r="K65" s="3">
        <v>2</v>
      </c>
      <c r="L65" s="3">
        <v>5</v>
      </c>
      <c r="M65" s="3"/>
      <c r="N65" s="3" t="s">
        <v>4508</v>
      </c>
      <c r="O65" s="3" t="s">
        <v>2426</v>
      </c>
      <c r="P65" s="3">
        <v>40562</v>
      </c>
      <c r="Q65" s="3" t="s">
        <v>2357</v>
      </c>
      <c r="R65" s="3" t="s">
        <v>2358</v>
      </c>
      <c r="S65" s="3"/>
      <c r="T65" s="3"/>
      <c r="U65" s="3"/>
      <c r="V65" s="3"/>
      <c r="W65" s="3" t="s">
        <v>2359</v>
      </c>
      <c r="X65" s="3"/>
      <c r="Y65" s="3" t="s">
        <v>4537</v>
      </c>
      <c r="Z65" s="3">
        <v>1981</v>
      </c>
      <c r="AA65" s="3" t="s">
        <v>2390</v>
      </c>
      <c r="AB65" s="3" t="s">
        <v>2362</v>
      </c>
      <c r="AC65" s="3" t="s">
        <v>2363</v>
      </c>
      <c r="AD65" s="3">
        <v>3217110702810010</v>
      </c>
      <c r="AE65" s="3" t="s">
        <v>4538</v>
      </c>
      <c r="AF65" s="3">
        <v>1987</v>
      </c>
      <c r="AG65" s="3" t="s">
        <v>2361</v>
      </c>
      <c r="AH65" s="3" t="s">
        <v>2365</v>
      </c>
      <c r="AI65" s="3" t="s">
        <v>2366</v>
      </c>
      <c r="AJ65" s="3">
        <v>3217116001870000</v>
      </c>
      <c r="AK65" s="3"/>
      <c r="AL65" s="3"/>
      <c r="AM65" s="3"/>
      <c r="AN65" s="3"/>
      <c r="AO65" s="3"/>
      <c r="AP65" s="3"/>
      <c r="AQ65" s="3" t="s">
        <v>5151</v>
      </c>
      <c r="AR65" s="3" t="s">
        <v>4127</v>
      </c>
      <c r="AS65" s="3"/>
      <c r="AT65" s="3" t="s">
        <v>2359</v>
      </c>
      <c r="AU65" s="3"/>
      <c r="AV65" s="3">
        <v>1</v>
      </c>
      <c r="AW65" s="3"/>
      <c r="AX65" s="3" t="s">
        <v>4126</v>
      </c>
      <c r="AY65" s="3"/>
      <c r="AZ65" s="3"/>
      <c r="BA65" s="3"/>
      <c r="BB65" s="3" t="s">
        <v>2369</v>
      </c>
      <c r="BC65" s="3" t="s">
        <v>2370</v>
      </c>
      <c r="BD65" s="3" t="s">
        <v>2371</v>
      </c>
      <c r="BE65" s="3" t="s">
        <v>2897</v>
      </c>
      <c r="BF65" s="3">
        <v>1</v>
      </c>
      <c r="BG65" s="3">
        <v>-6.9625000000000004</v>
      </c>
      <c r="BH65" s="3">
        <v>107.4346</v>
      </c>
      <c r="BI65" s="3">
        <v>3217112112090020</v>
      </c>
      <c r="BJ65" s="3">
        <v>41</v>
      </c>
      <c r="BK65" s="3">
        <v>139</v>
      </c>
      <c r="BL65" s="3">
        <v>54</v>
      </c>
      <c r="BM65" s="3">
        <v>1</v>
      </c>
      <c r="BN65" s="3">
        <v>1</v>
      </c>
    </row>
    <row r="66" spans="1:66" s="219" customFormat="1" hidden="1" x14ac:dyDescent="0.3">
      <c r="A66" s="54">
        <v>60</v>
      </c>
      <c r="B66" s="54" t="s">
        <v>4539</v>
      </c>
      <c r="C66" s="54" t="s">
        <v>1546</v>
      </c>
      <c r="D66" s="54" t="s">
        <v>52</v>
      </c>
      <c r="E66" s="54">
        <v>99860424</v>
      </c>
      <c r="F66" s="54" t="s">
        <v>2446</v>
      </c>
      <c r="G66" s="108">
        <v>39857</v>
      </c>
      <c r="H66" s="54">
        <v>3217115302090000</v>
      </c>
      <c r="I66" s="54" t="s">
        <v>2353</v>
      </c>
      <c r="J66" s="54" t="s">
        <v>2616</v>
      </c>
      <c r="K66" s="54">
        <v>1</v>
      </c>
      <c r="L66" s="54">
        <v>7</v>
      </c>
      <c r="M66" s="54"/>
      <c r="N66" s="54" t="s">
        <v>2617</v>
      </c>
      <c r="O66" s="54" t="s">
        <v>2426</v>
      </c>
      <c r="P66" s="54">
        <v>40562</v>
      </c>
      <c r="Q66" s="54" t="s">
        <v>2357</v>
      </c>
      <c r="R66" s="54" t="s">
        <v>2358</v>
      </c>
      <c r="S66" s="54"/>
      <c r="T66" s="54">
        <v>85215227970</v>
      </c>
      <c r="U66" s="54"/>
      <c r="V66" s="54"/>
      <c r="W66" s="54" t="s">
        <v>2359</v>
      </c>
      <c r="X66" s="54"/>
      <c r="Y66" s="54"/>
      <c r="Z66" s="54">
        <v>1978</v>
      </c>
      <c r="AA66" s="54" t="s">
        <v>2402</v>
      </c>
      <c r="AB66" s="54" t="s">
        <v>2362</v>
      </c>
      <c r="AC66" s="54" t="s">
        <v>2363</v>
      </c>
      <c r="AD66" s="54"/>
      <c r="AE66" s="54" t="s">
        <v>3683</v>
      </c>
      <c r="AF66" s="54">
        <v>1986</v>
      </c>
      <c r="AG66" s="54" t="s">
        <v>2402</v>
      </c>
      <c r="AH66" s="54" t="s">
        <v>2365</v>
      </c>
      <c r="AI66" s="54" t="s">
        <v>2366</v>
      </c>
      <c r="AJ66" s="54"/>
      <c r="AK66" s="54"/>
      <c r="AL66" s="54"/>
      <c r="AM66" s="54"/>
      <c r="AN66" s="54"/>
      <c r="AO66" s="54"/>
      <c r="AP66" s="54"/>
      <c r="AQ66" s="54" t="s">
        <v>5147</v>
      </c>
      <c r="AR66" s="54"/>
      <c r="AS66" s="54"/>
      <c r="AT66" s="54" t="s">
        <v>2359</v>
      </c>
      <c r="AU66" s="54"/>
      <c r="AV66" s="54">
        <v>0</v>
      </c>
      <c r="AW66" s="54"/>
      <c r="AX66" s="54"/>
      <c r="AY66" s="54"/>
      <c r="AZ66" s="54"/>
      <c r="BA66" s="54"/>
      <c r="BB66" s="54" t="s">
        <v>2369</v>
      </c>
      <c r="BC66" s="54" t="s">
        <v>2370</v>
      </c>
      <c r="BD66" s="54" t="s">
        <v>2371</v>
      </c>
      <c r="BE66" s="54"/>
      <c r="BF66" s="54">
        <v>1</v>
      </c>
      <c r="BG66" s="54">
        <v>-6.9625000000000004</v>
      </c>
      <c r="BH66" s="54">
        <v>107.4346</v>
      </c>
      <c r="BI66" s="54"/>
      <c r="BJ66" s="54">
        <v>40</v>
      </c>
      <c r="BK66" s="54">
        <v>141</v>
      </c>
      <c r="BL66" s="54">
        <v>56</v>
      </c>
      <c r="BM66" s="54">
        <v>1</v>
      </c>
      <c r="BN66" s="54">
        <v>2</v>
      </c>
    </row>
    <row r="67" spans="1:66" s="219" customFormat="1" hidden="1" x14ac:dyDescent="0.3">
      <c r="A67" s="54">
        <v>61</v>
      </c>
      <c r="B67" s="54" t="s">
        <v>1896</v>
      </c>
      <c r="C67" s="54" t="s">
        <v>1547</v>
      </c>
      <c r="D67" s="54" t="s">
        <v>52</v>
      </c>
      <c r="E67" s="54">
        <v>83978056</v>
      </c>
      <c r="F67" s="54" t="s">
        <v>2377</v>
      </c>
      <c r="G67" s="108">
        <v>39727</v>
      </c>
      <c r="H67" s="54">
        <v>3277030610080000</v>
      </c>
      <c r="I67" s="54" t="s">
        <v>2353</v>
      </c>
      <c r="J67" s="54" t="s">
        <v>2616</v>
      </c>
      <c r="K67" s="54">
        <v>1</v>
      </c>
      <c r="L67" s="54">
        <v>6</v>
      </c>
      <c r="M67" s="54"/>
      <c r="N67" s="54" t="s">
        <v>2617</v>
      </c>
      <c r="O67" s="54" t="s">
        <v>2426</v>
      </c>
      <c r="P67" s="54">
        <v>40562</v>
      </c>
      <c r="Q67" s="54" t="s">
        <v>2357</v>
      </c>
      <c r="R67" s="54" t="s">
        <v>2358</v>
      </c>
      <c r="S67" s="54"/>
      <c r="T67" s="54">
        <v>82113627060</v>
      </c>
      <c r="U67" s="54"/>
      <c r="V67" s="54"/>
      <c r="W67" s="54" t="s">
        <v>2359</v>
      </c>
      <c r="X67" s="54"/>
      <c r="Y67" s="54"/>
      <c r="Z67" s="54">
        <v>1988</v>
      </c>
      <c r="AA67" s="54" t="s">
        <v>2390</v>
      </c>
      <c r="AB67" s="54" t="s">
        <v>2493</v>
      </c>
      <c r="AC67" s="54" t="s">
        <v>2375</v>
      </c>
      <c r="AD67" s="54"/>
      <c r="AE67" s="54" t="s">
        <v>3684</v>
      </c>
      <c r="AF67" s="54">
        <v>1988</v>
      </c>
      <c r="AG67" s="54" t="s">
        <v>2390</v>
      </c>
      <c r="AH67" s="54" t="s">
        <v>2365</v>
      </c>
      <c r="AI67" s="54" t="s">
        <v>2366</v>
      </c>
      <c r="AJ67" s="54"/>
      <c r="AK67" s="54"/>
      <c r="AL67" s="54"/>
      <c r="AM67" s="54"/>
      <c r="AN67" s="54"/>
      <c r="AO67" s="54"/>
      <c r="AP67" s="54"/>
      <c r="AQ67" s="54" t="s">
        <v>5147</v>
      </c>
      <c r="AR67" s="54"/>
      <c r="AS67" s="54"/>
      <c r="AT67" s="54" t="s">
        <v>2359</v>
      </c>
      <c r="AU67" s="54"/>
      <c r="AV67" s="54">
        <v>0</v>
      </c>
      <c r="AW67" s="54"/>
      <c r="AX67" s="54"/>
      <c r="AY67" s="54"/>
      <c r="AZ67" s="54"/>
      <c r="BA67" s="54"/>
      <c r="BB67" s="54" t="s">
        <v>2359</v>
      </c>
      <c r="BC67" s="54"/>
      <c r="BD67" s="54" t="s">
        <v>2371</v>
      </c>
      <c r="BE67" s="54"/>
      <c r="BF67" s="54">
        <v>1</v>
      </c>
      <c r="BG67" s="54">
        <v>-6.9625000000000004</v>
      </c>
      <c r="BH67" s="54">
        <v>107.4346</v>
      </c>
      <c r="BI67" s="54"/>
      <c r="BJ67" s="54">
        <v>44</v>
      </c>
      <c r="BK67" s="54">
        <v>134</v>
      </c>
      <c r="BL67" s="54">
        <v>52</v>
      </c>
      <c r="BM67" s="54">
        <v>1</v>
      </c>
      <c r="BN67" s="54">
        <v>1</v>
      </c>
    </row>
    <row r="68" spans="1:66" s="219" customFormat="1" hidden="1" x14ac:dyDescent="0.3">
      <c r="A68" s="54">
        <v>62</v>
      </c>
      <c r="B68" s="54" t="s">
        <v>2549</v>
      </c>
      <c r="C68" s="54" t="s">
        <v>2132</v>
      </c>
      <c r="D68" s="54" t="s">
        <v>52</v>
      </c>
      <c r="E68" s="54">
        <v>94007610</v>
      </c>
      <c r="F68" s="54" t="s">
        <v>2373</v>
      </c>
      <c r="G68" s="108">
        <v>39828</v>
      </c>
      <c r="H68" s="54">
        <v>3217121501090000</v>
      </c>
      <c r="I68" s="54" t="s">
        <v>2353</v>
      </c>
      <c r="J68" s="54" t="s">
        <v>2550</v>
      </c>
      <c r="K68" s="54">
        <v>2</v>
      </c>
      <c r="L68" s="54">
        <v>11</v>
      </c>
      <c r="M68" s="54"/>
      <c r="N68" s="54" t="s">
        <v>2513</v>
      </c>
      <c r="O68" s="54" t="s">
        <v>2356</v>
      </c>
      <c r="P68" s="54">
        <v>40764</v>
      </c>
      <c r="Q68" s="54" t="s">
        <v>2357</v>
      </c>
      <c r="R68" s="54" t="s">
        <v>2358</v>
      </c>
      <c r="S68" s="54"/>
      <c r="T68" s="54"/>
      <c r="U68" s="54"/>
      <c r="V68" s="54"/>
      <c r="W68" s="54" t="s">
        <v>2359</v>
      </c>
      <c r="X68" s="54"/>
      <c r="Y68" s="54" t="s">
        <v>2551</v>
      </c>
      <c r="Z68" s="54">
        <v>1976</v>
      </c>
      <c r="AA68" s="54" t="s">
        <v>2402</v>
      </c>
      <c r="AB68" s="54" t="s">
        <v>2362</v>
      </c>
      <c r="AC68" s="54" t="s">
        <v>2363</v>
      </c>
      <c r="AD68" s="54">
        <v>3217122404760000</v>
      </c>
      <c r="AE68" s="54" t="s">
        <v>2552</v>
      </c>
      <c r="AF68" s="54">
        <v>1974</v>
      </c>
      <c r="AG68" s="54" t="s">
        <v>2361</v>
      </c>
      <c r="AH68" s="54" t="s">
        <v>2365</v>
      </c>
      <c r="AI68" s="54" t="s">
        <v>2366</v>
      </c>
      <c r="AJ68" s="54">
        <v>3217124607730020</v>
      </c>
      <c r="AK68" s="54"/>
      <c r="AL68" s="54"/>
      <c r="AM68" s="54" t="s">
        <v>2367</v>
      </c>
      <c r="AN68" s="54"/>
      <c r="AO68" s="54"/>
      <c r="AP68" s="54"/>
      <c r="AQ68" s="54" t="s">
        <v>8181</v>
      </c>
      <c r="AR68" s="54"/>
      <c r="AS68" s="54"/>
      <c r="AT68" s="54" t="s">
        <v>2359</v>
      </c>
      <c r="AU68" s="54"/>
      <c r="AV68" s="54">
        <v>0</v>
      </c>
      <c r="AW68" s="54"/>
      <c r="AX68" s="54"/>
      <c r="AY68" s="54"/>
      <c r="AZ68" s="54"/>
      <c r="BA68" s="54"/>
      <c r="BB68" s="54" t="s">
        <v>2369</v>
      </c>
      <c r="BC68" s="54" t="s">
        <v>2370</v>
      </c>
      <c r="BD68" s="54" t="s">
        <v>2371</v>
      </c>
      <c r="BE68" s="54" t="s">
        <v>2553</v>
      </c>
      <c r="BF68" s="54">
        <v>3</v>
      </c>
      <c r="BG68" s="54">
        <v>-7.0068000000000001</v>
      </c>
      <c r="BH68" s="54">
        <v>107.2349</v>
      </c>
      <c r="BI68" s="54">
        <v>3217121609120030</v>
      </c>
      <c r="BJ68" s="54">
        <v>44</v>
      </c>
      <c r="BK68" s="54">
        <v>145</v>
      </c>
      <c r="BL68" s="54">
        <v>0</v>
      </c>
      <c r="BM68" s="54">
        <v>0</v>
      </c>
      <c r="BN68" s="54">
        <v>0</v>
      </c>
    </row>
    <row r="69" spans="1:66" hidden="1" x14ac:dyDescent="0.3">
      <c r="A69" s="3">
        <v>63</v>
      </c>
      <c r="B69" s="3" t="s">
        <v>4540</v>
      </c>
      <c r="C69" s="3" t="s">
        <v>4295</v>
      </c>
      <c r="D69" s="3" t="s">
        <v>52</v>
      </c>
      <c r="E69" s="3">
        <v>119393287</v>
      </c>
      <c r="F69" s="3" t="s">
        <v>2373</v>
      </c>
      <c r="G69" s="157">
        <v>40554</v>
      </c>
      <c r="H69" s="3">
        <v>3217121101110000</v>
      </c>
      <c r="I69" s="3" t="s">
        <v>2353</v>
      </c>
      <c r="J69" s="3" t="s">
        <v>4524</v>
      </c>
      <c r="K69" s="3">
        <v>2</v>
      </c>
      <c r="L69" s="3">
        <v>11</v>
      </c>
      <c r="M69" s="3"/>
      <c r="N69" s="3" t="s">
        <v>2395</v>
      </c>
      <c r="O69" s="3" t="s">
        <v>2356</v>
      </c>
      <c r="P69" s="3">
        <v>40764</v>
      </c>
      <c r="Q69" s="3" t="s">
        <v>2357</v>
      </c>
      <c r="R69" s="3" t="s">
        <v>2358</v>
      </c>
      <c r="S69" s="3"/>
      <c r="T69" s="3">
        <v>81312145705</v>
      </c>
      <c r="U69" s="3"/>
      <c r="V69" s="3"/>
      <c r="W69" s="3" t="s">
        <v>2359</v>
      </c>
      <c r="X69" s="3"/>
      <c r="Y69" s="3" t="s">
        <v>4541</v>
      </c>
      <c r="Z69" s="3">
        <v>1973</v>
      </c>
      <c r="AA69" s="3" t="s">
        <v>2361</v>
      </c>
      <c r="AB69" s="3" t="s">
        <v>2362</v>
      </c>
      <c r="AC69" s="3" t="s">
        <v>2363</v>
      </c>
      <c r="AD69" s="3">
        <v>3217120305730010</v>
      </c>
      <c r="AE69" s="3" t="s">
        <v>4542</v>
      </c>
      <c r="AF69" s="3">
        <v>1976</v>
      </c>
      <c r="AG69" s="3" t="s">
        <v>2361</v>
      </c>
      <c r="AH69" s="3" t="s">
        <v>2365</v>
      </c>
      <c r="AI69" s="3" t="s">
        <v>2366</v>
      </c>
      <c r="AJ69" s="3">
        <v>3217125405760010</v>
      </c>
      <c r="AK69" s="3"/>
      <c r="AL69" s="3"/>
      <c r="AM69" s="3" t="s">
        <v>2367</v>
      </c>
      <c r="AN69" s="3"/>
      <c r="AO69" s="3"/>
      <c r="AP69" s="3"/>
      <c r="AQ69" s="3" t="s">
        <v>5150</v>
      </c>
      <c r="AR69" s="3"/>
      <c r="AS69" s="3"/>
      <c r="AT69" s="3" t="s">
        <v>2359</v>
      </c>
      <c r="AU69" s="3"/>
      <c r="AV69" s="3">
        <v>0</v>
      </c>
      <c r="AW69" s="3"/>
      <c r="AX69" s="3" t="s">
        <v>4045</v>
      </c>
      <c r="AY69" s="3"/>
      <c r="AZ69" s="3"/>
      <c r="BA69" s="3"/>
      <c r="BB69" s="3" t="s">
        <v>2359</v>
      </c>
      <c r="BC69" s="3"/>
      <c r="BD69" s="3" t="s">
        <v>2371</v>
      </c>
      <c r="BE69" s="3" t="s">
        <v>2553</v>
      </c>
      <c r="BF69" s="3">
        <v>3</v>
      </c>
      <c r="BG69" s="3">
        <v>-7.0068000000000001</v>
      </c>
      <c r="BH69" s="3">
        <v>107.2349</v>
      </c>
      <c r="BI69" s="3">
        <v>3217121408070040</v>
      </c>
      <c r="BJ69" s="3">
        <v>44</v>
      </c>
      <c r="BK69" s="3">
        <v>143</v>
      </c>
      <c r="BL69" s="3">
        <v>56</v>
      </c>
      <c r="BM69" s="3">
        <v>1</v>
      </c>
      <c r="BN69" s="3">
        <v>0</v>
      </c>
    </row>
    <row r="70" spans="1:66" s="219" customFormat="1" hidden="1" x14ac:dyDescent="0.3">
      <c r="A70" s="54">
        <v>64</v>
      </c>
      <c r="B70" s="54" t="s">
        <v>1843</v>
      </c>
      <c r="C70" s="54" t="s">
        <v>1491</v>
      </c>
      <c r="D70" s="54" t="s">
        <v>52</v>
      </c>
      <c r="E70" s="54">
        <v>88047886</v>
      </c>
      <c r="F70" s="54" t="s">
        <v>2373</v>
      </c>
      <c r="G70" s="108">
        <v>39648</v>
      </c>
      <c r="H70" s="54">
        <v>3217121907080000</v>
      </c>
      <c r="I70" s="54" t="s">
        <v>2353</v>
      </c>
      <c r="J70" s="54" t="s">
        <v>3297</v>
      </c>
      <c r="K70" s="54">
        <v>4</v>
      </c>
      <c r="L70" s="54">
        <v>9</v>
      </c>
      <c r="M70" s="54" t="s">
        <v>3297</v>
      </c>
      <c r="N70" s="54" t="s">
        <v>2395</v>
      </c>
      <c r="O70" s="54" t="s">
        <v>2356</v>
      </c>
      <c r="P70" s="54">
        <v>40564</v>
      </c>
      <c r="Q70" s="54" t="s">
        <v>2357</v>
      </c>
      <c r="R70" s="54" t="s">
        <v>2358</v>
      </c>
      <c r="S70" s="54"/>
      <c r="T70" s="54">
        <v>83822115975</v>
      </c>
      <c r="U70" s="54"/>
      <c r="V70" s="54"/>
      <c r="W70" s="54" t="s">
        <v>2369</v>
      </c>
      <c r="X70" s="54" t="s">
        <v>3454</v>
      </c>
      <c r="Y70" s="54" t="s">
        <v>3455</v>
      </c>
      <c r="Z70" s="54">
        <v>1968</v>
      </c>
      <c r="AA70" s="54" t="s">
        <v>2361</v>
      </c>
      <c r="AB70" s="54" t="s">
        <v>2362</v>
      </c>
      <c r="AC70" s="54" t="s">
        <v>2403</v>
      </c>
      <c r="AD70" s="54">
        <v>3217120606680000</v>
      </c>
      <c r="AE70" s="54" t="s">
        <v>3456</v>
      </c>
      <c r="AF70" s="54">
        <v>1963</v>
      </c>
      <c r="AG70" s="54" t="s">
        <v>2361</v>
      </c>
      <c r="AH70" s="54" t="s">
        <v>2365</v>
      </c>
      <c r="AI70" s="54" t="s">
        <v>2366</v>
      </c>
      <c r="AJ70" s="54">
        <v>3217124303630000</v>
      </c>
      <c r="AK70" s="54"/>
      <c r="AL70" s="54"/>
      <c r="AM70" s="54"/>
      <c r="AN70" s="54"/>
      <c r="AO70" s="54"/>
      <c r="AP70" s="54"/>
      <c r="AQ70" s="54" t="s">
        <v>5147</v>
      </c>
      <c r="AR70" s="54"/>
      <c r="AS70" s="54"/>
      <c r="AT70" s="54" t="s">
        <v>2359</v>
      </c>
      <c r="AU70" s="54"/>
      <c r="AV70" s="54">
        <v>0</v>
      </c>
      <c r="AW70" s="54" t="s">
        <v>3457</v>
      </c>
      <c r="AX70" s="54"/>
      <c r="AY70" s="54"/>
      <c r="AZ70" s="54"/>
      <c r="BA70" s="54"/>
      <c r="BB70" s="54" t="s">
        <v>2369</v>
      </c>
      <c r="BC70" s="54" t="s">
        <v>2443</v>
      </c>
      <c r="BD70" s="54" t="s">
        <v>2371</v>
      </c>
      <c r="BE70" s="54"/>
      <c r="BF70" s="54">
        <v>2</v>
      </c>
      <c r="BG70" s="54">
        <v>-6.9661</v>
      </c>
      <c r="BH70" s="54">
        <v>107.4057</v>
      </c>
      <c r="BI70" s="54">
        <v>3217121604055620</v>
      </c>
      <c r="BJ70" s="54">
        <v>41</v>
      </c>
      <c r="BK70" s="54">
        <v>141</v>
      </c>
      <c r="BL70" s="54">
        <v>53</v>
      </c>
      <c r="BM70" s="54">
        <v>4</v>
      </c>
      <c r="BN70" s="54">
        <v>2</v>
      </c>
    </row>
    <row r="71" spans="1:66" x14ac:dyDescent="0.3">
      <c r="A71" s="3">
        <v>65</v>
      </c>
      <c r="B71" s="3" t="s">
        <v>4543</v>
      </c>
      <c r="C71" s="3"/>
      <c r="D71" s="3" t="s">
        <v>53</v>
      </c>
      <c r="E71" s="3">
        <v>119067268</v>
      </c>
      <c r="F71" s="3" t="s">
        <v>2377</v>
      </c>
      <c r="G71" s="157">
        <v>40784</v>
      </c>
      <c r="H71" s="3">
        <v>3217126908110000</v>
      </c>
      <c r="I71" s="3" t="s">
        <v>2353</v>
      </c>
      <c r="J71" s="3" t="s">
        <v>3706</v>
      </c>
      <c r="K71" s="3">
        <v>4</v>
      </c>
      <c r="L71" s="3">
        <v>8</v>
      </c>
      <c r="M71" s="3" t="s">
        <v>3706</v>
      </c>
      <c r="N71" s="3" t="s">
        <v>4527</v>
      </c>
      <c r="O71" s="3" t="s">
        <v>2356</v>
      </c>
      <c r="P71" s="3">
        <v>40764</v>
      </c>
      <c r="Q71" s="3" t="s">
        <v>2357</v>
      </c>
      <c r="R71" s="3" t="s">
        <v>2358</v>
      </c>
      <c r="S71" s="3"/>
      <c r="T71" s="3">
        <v>81324645460</v>
      </c>
      <c r="U71" s="3"/>
      <c r="V71" s="3"/>
      <c r="W71" s="3" t="s">
        <v>2359</v>
      </c>
      <c r="X71" s="3"/>
      <c r="Y71" s="3" t="s">
        <v>4544</v>
      </c>
      <c r="Z71" s="3">
        <v>1988</v>
      </c>
      <c r="AA71" s="3" t="s">
        <v>2402</v>
      </c>
      <c r="AB71" s="3" t="s">
        <v>2362</v>
      </c>
      <c r="AC71" s="3" t="s">
        <v>2363</v>
      </c>
      <c r="AD71" s="3">
        <v>3217120108880000</v>
      </c>
      <c r="AE71" s="3" t="s">
        <v>4545</v>
      </c>
      <c r="AF71" s="3">
        <v>1992</v>
      </c>
      <c r="AG71" s="3" t="s">
        <v>2402</v>
      </c>
      <c r="AH71" s="3" t="s">
        <v>2365</v>
      </c>
      <c r="AI71" s="3" t="s">
        <v>2366</v>
      </c>
      <c r="AJ71" s="3">
        <v>3217124812920000</v>
      </c>
      <c r="AK71" s="3"/>
      <c r="AL71" s="3"/>
      <c r="AM71" s="3" t="s">
        <v>2367</v>
      </c>
      <c r="AN71" s="3"/>
      <c r="AO71" s="3"/>
      <c r="AP71" s="3"/>
      <c r="AQ71" s="3" t="s">
        <v>5148</v>
      </c>
      <c r="AR71" s="3"/>
      <c r="AS71" s="3"/>
      <c r="AT71" s="3" t="s">
        <v>2359</v>
      </c>
      <c r="AU71" s="3"/>
      <c r="AV71" s="3">
        <v>0</v>
      </c>
      <c r="AW71" s="3"/>
      <c r="AX71" s="3" t="s">
        <v>4546</v>
      </c>
      <c r="AY71" s="3"/>
      <c r="AZ71" s="3"/>
      <c r="BA71" s="3"/>
      <c r="BB71" s="3" t="s">
        <v>2369</v>
      </c>
      <c r="BC71" s="3" t="s">
        <v>2370</v>
      </c>
      <c r="BD71" s="3" t="s">
        <v>2371</v>
      </c>
      <c r="BE71" s="3" t="s">
        <v>2937</v>
      </c>
      <c r="BF71" s="3">
        <v>1</v>
      </c>
      <c r="BG71" s="3">
        <v>-6.9486999999999997</v>
      </c>
      <c r="BH71" s="3">
        <v>107.3831</v>
      </c>
      <c r="BI71" s="3">
        <v>3217120307120070</v>
      </c>
      <c r="BJ71" s="3">
        <v>45</v>
      </c>
      <c r="BK71" s="3">
        <v>138</v>
      </c>
      <c r="BL71" s="3">
        <v>55</v>
      </c>
      <c r="BM71" s="3">
        <v>2</v>
      </c>
      <c r="BN71" s="3">
        <v>2</v>
      </c>
    </row>
    <row r="72" spans="1:66" s="219" customFormat="1" hidden="1" x14ac:dyDescent="0.3">
      <c r="A72" s="54">
        <v>66</v>
      </c>
      <c r="B72" s="54" t="s">
        <v>1818</v>
      </c>
      <c r="C72" s="54" t="s">
        <v>1460</v>
      </c>
      <c r="D72" s="54" t="s">
        <v>53</v>
      </c>
      <c r="E72" s="54">
        <v>81217048</v>
      </c>
      <c r="F72" s="54" t="s">
        <v>2446</v>
      </c>
      <c r="G72" s="108">
        <v>39693</v>
      </c>
      <c r="H72" s="54">
        <v>3217114209080000</v>
      </c>
      <c r="I72" s="54" t="s">
        <v>2353</v>
      </c>
      <c r="J72" s="54" t="s">
        <v>3134</v>
      </c>
      <c r="K72" s="54">
        <v>1</v>
      </c>
      <c r="L72" s="54">
        <v>8</v>
      </c>
      <c r="M72" s="54"/>
      <c r="N72" s="54" t="s">
        <v>2425</v>
      </c>
      <c r="O72" s="54" t="s">
        <v>2426</v>
      </c>
      <c r="P72" s="54">
        <v>40561</v>
      </c>
      <c r="Q72" s="54" t="s">
        <v>2357</v>
      </c>
      <c r="R72" s="54" t="s">
        <v>2358</v>
      </c>
      <c r="S72" s="54"/>
      <c r="T72" s="54"/>
      <c r="U72" s="54"/>
      <c r="V72" s="54"/>
      <c r="W72" s="54" t="s">
        <v>2359</v>
      </c>
      <c r="X72" s="54"/>
      <c r="Y72" s="54" t="s">
        <v>3348</v>
      </c>
      <c r="Z72" s="54">
        <v>1966</v>
      </c>
      <c r="AA72" s="54" t="s">
        <v>2402</v>
      </c>
      <c r="AB72" s="54" t="s">
        <v>2362</v>
      </c>
      <c r="AC72" s="54" t="s">
        <v>2375</v>
      </c>
      <c r="AD72" s="54">
        <v>3217111205660000</v>
      </c>
      <c r="AE72" s="54" t="s">
        <v>3349</v>
      </c>
      <c r="AF72" s="54">
        <v>1977</v>
      </c>
      <c r="AG72" s="54" t="s">
        <v>2402</v>
      </c>
      <c r="AH72" s="54" t="s">
        <v>2365</v>
      </c>
      <c r="AI72" s="54" t="s">
        <v>2366</v>
      </c>
      <c r="AJ72" s="54">
        <v>3217116610770000</v>
      </c>
      <c r="AK72" s="54"/>
      <c r="AL72" s="54"/>
      <c r="AM72" s="54"/>
      <c r="AN72" s="54"/>
      <c r="AO72" s="54"/>
      <c r="AP72" s="54"/>
      <c r="AQ72" s="54" t="s">
        <v>5147</v>
      </c>
      <c r="AR72" s="54"/>
      <c r="AS72" s="54"/>
      <c r="AT72" s="54" t="s">
        <v>2359</v>
      </c>
      <c r="AU72" s="54"/>
      <c r="AV72" s="54">
        <v>0</v>
      </c>
      <c r="AW72" s="54"/>
      <c r="AX72" s="54" t="s">
        <v>3350</v>
      </c>
      <c r="AY72" s="54"/>
      <c r="AZ72" s="54"/>
      <c r="BA72" s="54"/>
      <c r="BB72" s="54" t="s">
        <v>2369</v>
      </c>
      <c r="BC72" s="54" t="s">
        <v>2370</v>
      </c>
      <c r="BD72" s="54" t="s">
        <v>2371</v>
      </c>
      <c r="BE72" s="54"/>
      <c r="BF72" s="54">
        <v>1</v>
      </c>
      <c r="BG72" s="54">
        <v>-6.9625000000000004</v>
      </c>
      <c r="BH72" s="54">
        <v>107.4346</v>
      </c>
      <c r="BI72" s="54">
        <v>3217110811060040</v>
      </c>
      <c r="BJ72" s="54">
        <v>39</v>
      </c>
      <c r="BK72" s="54">
        <v>144</v>
      </c>
      <c r="BL72" s="54">
        <v>58</v>
      </c>
      <c r="BM72" s="54">
        <v>1</v>
      </c>
      <c r="BN72" s="54">
        <v>1</v>
      </c>
    </row>
    <row r="73" spans="1:66" s="219" customFormat="1" hidden="1" x14ac:dyDescent="0.3">
      <c r="A73" s="54">
        <v>67</v>
      </c>
      <c r="B73" s="54" t="s">
        <v>1897</v>
      </c>
      <c r="C73" s="54" t="s">
        <v>1548</v>
      </c>
      <c r="D73" s="54" t="s">
        <v>52</v>
      </c>
      <c r="E73" s="54">
        <v>81043244</v>
      </c>
      <c r="F73" s="54" t="s">
        <v>2352</v>
      </c>
      <c r="G73" s="108">
        <v>39729</v>
      </c>
      <c r="H73" s="54">
        <v>3217120810080000</v>
      </c>
      <c r="I73" s="54" t="s">
        <v>2353</v>
      </c>
      <c r="J73" s="54" t="s">
        <v>3685</v>
      </c>
      <c r="K73" s="54">
        <v>1</v>
      </c>
      <c r="L73" s="54">
        <v>5</v>
      </c>
      <c r="M73" s="54"/>
      <c r="N73" s="54" t="s">
        <v>2513</v>
      </c>
      <c r="O73" s="54" t="s">
        <v>2356</v>
      </c>
      <c r="P73" s="54">
        <v>40564</v>
      </c>
      <c r="Q73" s="54" t="s">
        <v>2357</v>
      </c>
      <c r="R73" s="54" t="s">
        <v>2358</v>
      </c>
      <c r="S73" s="54"/>
      <c r="T73" s="54">
        <v>859110081377</v>
      </c>
      <c r="U73" s="54"/>
      <c r="V73" s="54"/>
      <c r="W73" s="54" t="s">
        <v>2359</v>
      </c>
      <c r="X73" s="54" t="s">
        <v>3686</v>
      </c>
      <c r="Y73" s="54" t="s">
        <v>3687</v>
      </c>
      <c r="Z73" s="54">
        <v>1974</v>
      </c>
      <c r="AA73" s="54" t="s">
        <v>2390</v>
      </c>
      <c r="AB73" s="54" t="s">
        <v>2362</v>
      </c>
      <c r="AC73" s="54" t="s">
        <v>2363</v>
      </c>
      <c r="AD73" s="54"/>
      <c r="AE73" s="54" t="s">
        <v>3688</v>
      </c>
      <c r="AF73" s="54">
        <v>1980</v>
      </c>
      <c r="AG73" s="54" t="s">
        <v>2361</v>
      </c>
      <c r="AH73" s="54" t="s">
        <v>2365</v>
      </c>
      <c r="AI73" s="54" t="s">
        <v>2366</v>
      </c>
      <c r="AJ73" s="54"/>
      <c r="AK73" s="54"/>
      <c r="AL73" s="54"/>
      <c r="AM73" s="54"/>
      <c r="AN73" s="54"/>
      <c r="AO73" s="54"/>
      <c r="AP73" s="54"/>
      <c r="AQ73" s="54" t="s">
        <v>5147</v>
      </c>
      <c r="AR73" s="54"/>
      <c r="AS73" s="54"/>
      <c r="AT73" s="54" t="s">
        <v>2369</v>
      </c>
      <c r="AU73" s="54" t="s">
        <v>3686</v>
      </c>
      <c r="AV73" s="54">
        <v>0</v>
      </c>
      <c r="AW73" s="54"/>
      <c r="AX73" s="54"/>
      <c r="AY73" s="54" t="s">
        <v>2460</v>
      </c>
      <c r="AZ73" s="54">
        <v>411601004274503</v>
      </c>
      <c r="BA73" s="54" t="s">
        <v>1897</v>
      </c>
      <c r="BB73" s="54" t="s">
        <v>2369</v>
      </c>
      <c r="BC73" s="54"/>
      <c r="BD73" s="54" t="s">
        <v>2371</v>
      </c>
      <c r="BE73" s="54"/>
      <c r="BF73" s="54">
        <v>2</v>
      </c>
      <c r="BG73" s="54">
        <v>-6.9676999999999998</v>
      </c>
      <c r="BH73" s="54">
        <v>107.4117</v>
      </c>
      <c r="BI73" s="54"/>
      <c r="BJ73" s="54">
        <v>40</v>
      </c>
      <c r="BK73" s="54">
        <v>139</v>
      </c>
      <c r="BL73" s="54">
        <v>58</v>
      </c>
      <c r="BM73" s="54">
        <v>1</v>
      </c>
      <c r="BN73" s="54">
        <v>1</v>
      </c>
    </row>
    <row r="74" spans="1:66" hidden="1" x14ac:dyDescent="0.3">
      <c r="A74" s="3">
        <v>68</v>
      </c>
      <c r="B74" s="3" t="s">
        <v>3787</v>
      </c>
      <c r="C74" s="3" t="s">
        <v>4231</v>
      </c>
      <c r="D74" s="3" t="s">
        <v>52</v>
      </c>
      <c r="E74" s="3">
        <v>3119372744</v>
      </c>
      <c r="F74" s="3" t="s">
        <v>2377</v>
      </c>
      <c r="G74" s="157">
        <v>40583</v>
      </c>
      <c r="H74" s="3">
        <v>3217120902110000</v>
      </c>
      <c r="I74" s="3" t="s">
        <v>2353</v>
      </c>
      <c r="J74" s="3" t="s">
        <v>2394</v>
      </c>
      <c r="K74" s="3">
        <v>4</v>
      </c>
      <c r="L74" s="3">
        <v>1</v>
      </c>
      <c r="M74" s="3"/>
      <c r="N74" s="3" t="s">
        <v>4475</v>
      </c>
      <c r="O74" s="3" t="s">
        <v>2356</v>
      </c>
      <c r="P74" s="3">
        <v>40762</v>
      </c>
      <c r="Q74" s="3" t="s">
        <v>2357</v>
      </c>
      <c r="R74" s="3" t="s">
        <v>2358</v>
      </c>
      <c r="S74" s="3"/>
      <c r="T74" s="3"/>
      <c r="U74" s="3"/>
      <c r="V74" s="3"/>
      <c r="W74" s="3" t="s">
        <v>2359</v>
      </c>
      <c r="X74" s="3"/>
      <c r="Y74" s="3" t="s">
        <v>4547</v>
      </c>
      <c r="Z74" s="3">
        <v>1987</v>
      </c>
      <c r="AA74" s="3" t="s">
        <v>2402</v>
      </c>
      <c r="AB74" s="3" t="s">
        <v>2362</v>
      </c>
      <c r="AC74" s="3" t="s">
        <v>2363</v>
      </c>
      <c r="AD74" s="3">
        <v>3217120808870020</v>
      </c>
      <c r="AE74" s="3" t="s">
        <v>4019</v>
      </c>
      <c r="AF74" s="3">
        <v>1992</v>
      </c>
      <c r="AG74" s="3" t="s">
        <v>2402</v>
      </c>
      <c r="AH74" s="3" t="s">
        <v>2365</v>
      </c>
      <c r="AI74" s="3" t="s">
        <v>2366</v>
      </c>
      <c r="AJ74" s="3">
        <v>3217124501920010</v>
      </c>
      <c r="AK74" s="3"/>
      <c r="AL74" s="3"/>
      <c r="AM74" s="3"/>
      <c r="AN74" s="3"/>
      <c r="AO74" s="3"/>
      <c r="AP74" s="3"/>
      <c r="AQ74" s="3" t="s">
        <v>5146</v>
      </c>
      <c r="AR74" s="3" t="s">
        <v>4018</v>
      </c>
      <c r="AS74" s="3" t="s">
        <v>4548</v>
      </c>
      <c r="AT74" s="3" t="s">
        <v>2359</v>
      </c>
      <c r="AU74" s="3"/>
      <c r="AV74" s="3">
        <v>1</v>
      </c>
      <c r="AW74" s="3"/>
      <c r="AX74" s="3" t="s">
        <v>4549</v>
      </c>
      <c r="AY74" s="3"/>
      <c r="AZ74" s="3"/>
      <c r="BA74" s="3"/>
      <c r="BB74" s="3" t="s">
        <v>2369</v>
      </c>
      <c r="BC74" s="3" t="s">
        <v>2370</v>
      </c>
      <c r="BD74" s="3" t="s">
        <v>2371</v>
      </c>
      <c r="BE74" s="3" t="s">
        <v>4497</v>
      </c>
      <c r="BF74" s="3">
        <v>1</v>
      </c>
      <c r="BG74" s="3">
        <v>-6.9625000000000004</v>
      </c>
      <c r="BH74" s="3">
        <v>107.4346</v>
      </c>
      <c r="BI74" s="3">
        <v>3217120303100030</v>
      </c>
      <c r="BJ74" s="3">
        <v>44</v>
      </c>
      <c r="BK74" s="3">
        <v>140</v>
      </c>
      <c r="BL74" s="3">
        <v>51</v>
      </c>
      <c r="BM74" s="3">
        <v>1</v>
      </c>
      <c r="BN74" s="3">
        <v>2</v>
      </c>
    </row>
    <row r="75" spans="1:66" hidden="1" x14ac:dyDescent="0.3">
      <c r="A75" s="3">
        <v>69</v>
      </c>
      <c r="B75" s="3" t="s">
        <v>4550</v>
      </c>
      <c r="C75" s="3" t="s">
        <v>4363</v>
      </c>
      <c r="D75" s="3" t="s">
        <v>52</v>
      </c>
      <c r="E75" s="3">
        <v>105505637</v>
      </c>
      <c r="F75" s="3" t="s">
        <v>2373</v>
      </c>
      <c r="G75" s="157">
        <v>40391</v>
      </c>
      <c r="H75" s="3">
        <v>3217110108100000</v>
      </c>
      <c r="I75" s="3" t="s">
        <v>2353</v>
      </c>
      <c r="J75" s="3" t="s">
        <v>2424</v>
      </c>
      <c r="K75" s="3">
        <v>3</v>
      </c>
      <c r="L75" s="3">
        <v>14</v>
      </c>
      <c r="M75" s="3"/>
      <c r="N75" s="3" t="s">
        <v>2425</v>
      </c>
      <c r="O75" s="3" t="s">
        <v>2426</v>
      </c>
      <c r="P75" s="3">
        <v>40562</v>
      </c>
      <c r="Q75" s="3" t="s">
        <v>2357</v>
      </c>
      <c r="R75" s="3" t="s">
        <v>2358</v>
      </c>
      <c r="S75" s="3"/>
      <c r="T75" s="3">
        <v>83821188547</v>
      </c>
      <c r="U75" s="3"/>
      <c r="V75" s="3"/>
      <c r="W75" s="3" t="s">
        <v>2359</v>
      </c>
      <c r="X75" s="3"/>
      <c r="Y75" s="3" t="s">
        <v>4456</v>
      </c>
      <c r="Z75" s="3">
        <v>1979</v>
      </c>
      <c r="AA75" s="3" t="s">
        <v>2361</v>
      </c>
      <c r="AB75" s="3" t="s">
        <v>2362</v>
      </c>
      <c r="AC75" s="3" t="s">
        <v>2403</v>
      </c>
      <c r="AD75" s="3"/>
      <c r="AE75" s="3" t="s">
        <v>4551</v>
      </c>
      <c r="AF75" s="3">
        <v>1988</v>
      </c>
      <c r="AG75" s="3" t="s">
        <v>2402</v>
      </c>
      <c r="AH75" s="3" t="s">
        <v>2365</v>
      </c>
      <c r="AI75" s="3" t="s">
        <v>2366</v>
      </c>
      <c r="AJ75" s="3"/>
      <c r="AK75" s="3"/>
      <c r="AL75" s="3"/>
      <c r="AM75" s="3" t="s">
        <v>2367</v>
      </c>
      <c r="AN75" s="3"/>
      <c r="AO75" s="3"/>
      <c r="AP75" s="3"/>
      <c r="AQ75" s="3" t="s">
        <v>5151</v>
      </c>
      <c r="AR75" s="3"/>
      <c r="AS75" s="3"/>
      <c r="AT75" s="3" t="s">
        <v>2359</v>
      </c>
      <c r="AU75" s="3"/>
      <c r="AV75" s="3">
        <v>0</v>
      </c>
      <c r="AW75" s="3"/>
      <c r="AX75" s="3" t="s">
        <v>4111</v>
      </c>
      <c r="AY75" s="3"/>
      <c r="AZ75" s="3"/>
      <c r="BA75" s="3"/>
      <c r="BB75" s="3" t="s">
        <v>2369</v>
      </c>
      <c r="BC75" s="3" t="s">
        <v>2370</v>
      </c>
      <c r="BD75" s="3" t="s">
        <v>2371</v>
      </c>
      <c r="BE75" s="3" t="s">
        <v>2430</v>
      </c>
      <c r="BF75" s="3">
        <v>1</v>
      </c>
      <c r="BG75" s="3">
        <v>-6.9514541999999997</v>
      </c>
      <c r="BH75" s="3">
        <v>107.4179645</v>
      </c>
      <c r="BI75" s="3"/>
      <c r="BJ75" s="3">
        <v>42</v>
      </c>
      <c r="BK75" s="3">
        <v>140</v>
      </c>
      <c r="BL75" s="3">
        <v>49</v>
      </c>
      <c r="BM75" s="3">
        <v>1</v>
      </c>
      <c r="BN75" s="3">
        <v>2</v>
      </c>
    </row>
    <row r="76" spans="1:66" s="219" customFormat="1" hidden="1" x14ac:dyDescent="0.3">
      <c r="A76" s="54">
        <v>70</v>
      </c>
      <c r="B76" s="54" t="s">
        <v>1701</v>
      </c>
      <c r="C76" s="54" t="s">
        <v>2192</v>
      </c>
      <c r="D76" s="54" t="s">
        <v>52</v>
      </c>
      <c r="E76" s="54">
        <v>109225263</v>
      </c>
      <c r="F76" s="54" t="s">
        <v>2377</v>
      </c>
      <c r="G76" s="108">
        <v>40321</v>
      </c>
      <c r="H76" s="54">
        <v>3217082505100000</v>
      </c>
      <c r="I76" s="54" t="s">
        <v>2353</v>
      </c>
      <c r="J76" s="54" t="s">
        <v>2796</v>
      </c>
      <c r="K76" s="54">
        <v>1</v>
      </c>
      <c r="L76" s="54">
        <v>9</v>
      </c>
      <c r="M76" s="54"/>
      <c r="N76" s="54" t="s">
        <v>2797</v>
      </c>
      <c r="O76" s="54" t="s">
        <v>2798</v>
      </c>
      <c r="P76" s="54">
        <v>40715</v>
      </c>
      <c r="Q76" s="54" t="s">
        <v>2357</v>
      </c>
      <c r="R76" s="54" t="s">
        <v>2374</v>
      </c>
      <c r="S76" s="54"/>
      <c r="T76" s="54">
        <v>82112824349</v>
      </c>
      <c r="U76" s="54"/>
      <c r="V76" s="54"/>
      <c r="W76" s="54" t="s">
        <v>2359</v>
      </c>
      <c r="X76" s="54"/>
      <c r="Y76" s="54" t="s">
        <v>2799</v>
      </c>
      <c r="Z76" s="54">
        <v>1983</v>
      </c>
      <c r="AA76" s="54" t="s">
        <v>2390</v>
      </c>
      <c r="AB76" s="54" t="s">
        <v>2388</v>
      </c>
      <c r="AC76" s="54" t="s">
        <v>2375</v>
      </c>
      <c r="AD76" s="54">
        <v>3217080601830010</v>
      </c>
      <c r="AE76" s="54" t="s">
        <v>2800</v>
      </c>
      <c r="AF76" s="54">
        <v>1984</v>
      </c>
      <c r="AG76" s="54" t="s">
        <v>2390</v>
      </c>
      <c r="AH76" s="54" t="s">
        <v>2365</v>
      </c>
      <c r="AI76" s="54" t="s">
        <v>2366</v>
      </c>
      <c r="AJ76" s="54">
        <v>3217085811840000</v>
      </c>
      <c r="AK76" s="54"/>
      <c r="AL76" s="54"/>
      <c r="AM76" s="54" t="s">
        <v>2367</v>
      </c>
      <c r="AN76" s="54"/>
      <c r="AO76" s="54"/>
      <c r="AP76" s="54"/>
      <c r="AQ76" s="54" t="s">
        <v>8183</v>
      </c>
      <c r="AR76" s="54"/>
      <c r="AS76" s="54"/>
      <c r="AT76" s="54" t="s">
        <v>2359</v>
      </c>
      <c r="AU76" s="54"/>
      <c r="AV76" s="54">
        <v>0</v>
      </c>
      <c r="AW76" s="54"/>
      <c r="AX76" s="54" t="s">
        <v>2801</v>
      </c>
      <c r="AY76" s="54"/>
      <c r="AZ76" s="54"/>
      <c r="BA76" s="54"/>
      <c r="BB76" s="54" t="s">
        <v>2369</v>
      </c>
      <c r="BC76" s="54" t="s">
        <v>2370</v>
      </c>
      <c r="BD76" s="54" t="s">
        <v>2371</v>
      </c>
      <c r="BE76" s="54" t="s">
        <v>2802</v>
      </c>
      <c r="BF76" s="54">
        <v>1</v>
      </c>
      <c r="BG76" s="54">
        <v>-6.8853</v>
      </c>
      <c r="BH76" s="54">
        <v>107.491</v>
      </c>
      <c r="BI76" s="54">
        <v>3217080812120000</v>
      </c>
      <c r="BJ76" s="54">
        <v>58</v>
      </c>
      <c r="BK76" s="54">
        <v>143</v>
      </c>
      <c r="BL76" s="54">
        <v>0</v>
      </c>
      <c r="BM76" s="54">
        <v>0</v>
      </c>
      <c r="BN76" s="54">
        <v>0</v>
      </c>
    </row>
    <row r="77" spans="1:66" s="219" customFormat="1" hidden="1" x14ac:dyDescent="0.3">
      <c r="A77" s="54">
        <v>71</v>
      </c>
      <c r="B77" s="54" t="s">
        <v>1844</v>
      </c>
      <c r="C77" s="54" t="s">
        <v>1492</v>
      </c>
      <c r="D77" s="54" t="s">
        <v>52</v>
      </c>
      <c r="E77" s="54">
        <v>95623466</v>
      </c>
      <c r="F77" s="54" t="s">
        <v>2377</v>
      </c>
      <c r="G77" s="108">
        <v>39959</v>
      </c>
      <c r="H77" s="54">
        <v>3217112605090000</v>
      </c>
      <c r="I77" s="54" t="s">
        <v>2353</v>
      </c>
      <c r="J77" s="54" t="s">
        <v>3458</v>
      </c>
      <c r="K77" s="54">
        <v>7</v>
      </c>
      <c r="L77" s="54">
        <v>1</v>
      </c>
      <c r="M77" s="54"/>
      <c r="N77" s="54" t="s">
        <v>3105</v>
      </c>
      <c r="O77" s="54" t="s">
        <v>2426</v>
      </c>
      <c r="P77" s="54">
        <v>40562</v>
      </c>
      <c r="Q77" s="54" t="s">
        <v>2357</v>
      </c>
      <c r="R77" s="54" t="s">
        <v>2358</v>
      </c>
      <c r="S77" s="54"/>
      <c r="T77" s="54">
        <v>83821653935</v>
      </c>
      <c r="U77" s="54"/>
      <c r="V77" s="54"/>
      <c r="W77" s="54" t="s">
        <v>2359</v>
      </c>
      <c r="X77" s="54"/>
      <c r="Y77" s="54" t="s">
        <v>3459</v>
      </c>
      <c r="Z77" s="54">
        <v>1981</v>
      </c>
      <c r="AA77" s="54" t="s">
        <v>3460</v>
      </c>
      <c r="AB77" s="54" t="s">
        <v>2362</v>
      </c>
      <c r="AC77" s="54" t="s">
        <v>2375</v>
      </c>
      <c r="AD77" s="54"/>
      <c r="AE77" s="54" t="s">
        <v>3461</v>
      </c>
      <c r="AF77" s="54">
        <v>1985</v>
      </c>
      <c r="AG77" s="54" t="s">
        <v>2390</v>
      </c>
      <c r="AH77" s="54" t="s">
        <v>2365</v>
      </c>
      <c r="AI77" s="54" t="s">
        <v>2366</v>
      </c>
      <c r="AJ77" s="54"/>
      <c r="AK77" s="54"/>
      <c r="AL77" s="54"/>
      <c r="AM77" s="54"/>
      <c r="AN77" s="54"/>
      <c r="AO77" s="54"/>
      <c r="AP77" s="54"/>
      <c r="AQ77" s="54" t="s">
        <v>5147</v>
      </c>
      <c r="AR77" s="54"/>
      <c r="AS77" s="54"/>
      <c r="AT77" s="54" t="s">
        <v>2359</v>
      </c>
      <c r="AU77" s="54"/>
      <c r="AV77" s="54">
        <v>0</v>
      </c>
      <c r="AW77" s="54"/>
      <c r="AX77" s="54" t="s">
        <v>3462</v>
      </c>
      <c r="AY77" s="54"/>
      <c r="AZ77" s="54"/>
      <c r="BA77" s="54"/>
      <c r="BB77" s="54" t="s">
        <v>2369</v>
      </c>
      <c r="BC77" s="54" t="s">
        <v>2370</v>
      </c>
      <c r="BD77" s="54" t="s">
        <v>2371</v>
      </c>
      <c r="BE77" s="54"/>
      <c r="BF77" s="54">
        <v>1</v>
      </c>
      <c r="BG77" s="54">
        <v>-6.9668999999999999</v>
      </c>
      <c r="BH77" s="54">
        <v>107.4242</v>
      </c>
      <c r="BI77" s="54"/>
      <c r="BJ77" s="54">
        <v>43</v>
      </c>
      <c r="BK77" s="54">
        <v>143</v>
      </c>
      <c r="BL77" s="54">
        <v>57</v>
      </c>
      <c r="BM77" s="54">
        <v>1</v>
      </c>
      <c r="BN77" s="54">
        <v>1</v>
      </c>
    </row>
    <row r="78" spans="1:66" s="219" customFormat="1" hidden="1" x14ac:dyDescent="0.3">
      <c r="A78" s="54">
        <v>72</v>
      </c>
      <c r="B78" s="54" t="s">
        <v>2407</v>
      </c>
      <c r="C78" s="54" t="s">
        <v>2101</v>
      </c>
      <c r="D78" s="54" t="s">
        <v>52</v>
      </c>
      <c r="E78" s="54">
        <v>104538582</v>
      </c>
      <c r="F78" s="54" t="s">
        <v>2373</v>
      </c>
      <c r="G78" s="108">
        <v>40380</v>
      </c>
      <c r="H78" s="54">
        <v>3217122107100000</v>
      </c>
      <c r="I78" s="54" t="s">
        <v>2353</v>
      </c>
      <c r="J78" s="54" t="s">
        <v>2408</v>
      </c>
      <c r="K78" s="54">
        <v>2</v>
      </c>
      <c r="L78" s="54">
        <v>6</v>
      </c>
      <c r="M78" s="54">
        <v>2</v>
      </c>
      <c r="N78" s="54" t="s">
        <v>2409</v>
      </c>
      <c r="O78" s="54" t="s">
        <v>2356</v>
      </c>
      <c r="P78" s="54">
        <v>40564</v>
      </c>
      <c r="Q78" s="54" t="s">
        <v>2357</v>
      </c>
      <c r="R78" s="54" t="s">
        <v>2358</v>
      </c>
      <c r="S78" s="54"/>
      <c r="T78" s="54">
        <v>83822115291</v>
      </c>
      <c r="U78" s="54"/>
      <c r="V78" s="54"/>
      <c r="W78" s="54" t="s">
        <v>2359</v>
      </c>
      <c r="X78" s="54"/>
      <c r="Y78" s="54" t="s">
        <v>2410</v>
      </c>
      <c r="Z78" s="54">
        <v>1984</v>
      </c>
      <c r="AA78" s="54" t="s">
        <v>2387</v>
      </c>
      <c r="AB78" s="54" t="s">
        <v>2362</v>
      </c>
      <c r="AC78" s="54" t="s">
        <v>2363</v>
      </c>
      <c r="AD78" s="54">
        <v>3217120207840010</v>
      </c>
      <c r="AE78" s="54" t="s">
        <v>2411</v>
      </c>
      <c r="AF78" s="54">
        <v>1990</v>
      </c>
      <c r="AG78" s="54" t="s">
        <v>2390</v>
      </c>
      <c r="AH78" s="54" t="s">
        <v>2365</v>
      </c>
      <c r="AI78" s="54" t="s">
        <v>2366</v>
      </c>
      <c r="AJ78" s="54">
        <v>3217126804300000</v>
      </c>
      <c r="AK78" s="54"/>
      <c r="AL78" s="54"/>
      <c r="AM78" s="54" t="s">
        <v>2367</v>
      </c>
      <c r="AN78" s="54"/>
      <c r="AO78" s="54"/>
      <c r="AP78" s="54"/>
      <c r="AQ78" s="54" t="s">
        <v>8177</v>
      </c>
      <c r="AR78" s="54"/>
      <c r="AS78" s="54"/>
      <c r="AT78" s="54" t="s">
        <v>2359</v>
      </c>
      <c r="AU78" s="54"/>
      <c r="AV78" s="54">
        <v>0</v>
      </c>
      <c r="AW78" s="54"/>
      <c r="AX78" s="54" t="s">
        <v>2412</v>
      </c>
      <c r="AY78" s="54"/>
      <c r="AZ78" s="54"/>
      <c r="BA78" s="54"/>
      <c r="BB78" s="54" t="s">
        <v>2369</v>
      </c>
      <c r="BC78" s="54" t="s">
        <v>2370</v>
      </c>
      <c r="BD78" s="54" t="s">
        <v>2371</v>
      </c>
      <c r="BE78" s="54" t="s">
        <v>2413</v>
      </c>
      <c r="BF78" s="54">
        <v>1</v>
      </c>
      <c r="BG78" s="54">
        <v>-6.9580000000000002</v>
      </c>
      <c r="BH78" s="54">
        <v>107.3801</v>
      </c>
      <c r="BI78" s="54"/>
      <c r="BJ78" s="54">
        <v>53</v>
      </c>
      <c r="BK78" s="54">
        <v>145</v>
      </c>
      <c r="BL78" s="54">
        <v>0</v>
      </c>
      <c r="BM78" s="54">
        <v>0</v>
      </c>
      <c r="BN78" s="54">
        <v>0</v>
      </c>
    </row>
    <row r="79" spans="1:66" hidden="1" x14ac:dyDescent="0.3">
      <c r="A79" s="3">
        <v>73</v>
      </c>
      <c r="B79" s="3" t="s">
        <v>4552</v>
      </c>
      <c r="C79" s="3" t="s">
        <v>4265</v>
      </c>
      <c r="D79" s="3" t="s">
        <v>53</v>
      </c>
      <c r="E79" s="3">
        <v>105905178</v>
      </c>
      <c r="F79" s="3" t="s">
        <v>2377</v>
      </c>
      <c r="G79" s="157">
        <v>40498</v>
      </c>
      <c r="H79" s="3">
        <v>3217115611100000</v>
      </c>
      <c r="I79" s="3" t="s">
        <v>2353</v>
      </c>
      <c r="J79" s="3" t="s">
        <v>2985</v>
      </c>
      <c r="K79" s="3">
        <v>1</v>
      </c>
      <c r="L79" s="3">
        <v>8</v>
      </c>
      <c r="M79" s="3"/>
      <c r="N79" s="3" t="s">
        <v>4508</v>
      </c>
      <c r="O79" s="3" t="s">
        <v>2426</v>
      </c>
      <c r="P79" s="3">
        <v>40562</v>
      </c>
      <c r="Q79" s="3" t="s">
        <v>2357</v>
      </c>
      <c r="R79" s="3" t="s">
        <v>2358</v>
      </c>
      <c r="S79" s="3"/>
      <c r="T79" s="3">
        <v>83895292230</v>
      </c>
      <c r="U79" s="3"/>
      <c r="V79" s="3"/>
      <c r="W79" s="3" t="s">
        <v>2359</v>
      </c>
      <c r="X79" s="3"/>
      <c r="Y79" s="3" t="s">
        <v>4553</v>
      </c>
      <c r="Z79" s="3">
        <v>1985</v>
      </c>
      <c r="AA79" s="3" t="s">
        <v>2402</v>
      </c>
      <c r="AB79" s="3" t="s">
        <v>2362</v>
      </c>
      <c r="AC79" s="3" t="s">
        <v>2363</v>
      </c>
      <c r="AD79" s="3">
        <v>3217110210850010</v>
      </c>
      <c r="AE79" s="3" t="s">
        <v>3993</v>
      </c>
      <c r="AF79" s="3">
        <v>1992</v>
      </c>
      <c r="AG79" s="3" t="s">
        <v>2402</v>
      </c>
      <c r="AH79" s="3" t="s">
        <v>2365</v>
      </c>
      <c r="AI79" s="3" t="s">
        <v>2366</v>
      </c>
      <c r="AJ79" s="3">
        <v>3217114101920070</v>
      </c>
      <c r="AK79" s="3"/>
      <c r="AL79" s="3"/>
      <c r="AM79" s="3" t="s">
        <v>2367</v>
      </c>
      <c r="AN79" s="3"/>
      <c r="AO79" s="3"/>
      <c r="AP79" s="3"/>
      <c r="AQ79" s="3" t="s">
        <v>5149</v>
      </c>
      <c r="AR79" s="3"/>
      <c r="AS79" s="3"/>
      <c r="AT79" s="3" t="s">
        <v>2359</v>
      </c>
      <c r="AU79" s="3"/>
      <c r="AV79" s="3">
        <v>0</v>
      </c>
      <c r="AW79" s="3"/>
      <c r="AX79" s="3" t="s">
        <v>4554</v>
      </c>
      <c r="AY79" s="3"/>
      <c r="AZ79" s="3"/>
      <c r="BA79" s="3"/>
      <c r="BB79" s="3" t="s">
        <v>2369</v>
      </c>
      <c r="BC79" s="3" t="s">
        <v>2370</v>
      </c>
      <c r="BD79" s="3" t="s">
        <v>2371</v>
      </c>
      <c r="BE79" s="3" t="s">
        <v>2880</v>
      </c>
      <c r="BF79" s="3">
        <v>1</v>
      </c>
      <c r="BG79" s="3">
        <v>-6.952814</v>
      </c>
      <c r="BH79" s="3">
        <v>107.402565</v>
      </c>
      <c r="BI79" s="3">
        <v>3217110204200000</v>
      </c>
      <c r="BJ79" s="3">
        <v>42</v>
      </c>
      <c r="BK79" s="3">
        <v>135</v>
      </c>
      <c r="BL79" s="3">
        <v>57</v>
      </c>
      <c r="BM79" s="3">
        <v>1</v>
      </c>
      <c r="BN79" s="3">
        <v>2</v>
      </c>
    </row>
    <row r="80" spans="1:66" s="219" customFormat="1" hidden="1" x14ac:dyDescent="0.3">
      <c r="A80" s="54">
        <v>74</v>
      </c>
      <c r="B80" s="54" t="s">
        <v>1790</v>
      </c>
      <c r="C80" s="54" t="s">
        <v>1426</v>
      </c>
      <c r="D80" s="54" t="s">
        <v>53</v>
      </c>
      <c r="E80" s="54">
        <v>3080377539</v>
      </c>
      <c r="F80" s="54" t="s">
        <v>2373</v>
      </c>
      <c r="G80" s="108">
        <v>39674</v>
      </c>
      <c r="H80" s="54">
        <v>3217115408080000</v>
      </c>
      <c r="I80" s="54" t="s">
        <v>2353</v>
      </c>
      <c r="J80" s="54" t="s">
        <v>3233</v>
      </c>
      <c r="K80" s="54">
        <v>2</v>
      </c>
      <c r="L80" s="54">
        <v>12</v>
      </c>
      <c r="M80" s="54"/>
      <c r="N80" s="54" t="s">
        <v>2425</v>
      </c>
      <c r="O80" s="54" t="s">
        <v>2426</v>
      </c>
      <c r="P80" s="54">
        <v>40561</v>
      </c>
      <c r="Q80" s="54" t="s">
        <v>2357</v>
      </c>
      <c r="R80" s="54" t="s">
        <v>2358</v>
      </c>
      <c r="S80" s="54"/>
      <c r="T80" s="54">
        <v>82317094847</v>
      </c>
      <c r="U80" s="54"/>
      <c r="V80" s="54"/>
      <c r="W80" s="54" t="s">
        <v>2359</v>
      </c>
      <c r="X80" s="54"/>
      <c r="Y80" s="54" t="s">
        <v>4555</v>
      </c>
      <c r="Z80" s="54">
        <v>1970</v>
      </c>
      <c r="AA80" s="54" t="s">
        <v>2390</v>
      </c>
      <c r="AB80" s="54" t="s">
        <v>2362</v>
      </c>
      <c r="AC80" s="54" t="s">
        <v>2363</v>
      </c>
      <c r="AD80" s="54">
        <v>3217110502700000</v>
      </c>
      <c r="AE80" s="54" t="s">
        <v>3234</v>
      </c>
      <c r="AF80" s="54">
        <v>1977</v>
      </c>
      <c r="AG80" s="54" t="s">
        <v>2361</v>
      </c>
      <c r="AH80" s="54" t="s">
        <v>2365</v>
      </c>
      <c r="AI80" s="54" t="s">
        <v>2366</v>
      </c>
      <c r="AJ80" s="54">
        <v>3217115010770010</v>
      </c>
      <c r="AK80" s="54"/>
      <c r="AL80" s="54"/>
      <c r="AM80" s="54"/>
      <c r="AN80" s="54"/>
      <c r="AO80" s="54"/>
      <c r="AP80" s="54"/>
      <c r="AQ80" s="54" t="s">
        <v>5147</v>
      </c>
      <c r="AR80" s="54"/>
      <c r="AS80" s="54"/>
      <c r="AT80" s="54" t="s">
        <v>2359</v>
      </c>
      <c r="AU80" s="54"/>
      <c r="AV80" s="54">
        <v>0</v>
      </c>
      <c r="AW80" s="54"/>
      <c r="AX80" s="54" t="s">
        <v>3235</v>
      </c>
      <c r="AY80" s="54"/>
      <c r="AZ80" s="54"/>
      <c r="BA80" s="54"/>
      <c r="BB80" s="54" t="s">
        <v>2369</v>
      </c>
      <c r="BC80" s="54" t="s">
        <v>2370</v>
      </c>
      <c r="BD80" s="54" t="s">
        <v>2371</v>
      </c>
      <c r="BE80" s="54"/>
      <c r="BF80" s="54">
        <v>1</v>
      </c>
      <c r="BG80" s="54">
        <v>-6.9625000000000004</v>
      </c>
      <c r="BH80" s="54">
        <v>107.4346</v>
      </c>
      <c r="BI80" s="54">
        <v>3217111204060000</v>
      </c>
      <c r="BJ80" s="54">
        <v>39</v>
      </c>
      <c r="BK80" s="54">
        <v>136</v>
      </c>
      <c r="BL80" s="54">
        <v>55</v>
      </c>
      <c r="BM80" s="54">
        <v>1</v>
      </c>
      <c r="BN80" s="54">
        <v>1</v>
      </c>
    </row>
    <row r="81" spans="1:66" hidden="1" x14ac:dyDescent="0.3">
      <c r="A81" s="3">
        <v>75</v>
      </c>
      <c r="B81" s="3" t="s">
        <v>3819</v>
      </c>
      <c r="C81" s="3" t="s">
        <v>4266</v>
      </c>
      <c r="D81" s="3" t="s">
        <v>53</v>
      </c>
      <c r="E81" s="3">
        <v>3109094485</v>
      </c>
      <c r="F81" s="3" t="s">
        <v>4001</v>
      </c>
      <c r="G81" s="157">
        <v>40258</v>
      </c>
      <c r="H81" s="3">
        <v>3202356103100000</v>
      </c>
      <c r="I81" s="3" t="s">
        <v>2353</v>
      </c>
      <c r="J81" s="3" t="s">
        <v>4556</v>
      </c>
      <c r="K81" s="3">
        <v>1</v>
      </c>
      <c r="L81" s="3">
        <v>5</v>
      </c>
      <c r="M81" s="3" t="s">
        <v>2463</v>
      </c>
      <c r="N81" s="3" t="s">
        <v>4557</v>
      </c>
      <c r="O81" s="3" t="s">
        <v>2356</v>
      </c>
      <c r="P81" s="3">
        <v>40764</v>
      </c>
      <c r="Q81" s="3" t="s">
        <v>2357</v>
      </c>
      <c r="R81" s="3" t="s">
        <v>2358</v>
      </c>
      <c r="S81" s="3"/>
      <c r="T81" s="3"/>
      <c r="U81" s="3"/>
      <c r="V81" s="3"/>
      <c r="W81" s="3" t="s">
        <v>2359</v>
      </c>
      <c r="X81" s="3"/>
      <c r="Y81" s="3" t="s">
        <v>4558</v>
      </c>
      <c r="Z81" s="3">
        <v>1982</v>
      </c>
      <c r="AA81" s="3" t="s">
        <v>2361</v>
      </c>
      <c r="AB81" s="3" t="s">
        <v>2365</v>
      </c>
      <c r="AC81" s="3" t="s">
        <v>2366</v>
      </c>
      <c r="AD81" s="3"/>
      <c r="AE81" s="3" t="s">
        <v>4559</v>
      </c>
      <c r="AF81" s="3">
        <v>1987</v>
      </c>
      <c r="AG81" s="3"/>
      <c r="AH81" s="3" t="s">
        <v>2365</v>
      </c>
      <c r="AI81" s="3" t="s">
        <v>2366</v>
      </c>
      <c r="AJ81" s="3"/>
      <c r="AK81" s="3"/>
      <c r="AL81" s="3"/>
      <c r="AM81" s="3"/>
      <c r="AN81" s="3"/>
      <c r="AO81" s="3"/>
      <c r="AP81" s="3"/>
      <c r="AQ81" s="3" t="s">
        <v>5149</v>
      </c>
      <c r="AR81" s="3"/>
      <c r="AS81" s="3"/>
      <c r="AT81" s="3" t="s">
        <v>2359</v>
      </c>
      <c r="AU81" s="3"/>
      <c r="AV81" s="3">
        <v>1</v>
      </c>
      <c r="AW81" s="3"/>
      <c r="AX81" s="3"/>
      <c r="AY81" s="3"/>
      <c r="AZ81" s="3"/>
      <c r="BA81" s="3"/>
      <c r="BB81" s="3" t="s">
        <v>2369</v>
      </c>
      <c r="BC81" s="3" t="s">
        <v>2370</v>
      </c>
      <c r="BD81" s="3" t="s">
        <v>2371</v>
      </c>
      <c r="BE81" s="3" t="s">
        <v>2444</v>
      </c>
      <c r="BF81" s="3">
        <v>3</v>
      </c>
      <c r="BG81" s="3">
        <v>-6.9538618269999999</v>
      </c>
      <c r="BH81" s="3">
        <v>107.40514039999999</v>
      </c>
      <c r="BI81" s="3">
        <v>3202351507190000</v>
      </c>
      <c r="BJ81" s="3">
        <v>45</v>
      </c>
      <c r="BK81" s="3">
        <v>144</v>
      </c>
      <c r="BL81" s="3">
        <v>57</v>
      </c>
      <c r="BM81" s="3">
        <v>1</v>
      </c>
      <c r="BN81" s="3">
        <v>2</v>
      </c>
    </row>
    <row r="82" spans="1:66" s="219" customFormat="1" hidden="1" x14ac:dyDescent="0.3">
      <c r="A82" s="54">
        <v>76</v>
      </c>
      <c r="B82" s="54" t="s">
        <v>1865</v>
      </c>
      <c r="C82" s="54" t="s">
        <v>1521</v>
      </c>
      <c r="D82" s="54" t="s">
        <v>53</v>
      </c>
      <c r="E82" s="54">
        <v>99336424</v>
      </c>
      <c r="F82" s="54" t="s">
        <v>2377</v>
      </c>
      <c r="G82" s="108">
        <v>39849</v>
      </c>
      <c r="H82" s="54">
        <v>3217124502090000</v>
      </c>
      <c r="I82" s="54" t="s">
        <v>2353</v>
      </c>
      <c r="J82" s="54" t="s">
        <v>3574</v>
      </c>
      <c r="K82" s="54">
        <v>1</v>
      </c>
      <c r="L82" s="54">
        <v>2</v>
      </c>
      <c r="M82" s="54" t="s">
        <v>3575</v>
      </c>
      <c r="N82" s="54" t="s">
        <v>2399</v>
      </c>
      <c r="O82" s="54" t="s">
        <v>2356</v>
      </c>
      <c r="P82" s="54">
        <v>40564</v>
      </c>
      <c r="Q82" s="54" t="s">
        <v>2357</v>
      </c>
      <c r="R82" s="54" t="s">
        <v>2358</v>
      </c>
      <c r="S82" s="54"/>
      <c r="T82" s="54">
        <v>83821644656</v>
      </c>
      <c r="U82" s="54"/>
      <c r="V82" s="54"/>
      <c r="W82" s="54" t="s">
        <v>2369</v>
      </c>
      <c r="X82" s="54" t="s">
        <v>3576</v>
      </c>
      <c r="Y82" s="54" t="s">
        <v>3577</v>
      </c>
      <c r="Z82" s="54">
        <v>1976</v>
      </c>
      <c r="AA82" s="54" t="s">
        <v>2402</v>
      </c>
      <c r="AB82" s="54" t="s">
        <v>2362</v>
      </c>
      <c r="AC82" s="54" t="s">
        <v>2363</v>
      </c>
      <c r="AD82" s="54">
        <v>3217121203750030</v>
      </c>
      <c r="AE82" s="54" t="s">
        <v>3578</v>
      </c>
      <c r="AF82" s="54">
        <v>1978</v>
      </c>
      <c r="AG82" s="54" t="s">
        <v>2402</v>
      </c>
      <c r="AH82" s="54" t="s">
        <v>2365</v>
      </c>
      <c r="AI82" s="54" t="s">
        <v>2366</v>
      </c>
      <c r="AJ82" s="54">
        <v>3217125201750000</v>
      </c>
      <c r="AK82" s="54"/>
      <c r="AL82" s="54"/>
      <c r="AM82" s="54"/>
      <c r="AN82" s="54"/>
      <c r="AO82" s="54"/>
      <c r="AP82" s="54"/>
      <c r="AQ82" s="54" t="s">
        <v>5147</v>
      </c>
      <c r="AR82" s="54"/>
      <c r="AS82" s="54"/>
      <c r="AT82" s="54" t="s">
        <v>2359</v>
      </c>
      <c r="AU82" s="54"/>
      <c r="AV82" s="54">
        <v>0</v>
      </c>
      <c r="AW82" s="54"/>
      <c r="AX82" s="54" t="s">
        <v>3579</v>
      </c>
      <c r="AY82" s="54"/>
      <c r="AZ82" s="54"/>
      <c r="BA82" s="54"/>
      <c r="BB82" s="54" t="s">
        <v>2369</v>
      </c>
      <c r="BC82" s="54" t="s">
        <v>2443</v>
      </c>
      <c r="BD82" s="54" t="s">
        <v>2371</v>
      </c>
      <c r="BE82" s="54"/>
      <c r="BF82" s="54">
        <v>2</v>
      </c>
      <c r="BG82" s="54">
        <v>-6.9546999999999999</v>
      </c>
      <c r="BH82" s="54">
        <v>107.39</v>
      </c>
      <c r="BI82" s="54"/>
      <c r="BJ82" s="54">
        <v>42</v>
      </c>
      <c r="BK82" s="54">
        <v>142</v>
      </c>
      <c r="BL82" s="54">
        <v>57</v>
      </c>
      <c r="BM82" s="54">
        <v>2</v>
      </c>
      <c r="BN82" s="54">
        <v>1</v>
      </c>
    </row>
    <row r="83" spans="1:66" s="219" customFormat="1" hidden="1" x14ac:dyDescent="0.3">
      <c r="A83" s="54">
        <v>77</v>
      </c>
      <c r="B83" s="54" t="s">
        <v>1649</v>
      </c>
      <c r="C83" s="54" t="s">
        <v>2102</v>
      </c>
      <c r="D83" s="54" t="s">
        <v>53</v>
      </c>
      <c r="E83" s="54">
        <v>3092383691</v>
      </c>
      <c r="F83" s="54" t="s">
        <v>2373</v>
      </c>
      <c r="G83" s="108">
        <v>40047</v>
      </c>
      <c r="H83" s="54">
        <v>3217126208090000</v>
      </c>
      <c r="I83" s="54" t="s">
        <v>2353</v>
      </c>
      <c r="J83" s="54" t="s">
        <v>2414</v>
      </c>
      <c r="K83" s="54">
        <v>3</v>
      </c>
      <c r="L83" s="54">
        <v>4</v>
      </c>
      <c r="M83" s="54"/>
      <c r="N83" s="54" t="s">
        <v>2415</v>
      </c>
      <c r="O83" s="54" t="s">
        <v>2356</v>
      </c>
      <c r="P83" s="54">
        <v>40763</v>
      </c>
      <c r="Q83" s="54" t="s">
        <v>2357</v>
      </c>
      <c r="R83" s="54" t="s">
        <v>2374</v>
      </c>
      <c r="S83" s="54"/>
      <c r="T83" s="54"/>
      <c r="U83" s="54"/>
      <c r="V83" s="54"/>
      <c r="W83" s="54" t="s">
        <v>2359</v>
      </c>
      <c r="X83" s="54"/>
      <c r="Y83" s="54" t="s">
        <v>4560</v>
      </c>
      <c r="Z83" s="54">
        <v>1976</v>
      </c>
      <c r="AA83" s="54" t="s">
        <v>2402</v>
      </c>
      <c r="AB83" s="54" t="s">
        <v>2362</v>
      </c>
      <c r="AC83" s="54" t="s">
        <v>2363</v>
      </c>
      <c r="AD83" s="54">
        <v>3217120210760000</v>
      </c>
      <c r="AE83" s="54" t="s">
        <v>2416</v>
      </c>
      <c r="AF83" s="54">
        <v>1977</v>
      </c>
      <c r="AG83" s="54" t="s">
        <v>2402</v>
      </c>
      <c r="AH83" s="54" t="s">
        <v>2365</v>
      </c>
      <c r="AI83" s="54" t="s">
        <v>2366</v>
      </c>
      <c r="AJ83" s="54">
        <v>3217124709770010</v>
      </c>
      <c r="AK83" s="54"/>
      <c r="AL83" s="54"/>
      <c r="AM83" s="54"/>
      <c r="AN83" s="54"/>
      <c r="AO83" s="54"/>
      <c r="AP83" s="54"/>
      <c r="AQ83" s="54" t="s">
        <v>8177</v>
      </c>
      <c r="AR83" s="54"/>
      <c r="AS83" s="54"/>
      <c r="AT83" s="54" t="s">
        <v>2359</v>
      </c>
      <c r="AU83" s="54"/>
      <c r="AV83" s="54">
        <v>1</v>
      </c>
      <c r="AW83" s="54"/>
      <c r="AX83" s="54"/>
      <c r="AY83" s="54"/>
      <c r="AZ83" s="54"/>
      <c r="BA83" s="54"/>
      <c r="BB83" s="54" t="s">
        <v>2369</v>
      </c>
      <c r="BC83" s="54" t="s">
        <v>2370</v>
      </c>
      <c r="BD83" s="54" t="s">
        <v>2371</v>
      </c>
      <c r="BE83" s="54" t="s">
        <v>2376</v>
      </c>
      <c r="BF83" s="54">
        <v>2</v>
      </c>
      <c r="BG83" s="54">
        <v>-6.9625000000000004</v>
      </c>
      <c r="BH83" s="54">
        <v>107.4346</v>
      </c>
      <c r="BI83" s="54">
        <v>3217122806120050</v>
      </c>
      <c r="BJ83" s="54">
        <v>42</v>
      </c>
      <c r="BK83" s="54">
        <v>134</v>
      </c>
      <c r="BL83" s="54">
        <v>56</v>
      </c>
      <c r="BM83" s="54">
        <v>1</v>
      </c>
      <c r="BN83" s="54">
        <v>2</v>
      </c>
    </row>
    <row r="84" spans="1:66" s="219" customFormat="1" hidden="1" x14ac:dyDescent="0.3">
      <c r="A84" s="54">
        <v>78</v>
      </c>
      <c r="B84" s="54" t="s">
        <v>1898</v>
      </c>
      <c r="C84" s="54" t="s">
        <v>1549</v>
      </c>
      <c r="D84" s="54" t="s">
        <v>53</v>
      </c>
      <c r="E84" s="54">
        <v>3094831725</v>
      </c>
      <c r="F84" s="54" t="s">
        <v>3689</v>
      </c>
      <c r="G84" s="108">
        <v>40036</v>
      </c>
      <c r="H84" s="54">
        <v>3672075108090000</v>
      </c>
      <c r="I84" s="54" t="s">
        <v>2353</v>
      </c>
      <c r="J84" s="54" t="s">
        <v>2810</v>
      </c>
      <c r="K84" s="54">
        <v>2</v>
      </c>
      <c r="L84" s="54">
        <v>5</v>
      </c>
      <c r="M84" s="54"/>
      <c r="N84" s="54" t="s">
        <v>2425</v>
      </c>
      <c r="O84" s="54" t="s">
        <v>2426</v>
      </c>
      <c r="P84" s="54">
        <v>40562</v>
      </c>
      <c r="Q84" s="54" t="s">
        <v>2357</v>
      </c>
      <c r="R84" s="54" t="s">
        <v>2358</v>
      </c>
      <c r="S84" s="54"/>
      <c r="T84" s="54">
        <v>83829597361</v>
      </c>
      <c r="U84" s="54"/>
      <c r="V84" s="54"/>
      <c r="W84" s="54" t="s">
        <v>2359</v>
      </c>
      <c r="X84" s="54"/>
      <c r="Y84" s="54"/>
      <c r="Z84" s="54">
        <v>0</v>
      </c>
      <c r="AA84" s="54" t="s">
        <v>2402</v>
      </c>
      <c r="AB84" s="54" t="s">
        <v>2362</v>
      </c>
      <c r="AC84" s="54" t="s">
        <v>2363</v>
      </c>
      <c r="AD84" s="54"/>
      <c r="AE84" s="54" t="s">
        <v>3690</v>
      </c>
      <c r="AF84" s="54">
        <v>1981</v>
      </c>
      <c r="AG84" s="54" t="s">
        <v>2361</v>
      </c>
      <c r="AH84" s="54" t="s">
        <v>2365</v>
      </c>
      <c r="AI84" s="54" t="s">
        <v>2366</v>
      </c>
      <c r="AJ84" s="54"/>
      <c r="AK84" s="54"/>
      <c r="AL84" s="54"/>
      <c r="AM84" s="54"/>
      <c r="AN84" s="54"/>
      <c r="AO84" s="54"/>
      <c r="AP84" s="54"/>
      <c r="AQ84" s="54" t="s">
        <v>5147</v>
      </c>
      <c r="AR84" s="54"/>
      <c r="AS84" s="54"/>
      <c r="AT84" s="54" t="s">
        <v>2359</v>
      </c>
      <c r="AU84" s="54"/>
      <c r="AV84" s="54">
        <v>0</v>
      </c>
      <c r="AW84" s="54"/>
      <c r="AX84" s="54" t="s">
        <v>3691</v>
      </c>
      <c r="AY84" s="54"/>
      <c r="AZ84" s="54"/>
      <c r="BA84" s="54"/>
      <c r="BB84" s="54" t="s">
        <v>2369</v>
      </c>
      <c r="BC84" s="54" t="s">
        <v>2370</v>
      </c>
      <c r="BD84" s="54" t="s">
        <v>2371</v>
      </c>
      <c r="BE84" s="54"/>
      <c r="BF84" s="54">
        <v>1</v>
      </c>
      <c r="BG84" s="54">
        <v>-6.9625000000000004</v>
      </c>
      <c r="BH84" s="54">
        <v>107.4346</v>
      </c>
      <c r="BI84" s="54">
        <v>3217110910150000</v>
      </c>
      <c r="BJ84" s="54">
        <v>49</v>
      </c>
      <c r="BK84" s="54">
        <v>145</v>
      </c>
      <c r="BL84" s="54">
        <v>54</v>
      </c>
      <c r="BM84" s="54">
        <v>1</v>
      </c>
      <c r="BN84" s="54">
        <v>1</v>
      </c>
    </row>
    <row r="85" spans="1:66" s="219" customFormat="1" hidden="1" x14ac:dyDescent="0.3">
      <c r="A85" s="54">
        <v>79</v>
      </c>
      <c r="B85" s="54" t="s">
        <v>1791</v>
      </c>
      <c r="C85" s="54" t="s">
        <v>1427</v>
      </c>
      <c r="D85" s="54" t="s">
        <v>53</v>
      </c>
      <c r="E85" s="54">
        <v>98216153</v>
      </c>
      <c r="F85" s="54" t="s">
        <v>2352</v>
      </c>
      <c r="G85" s="108">
        <v>39858</v>
      </c>
      <c r="H85" s="54">
        <v>3217115402090000</v>
      </c>
      <c r="I85" s="54" t="s">
        <v>2353</v>
      </c>
      <c r="J85" s="54" t="s">
        <v>3237</v>
      </c>
      <c r="K85" s="54">
        <v>2</v>
      </c>
      <c r="L85" s="54">
        <v>2</v>
      </c>
      <c r="M85" s="54" t="s">
        <v>3238</v>
      </c>
      <c r="N85" s="54" t="s">
        <v>3105</v>
      </c>
      <c r="O85" s="54" t="s">
        <v>2426</v>
      </c>
      <c r="P85" s="54">
        <v>40562</v>
      </c>
      <c r="Q85" s="54" t="s">
        <v>2357</v>
      </c>
      <c r="R85" s="54" t="s">
        <v>2374</v>
      </c>
      <c r="S85" s="54"/>
      <c r="T85" s="54">
        <v>81912381119</v>
      </c>
      <c r="U85" s="54"/>
      <c r="V85" s="54"/>
      <c r="W85" s="54" t="s">
        <v>2359</v>
      </c>
      <c r="X85" s="54"/>
      <c r="Y85" s="54" t="s">
        <v>3239</v>
      </c>
      <c r="Z85" s="54">
        <v>1984</v>
      </c>
      <c r="AA85" s="54" t="s">
        <v>2390</v>
      </c>
      <c r="AB85" s="54" t="s">
        <v>2493</v>
      </c>
      <c r="AC85" s="54" t="s">
        <v>2363</v>
      </c>
      <c r="AD85" s="54"/>
      <c r="AE85" s="54" t="s">
        <v>3240</v>
      </c>
      <c r="AF85" s="54">
        <v>1976</v>
      </c>
      <c r="AG85" s="54" t="s">
        <v>2390</v>
      </c>
      <c r="AH85" s="54" t="s">
        <v>2474</v>
      </c>
      <c r="AI85" s="54" t="s">
        <v>2363</v>
      </c>
      <c r="AJ85" s="54"/>
      <c r="AK85" s="54"/>
      <c r="AL85" s="54"/>
      <c r="AM85" s="54"/>
      <c r="AN85" s="54"/>
      <c r="AO85" s="54"/>
      <c r="AP85" s="54"/>
      <c r="AQ85" s="54" t="s">
        <v>5147</v>
      </c>
      <c r="AR85" s="54"/>
      <c r="AS85" s="54"/>
      <c r="AT85" s="54" t="s">
        <v>2359</v>
      </c>
      <c r="AU85" s="54"/>
      <c r="AV85" s="54">
        <v>0</v>
      </c>
      <c r="AW85" s="54"/>
      <c r="AX85" s="54" t="s">
        <v>3241</v>
      </c>
      <c r="AY85" s="54"/>
      <c r="AZ85" s="54"/>
      <c r="BA85" s="54"/>
      <c r="BB85" s="54" t="s">
        <v>2369</v>
      </c>
      <c r="BC85" s="54" t="s">
        <v>2370</v>
      </c>
      <c r="BD85" s="54" t="s">
        <v>2371</v>
      </c>
      <c r="BE85" s="54"/>
      <c r="BF85" s="54">
        <v>1</v>
      </c>
      <c r="BG85" s="54">
        <v>-6.9668999999999999</v>
      </c>
      <c r="BH85" s="54">
        <v>107.4242</v>
      </c>
      <c r="BI85" s="54"/>
      <c r="BJ85" s="54">
        <v>20</v>
      </c>
      <c r="BK85" s="54">
        <v>123</v>
      </c>
      <c r="BL85" s="54">
        <v>54</v>
      </c>
      <c r="BM85" s="54">
        <v>1</v>
      </c>
      <c r="BN85" s="54">
        <v>1</v>
      </c>
    </row>
    <row r="86" spans="1:66" s="219" customFormat="1" hidden="1" x14ac:dyDescent="0.3">
      <c r="A86" s="54">
        <v>80</v>
      </c>
      <c r="B86" s="54" t="s">
        <v>1685</v>
      </c>
      <c r="C86" s="54" t="s">
        <v>2162</v>
      </c>
      <c r="D86" s="54" t="s">
        <v>52</v>
      </c>
      <c r="E86" s="54">
        <v>3093930365</v>
      </c>
      <c r="F86" s="54" t="s">
        <v>2373</v>
      </c>
      <c r="G86" s="108">
        <v>39973</v>
      </c>
      <c r="H86" s="54">
        <v>3217110906090000</v>
      </c>
      <c r="I86" s="54" t="s">
        <v>2353</v>
      </c>
      <c r="J86" s="54" t="s">
        <v>2616</v>
      </c>
      <c r="K86" s="54">
        <v>1</v>
      </c>
      <c r="L86" s="54">
        <v>6</v>
      </c>
      <c r="M86" s="54"/>
      <c r="N86" s="54" t="s">
        <v>2617</v>
      </c>
      <c r="O86" s="54" t="s">
        <v>2426</v>
      </c>
      <c r="P86" s="54">
        <v>40562</v>
      </c>
      <c r="Q86" s="54" t="s">
        <v>2357</v>
      </c>
      <c r="R86" s="54" t="s">
        <v>2358</v>
      </c>
      <c r="S86" s="54"/>
      <c r="T86" s="54"/>
      <c r="U86" s="54"/>
      <c r="V86" s="54"/>
      <c r="W86" s="54" t="s">
        <v>2359</v>
      </c>
      <c r="X86" s="54"/>
      <c r="Y86" s="54"/>
      <c r="Z86" s="54">
        <v>0</v>
      </c>
      <c r="AA86" s="54"/>
      <c r="AB86" s="54"/>
      <c r="AC86" s="54"/>
      <c r="AD86" s="54"/>
      <c r="AE86" s="54" t="s">
        <v>2668</v>
      </c>
      <c r="AF86" s="54">
        <v>0</v>
      </c>
      <c r="AG86" s="54"/>
      <c r="AH86" s="54" t="s">
        <v>2365</v>
      </c>
      <c r="AI86" s="54" t="s">
        <v>2366</v>
      </c>
      <c r="AJ86" s="54"/>
      <c r="AK86" s="54"/>
      <c r="AL86" s="54"/>
      <c r="AM86" s="54"/>
      <c r="AN86" s="54"/>
      <c r="AO86" s="54"/>
      <c r="AP86" s="54"/>
      <c r="AQ86" s="54" t="s">
        <v>8180</v>
      </c>
      <c r="AR86" s="54"/>
      <c r="AS86" s="54"/>
      <c r="AT86" s="54" t="s">
        <v>2359</v>
      </c>
      <c r="AU86" s="54"/>
      <c r="AV86" s="54">
        <v>1</v>
      </c>
      <c r="AW86" s="54"/>
      <c r="AX86" s="54"/>
      <c r="AY86" s="54"/>
      <c r="AZ86" s="54"/>
      <c r="BA86" s="54"/>
      <c r="BB86" s="54" t="s">
        <v>2359</v>
      </c>
      <c r="BC86" s="54"/>
      <c r="BD86" s="54" t="s">
        <v>2371</v>
      </c>
      <c r="BE86" s="54" t="s">
        <v>2669</v>
      </c>
      <c r="BF86" s="54">
        <v>1</v>
      </c>
      <c r="BG86" s="54">
        <v>-6.9625000000000004</v>
      </c>
      <c r="BH86" s="54">
        <v>107.4346</v>
      </c>
      <c r="BI86" s="54"/>
      <c r="BJ86" s="54">
        <v>56</v>
      </c>
      <c r="BK86" s="54">
        <v>144</v>
      </c>
      <c r="BL86" s="54">
        <v>65</v>
      </c>
      <c r="BM86" s="54">
        <v>1</v>
      </c>
      <c r="BN86" s="54">
        <v>2</v>
      </c>
    </row>
    <row r="87" spans="1:66" hidden="1" x14ac:dyDescent="0.3">
      <c r="A87" s="3">
        <v>81</v>
      </c>
      <c r="B87" s="3" t="s">
        <v>4211</v>
      </c>
      <c r="C87" s="3" t="s">
        <v>4296</v>
      </c>
      <c r="D87" s="3" t="s">
        <v>53</v>
      </c>
      <c r="E87" s="3">
        <v>118212424</v>
      </c>
      <c r="F87" s="3" t="s">
        <v>2352</v>
      </c>
      <c r="G87" s="157">
        <v>40581</v>
      </c>
      <c r="H87" s="3">
        <v>3217114702110000</v>
      </c>
      <c r="I87" s="3" t="s">
        <v>2353</v>
      </c>
      <c r="J87" s="3" t="s">
        <v>4561</v>
      </c>
      <c r="K87" s="3">
        <v>1</v>
      </c>
      <c r="L87" s="3">
        <v>9</v>
      </c>
      <c r="M87" s="3"/>
      <c r="N87" s="3" t="s">
        <v>3581</v>
      </c>
      <c r="O87" s="3" t="s">
        <v>2426</v>
      </c>
      <c r="P87" s="3">
        <v>40562</v>
      </c>
      <c r="Q87" s="3" t="s">
        <v>2470</v>
      </c>
      <c r="R87" s="3" t="s">
        <v>2374</v>
      </c>
      <c r="S87" s="3"/>
      <c r="T87" s="3">
        <v>83821208199</v>
      </c>
      <c r="U87" s="3"/>
      <c r="V87" s="3"/>
      <c r="W87" s="3" t="s">
        <v>2359</v>
      </c>
      <c r="X87" s="3"/>
      <c r="Y87" s="3" t="s">
        <v>4207</v>
      </c>
      <c r="Z87" s="3">
        <v>1982</v>
      </c>
      <c r="AA87" s="3" t="s">
        <v>2390</v>
      </c>
      <c r="AB87" s="3" t="s">
        <v>2493</v>
      </c>
      <c r="AC87" s="3" t="s">
        <v>2363</v>
      </c>
      <c r="AD87" s="3"/>
      <c r="AE87" s="3" t="s">
        <v>4208</v>
      </c>
      <c r="AF87" s="3">
        <v>1990</v>
      </c>
      <c r="AG87" s="3" t="s">
        <v>2390</v>
      </c>
      <c r="AH87" s="3" t="s">
        <v>2365</v>
      </c>
      <c r="AI87" s="3" t="s">
        <v>2366</v>
      </c>
      <c r="AJ87" s="3"/>
      <c r="AK87" s="3" t="s">
        <v>4562</v>
      </c>
      <c r="AL87" s="3">
        <v>1954</v>
      </c>
      <c r="AM87" s="3" t="s">
        <v>2390</v>
      </c>
      <c r="AN87" s="3" t="s">
        <v>2365</v>
      </c>
      <c r="AO87" s="3"/>
      <c r="AP87" s="3">
        <v>3217111404540000</v>
      </c>
      <c r="AQ87" s="3" t="s">
        <v>5150</v>
      </c>
      <c r="AR87" s="3"/>
      <c r="AS87" s="3"/>
      <c r="AT87" s="3" t="s">
        <v>2359</v>
      </c>
      <c r="AU87" s="3"/>
      <c r="AV87" s="3">
        <v>1</v>
      </c>
      <c r="AW87" s="3"/>
      <c r="AX87" s="3" t="s">
        <v>4563</v>
      </c>
      <c r="AY87" s="3"/>
      <c r="AZ87" s="3"/>
      <c r="BA87" s="3"/>
      <c r="BB87" s="3" t="s">
        <v>2369</v>
      </c>
      <c r="BC87" s="3" t="s">
        <v>2370</v>
      </c>
      <c r="BD87" s="3" t="s">
        <v>2371</v>
      </c>
      <c r="BE87" s="3" t="s">
        <v>2691</v>
      </c>
      <c r="BF87" s="3">
        <v>4</v>
      </c>
      <c r="BG87" s="3">
        <v>-6.9743000000000004</v>
      </c>
      <c r="BH87" s="3">
        <v>107.43559999999999</v>
      </c>
      <c r="BI87" s="3"/>
      <c r="BJ87" s="3">
        <v>40</v>
      </c>
      <c r="BK87" s="3">
        <v>138</v>
      </c>
      <c r="BL87" s="3">
        <v>53</v>
      </c>
      <c r="BM87" s="3">
        <v>1</v>
      </c>
      <c r="BN87" s="3">
        <v>2</v>
      </c>
    </row>
    <row r="88" spans="1:66" s="219" customFormat="1" hidden="1" x14ac:dyDescent="0.3">
      <c r="A88" s="54">
        <v>82</v>
      </c>
      <c r="B88" s="54" t="s">
        <v>1353</v>
      </c>
      <c r="C88" s="54" t="s">
        <v>1428</v>
      </c>
      <c r="D88" s="54" t="s">
        <v>52</v>
      </c>
      <c r="E88" s="54">
        <v>89806212</v>
      </c>
      <c r="F88" s="54" t="s">
        <v>2446</v>
      </c>
      <c r="G88" s="108">
        <v>39810</v>
      </c>
      <c r="H88" s="54">
        <v>3217112812080000</v>
      </c>
      <c r="I88" s="54" t="s">
        <v>2353</v>
      </c>
      <c r="J88" s="54" t="s">
        <v>3112</v>
      </c>
      <c r="K88" s="54">
        <v>4</v>
      </c>
      <c r="L88" s="54">
        <v>14</v>
      </c>
      <c r="M88" s="54" t="s">
        <v>2582</v>
      </c>
      <c r="N88" s="54" t="s">
        <v>2425</v>
      </c>
      <c r="O88" s="54" t="s">
        <v>2426</v>
      </c>
      <c r="P88" s="54">
        <v>40562</v>
      </c>
      <c r="Q88" s="54" t="s">
        <v>2357</v>
      </c>
      <c r="R88" s="54" t="s">
        <v>2358</v>
      </c>
      <c r="S88" s="54"/>
      <c r="T88" s="54">
        <v>83114916195</v>
      </c>
      <c r="U88" s="54"/>
      <c r="V88" s="54"/>
      <c r="W88" s="54" t="s">
        <v>2359</v>
      </c>
      <c r="X88" s="54"/>
      <c r="Y88" s="54" t="s">
        <v>3242</v>
      </c>
      <c r="Z88" s="54">
        <v>1974</v>
      </c>
      <c r="AA88" s="54" t="s">
        <v>2402</v>
      </c>
      <c r="AB88" s="54" t="s">
        <v>2362</v>
      </c>
      <c r="AC88" s="54" t="s">
        <v>2403</v>
      </c>
      <c r="AD88" s="54"/>
      <c r="AE88" s="54" t="s">
        <v>3243</v>
      </c>
      <c r="AF88" s="54">
        <v>1970</v>
      </c>
      <c r="AG88" s="54" t="s">
        <v>2390</v>
      </c>
      <c r="AH88" s="54" t="s">
        <v>2365</v>
      </c>
      <c r="AI88" s="54" t="s">
        <v>2366</v>
      </c>
      <c r="AJ88" s="54"/>
      <c r="AK88" s="54"/>
      <c r="AL88" s="54"/>
      <c r="AM88" s="54"/>
      <c r="AN88" s="54"/>
      <c r="AO88" s="54"/>
      <c r="AP88" s="54"/>
      <c r="AQ88" s="54" t="s">
        <v>5147</v>
      </c>
      <c r="AR88" s="54"/>
      <c r="AS88" s="54"/>
      <c r="AT88" s="54" t="s">
        <v>2359</v>
      </c>
      <c r="AU88" s="54"/>
      <c r="AV88" s="54">
        <v>0</v>
      </c>
      <c r="AW88" s="54"/>
      <c r="AX88" s="54" t="s">
        <v>3244</v>
      </c>
      <c r="AY88" s="54"/>
      <c r="AZ88" s="54"/>
      <c r="BA88" s="54"/>
      <c r="BB88" s="54" t="s">
        <v>2369</v>
      </c>
      <c r="BC88" s="54" t="s">
        <v>2370</v>
      </c>
      <c r="BD88" s="54" t="s">
        <v>2371</v>
      </c>
      <c r="BE88" s="54"/>
      <c r="BF88" s="54">
        <v>3</v>
      </c>
      <c r="BG88" s="54">
        <v>-6.9514541999999997</v>
      </c>
      <c r="BH88" s="54">
        <v>107.4179645</v>
      </c>
      <c r="BI88" s="54"/>
      <c r="BJ88" s="54">
        <v>46</v>
      </c>
      <c r="BK88" s="54">
        <v>142</v>
      </c>
      <c r="BL88" s="54">
        <v>59</v>
      </c>
      <c r="BM88" s="54">
        <v>2</v>
      </c>
      <c r="BN88" s="54">
        <v>1</v>
      </c>
    </row>
    <row r="89" spans="1:66" s="219" customFormat="1" hidden="1" x14ac:dyDescent="0.3">
      <c r="A89" s="54">
        <v>83</v>
      </c>
      <c r="B89" s="54" t="s">
        <v>1365</v>
      </c>
      <c r="C89" s="54" t="s">
        <v>1493</v>
      </c>
      <c r="D89" s="54" t="s">
        <v>52</v>
      </c>
      <c r="E89" s="54">
        <v>93651132</v>
      </c>
      <c r="F89" s="54" t="s">
        <v>2373</v>
      </c>
      <c r="G89" s="108">
        <v>39955</v>
      </c>
      <c r="H89" s="54">
        <v>3217122205090000</v>
      </c>
      <c r="I89" s="54" t="s">
        <v>2353</v>
      </c>
      <c r="J89" s="54" t="s">
        <v>2418</v>
      </c>
      <c r="K89" s="54">
        <v>3</v>
      </c>
      <c r="L89" s="54">
        <v>2</v>
      </c>
      <c r="M89" s="54"/>
      <c r="N89" s="54" t="s">
        <v>2438</v>
      </c>
      <c r="O89" s="54" t="s">
        <v>2356</v>
      </c>
      <c r="P89" s="54">
        <v>40564</v>
      </c>
      <c r="Q89" s="54" t="s">
        <v>2357</v>
      </c>
      <c r="R89" s="54" t="s">
        <v>2358</v>
      </c>
      <c r="S89" s="54"/>
      <c r="T89" s="54"/>
      <c r="U89" s="54"/>
      <c r="V89" s="54"/>
      <c r="W89" s="54" t="s">
        <v>2359</v>
      </c>
      <c r="X89" s="54" t="s">
        <v>3463</v>
      </c>
      <c r="Y89" s="54" t="s">
        <v>3464</v>
      </c>
      <c r="Z89" s="54">
        <v>1960</v>
      </c>
      <c r="AA89" s="54" t="s">
        <v>2402</v>
      </c>
      <c r="AB89" s="54" t="s">
        <v>2362</v>
      </c>
      <c r="AC89" s="54" t="s">
        <v>2403</v>
      </c>
      <c r="AD89" s="54"/>
      <c r="AE89" s="54" t="s">
        <v>3465</v>
      </c>
      <c r="AF89" s="54">
        <v>1977</v>
      </c>
      <c r="AG89" s="54" t="s">
        <v>2361</v>
      </c>
      <c r="AH89" s="54" t="s">
        <v>2365</v>
      </c>
      <c r="AI89" s="54" t="s">
        <v>2366</v>
      </c>
      <c r="AJ89" s="54"/>
      <c r="AK89" s="54"/>
      <c r="AL89" s="54"/>
      <c r="AM89" s="54"/>
      <c r="AN89" s="54"/>
      <c r="AO89" s="54"/>
      <c r="AP89" s="54"/>
      <c r="AQ89" s="54" t="s">
        <v>5147</v>
      </c>
      <c r="AR89" s="54"/>
      <c r="AS89" s="54"/>
      <c r="AT89" s="54" t="s">
        <v>2369</v>
      </c>
      <c r="AU89" s="54" t="s">
        <v>3463</v>
      </c>
      <c r="AV89" s="54">
        <v>0</v>
      </c>
      <c r="AW89" s="54"/>
      <c r="AX89" s="54"/>
      <c r="AY89" s="54" t="s">
        <v>2460</v>
      </c>
      <c r="AZ89" s="54">
        <v>411601003841501</v>
      </c>
      <c r="BA89" s="54" t="s">
        <v>3466</v>
      </c>
      <c r="BB89" s="54" t="s">
        <v>2369</v>
      </c>
      <c r="BC89" s="54"/>
      <c r="BD89" s="54" t="s">
        <v>2371</v>
      </c>
      <c r="BE89" s="54"/>
      <c r="BF89" s="54">
        <v>1</v>
      </c>
      <c r="BG89" s="54">
        <v>-6.9554</v>
      </c>
      <c r="BH89" s="54">
        <v>107.39319999999999</v>
      </c>
      <c r="BI89" s="54"/>
      <c r="BJ89" s="54">
        <v>17</v>
      </c>
      <c r="BK89" s="54">
        <v>110</v>
      </c>
      <c r="BL89" s="54">
        <v>55</v>
      </c>
      <c r="BM89" s="54">
        <v>3</v>
      </c>
      <c r="BN89" s="54">
        <v>1</v>
      </c>
    </row>
    <row r="90" spans="1:66" s="219" customFormat="1" hidden="1" x14ac:dyDescent="0.3">
      <c r="A90" s="54">
        <v>84</v>
      </c>
      <c r="B90" s="54" t="s">
        <v>1845</v>
      </c>
      <c r="C90" s="54" t="s">
        <v>1494</v>
      </c>
      <c r="D90" s="54" t="s">
        <v>53</v>
      </c>
      <c r="E90" s="54">
        <v>95215836</v>
      </c>
      <c r="F90" s="54" t="s">
        <v>2373</v>
      </c>
      <c r="G90" s="108">
        <v>40268</v>
      </c>
      <c r="H90" s="54">
        <v>3217127103100000</v>
      </c>
      <c r="I90" s="54" t="s">
        <v>2353</v>
      </c>
      <c r="J90" s="54" t="s">
        <v>3467</v>
      </c>
      <c r="K90" s="54">
        <v>1</v>
      </c>
      <c r="L90" s="54">
        <v>8</v>
      </c>
      <c r="M90" s="54"/>
      <c r="N90" s="54" t="s">
        <v>2395</v>
      </c>
      <c r="O90" s="54" t="s">
        <v>2356</v>
      </c>
      <c r="P90" s="54">
        <v>40564</v>
      </c>
      <c r="Q90" s="54" t="s">
        <v>2357</v>
      </c>
      <c r="R90" s="54" t="s">
        <v>2358</v>
      </c>
      <c r="S90" s="54"/>
      <c r="T90" s="54">
        <v>83829660164</v>
      </c>
      <c r="U90" s="54"/>
      <c r="V90" s="54"/>
      <c r="W90" s="54" t="s">
        <v>2369</v>
      </c>
      <c r="X90" s="54" t="s">
        <v>3468</v>
      </c>
      <c r="Y90" s="54" t="s">
        <v>3469</v>
      </c>
      <c r="Z90" s="54">
        <v>1983</v>
      </c>
      <c r="AA90" s="54" t="s">
        <v>2390</v>
      </c>
      <c r="AB90" s="54" t="s">
        <v>2362</v>
      </c>
      <c r="AC90" s="54" t="s">
        <v>2403</v>
      </c>
      <c r="AD90" s="54">
        <v>3217120107830630</v>
      </c>
      <c r="AE90" s="54" t="s">
        <v>3470</v>
      </c>
      <c r="AF90" s="54">
        <v>1986</v>
      </c>
      <c r="AG90" s="54" t="s">
        <v>2390</v>
      </c>
      <c r="AH90" s="54" t="s">
        <v>2365</v>
      </c>
      <c r="AI90" s="54" t="s">
        <v>2366</v>
      </c>
      <c r="AJ90" s="54">
        <v>3217125508860010</v>
      </c>
      <c r="AK90" s="54"/>
      <c r="AL90" s="54"/>
      <c r="AM90" s="54"/>
      <c r="AN90" s="54"/>
      <c r="AO90" s="54"/>
      <c r="AP90" s="54"/>
      <c r="AQ90" s="54" t="s">
        <v>5147</v>
      </c>
      <c r="AR90" s="54"/>
      <c r="AS90" s="54"/>
      <c r="AT90" s="54" t="s">
        <v>2359</v>
      </c>
      <c r="AU90" s="54"/>
      <c r="AV90" s="54">
        <v>0</v>
      </c>
      <c r="AW90" s="54"/>
      <c r="AX90" s="54" t="s">
        <v>3471</v>
      </c>
      <c r="AY90" s="54"/>
      <c r="AZ90" s="54"/>
      <c r="BA90" s="54"/>
      <c r="BB90" s="54" t="s">
        <v>2369</v>
      </c>
      <c r="BC90" s="54" t="s">
        <v>2443</v>
      </c>
      <c r="BD90" s="54" t="s">
        <v>2371</v>
      </c>
      <c r="BE90" s="54"/>
      <c r="BF90" s="54">
        <v>1</v>
      </c>
      <c r="BG90" s="54">
        <v>-6.9661</v>
      </c>
      <c r="BH90" s="54">
        <v>107.4057</v>
      </c>
      <c r="BI90" s="54"/>
      <c r="BJ90" s="54">
        <v>29</v>
      </c>
      <c r="BK90" s="54">
        <v>127</v>
      </c>
      <c r="BL90" s="54">
        <v>52</v>
      </c>
      <c r="BM90" s="54">
        <v>1</v>
      </c>
      <c r="BN90" s="54">
        <v>1</v>
      </c>
    </row>
    <row r="91" spans="1:66" hidden="1" x14ac:dyDescent="0.3">
      <c r="A91" s="3">
        <v>85</v>
      </c>
      <c r="B91" s="3" t="s">
        <v>3788</v>
      </c>
      <c r="C91" s="3" t="s">
        <v>4232</v>
      </c>
      <c r="D91" s="3" t="s">
        <v>52</v>
      </c>
      <c r="E91" s="3">
        <v>3103817865</v>
      </c>
      <c r="F91" s="3" t="s">
        <v>2377</v>
      </c>
      <c r="G91" s="157">
        <v>40526</v>
      </c>
      <c r="H91" s="3">
        <v>3217111412100000</v>
      </c>
      <c r="I91" s="3" t="s">
        <v>2353</v>
      </c>
      <c r="J91" s="3" t="s">
        <v>2616</v>
      </c>
      <c r="K91" s="3">
        <v>2</v>
      </c>
      <c r="L91" s="3">
        <v>10</v>
      </c>
      <c r="M91" s="3"/>
      <c r="N91" s="3" t="s">
        <v>2617</v>
      </c>
      <c r="O91" s="3" t="s">
        <v>2426</v>
      </c>
      <c r="P91" s="3">
        <v>40562</v>
      </c>
      <c r="Q91" s="3" t="s">
        <v>2357</v>
      </c>
      <c r="R91" s="3" t="s">
        <v>2358</v>
      </c>
      <c r="S91" s="3"/>
      <c r="T91" s="3"/>
      <c r="U91" s="3"/>
      <c r="V91" s="3"/>
      <c r="W91" s="3" t="s">
        <v>2359</v>
      </c>
      <c r="X91" s="3"/>
      <c r="Y91" s="3" t="s">
        <v>4564</v>
      </c>
      <c r="Z91" s="3">
        <v>1969</v>
      </c>
      <c r="AA91" s="3" t="s">
        <v>2361</v>
      </c>
      <c r="AB91" s="3" t="s">
        <v>2362</v>
      </c>
      <c r="AC91" s="3" t="s">
        <v>2363</v>
      </c>
      <c r="AD91" s="3">
        <v>3217111306690000</v>
      </c>
      <c r="AE91" s="3" t="s">
        <v>4140</v>
      </c>
      <c r="AF91" s="3">
        <v>1982</v>
      </c>
      <c r="AG91" s="3" t="s">
        <v>2361</v>
      </c>
      <c r="AH91" s="3" t="s">
        <v>2365</v>
      </c>
      <c r="AI91" s="3" t="s">
        <v>2366</v>
      </c>
      <c r="AJ91" s="3">
        <v>3217115005820000</v>
      </c>
      <c r="AK91" s="3"/>
      <c r="AL91" s="3"/>
      <c r="AM91" s="3"/>
      <c r="AN91" s="3"/>
      <c r="AO91" s="3"/>
      <c r="AP91" s="3"/>
      <c r="AQ91" s="3" t="s">
        <v>5146</v>
      </c>
      <c r="AR91" s="3"/>
      <c r="AS91" s="3"/>
      <c r="AT91" s="3" t="s">
        <v>2359</v>
      </c>
      <c r="AU91" s="3"/>
      <c r="AV91" s="3">
        <v>1</v>
      </c>
      <c r="AW91" s="3"/>
      <c r="AX91" s="3" t="s">
        <v>4139</v>
      </c>
      <c r="AY91" s="3"/>
      <c r="AZ91" s="3"/>
      <c r="BA91" s="3"/>
      <c r="BB91" s="3" t="s">
        <v>2369</v>
      </c>
      <c r="BC91" s="3" t="s">
        <v>2868</v>
      </c>
      <c r="BD91" s="3" t="s">
        <v>2371</v>
      </c>
      <c r="BE91" s="3" t="s">
        <v>2669</v>
      </c>
      <c r="BF91" s="3">
        <v>1</v>
      </c>
      <c r="BG91" s="3">
        <v>-6.9625000000000004</v>
      </c>
      <c r="BH91" s="3">
        <v>107.4346</v>
      </c>
      <c r="BI91" s="3">
        <v>3217111504052650</v>
      </c>
      <c r="BJ91" s="3">
        <v>41</v>
      </c>
      <c r="BK91" s="3">
        <v>138</v>
      </c>
      <c r="BL91" s="3">
        <v>52</v>
      </c>
      <c r="BM91" s="3">
        <v>1</v>
      </c>
      <c r="BN91" s="3">
        <v>2</v>
      </c>
    </row>
    <row r="92" spans="1:66" x14ac:dyDescent="0.3">
      <c r="A92" s="3">
        <v>86</v>
      </c>
      <c r="B92" s="3" t="s">
        <v>3935</v>
      </c>
      <c r="C92" s="3" t="s">
        <v>4393</v>
      </c>
      <c r="D92" s="3" t="s">
        <v>53</v>
      </c>
      <c r="E92" s="3">
        <v>3118678230</v>
      </c>
      <c r="F92" s="3" t="s">
        <v>2377</v>
      </c>
      <c r="G92" s="157">
        <v>40751</v>
      </c>
      <c r="H92" s="3">
        <v>3217142707120000</v>
      </c>
      <c r="I92" s="3" t="s">
        <v>2353</v>
      </c>
      <c r="J92" s="3" t="s">
        <v>4565</v>
      </c>
      <c r="K92" s="3">
        <v>2</v>
      </c>
      <c r="L92" s="3">
        <v>4</v>
      </c>
      <c r="M92" s="3"/>
      <c r="N92" s="3" t="s">
        <v>4566</v>
      </c>
      <c r="O92" s="3" t="s">
        <v>3065</v>
      </c>
      <c r="P92" s="3">
        <v>40561</v>
      </c>
      <c r="Q92" s="3" t="s">
        <v>2357</v>
      </c>
      <c r="R92" s="3" t="s">
        <v>2374</v>
      </c>
      <c r="S92" s="3"/>
      <c r="T92" s="3"/>
      <c r="U92" s="3"/>
      <c r="V92" s="3"/>
      <c r="W92" s="3" t="s">
        <v>2359</v>
      </c>
      <c r="X92" s="3"/>
      <c r="Y92" s="3" t="s">
        <v>4567</v>
      </c>
      <c r="Z92" s="3">
        <v>1970</v>
      </c>
      <c r="AA92" s="3" t="s">
        <v>2402</v>
      </c>
      <c r="AB92" s="3" t="s">
        <v>2362</v>
      </c>
      <c r="AC92" s="3" t="s">
        <v>2363</v>
      </c>
      <c r="AD92" s="3">
        <v>3217140410700000</v>
      </c>
      <c r="AE92" s="3" t="s">
        <v>3962</v>
      </c>
      <c r="AF92" s="3">
        <v>1985</v>
      </c>
      <c r="AG92" s="3" t="s">
        <v>2402</v>
      </c>
      <c r="AH92" s="3" t="s">
        <v>2365</v>
      </c>
      <c r="AI92" s="3" t="s">
        <v>2366</v>
      </c>
      <c r="AJ92" s="3">
        <v>3217144606850000</v>
      </c>
      <c r="AK92" s="3"/>
      <c r="AL92" s="3"/>
      <c r="AM92" s="3"/>
      <c r="AN92" s="3"/>
      <c r="AO92" s="3"/>
      <c r="AP92" s="3"/>
      <c r="AQ92" s="3" t="s">
        <v>5148</v>
      </c>
      <c r="AR92" s="3"/>
      <c r="AS92" s="3"/>
      <c r="AT92" s="3" t="s">
        <v>2369</v>
      </c>
      <c r="AU92" s="3"/>
      <c r="AV92" s="3">
        <v>1</v>
      </c>
      <c r="AW92" s="3"/>
      <c r="AX92" s="3" t="s">
        <v>4568</v>
      </c>
      <c r="AY92" s="3"/>
      <c r="AZ92" s="3"/>
      <c r="BA92" s="3"/>
      <c r="BB92" s="3" t="s">
        <v>2369</v>
      </c>
      <c r="BC92" s="3"/>
      <c r="BD92" s="3" t="s">
        <v>2371</v>
      </c>
      <c r="BE92" s="3"/>
      <c r="BF92" s="3">
        <v>3</v>
      </c>
      <c r="BG92" s="3">
        <v>-6.9625000000000004</v>
      </c>
      <c r="BH92" s="3">
        <v>107.4346</v>
      </c>
      <c r="BI92" s="3">
        <v>3217141504056960</v>
      </c>
      <c r="BJ92" s="3">
        <v>41</v>
      </c>
      <c r="BK92" s="3">
        <v>138</v>
      </c>
      <c r="BL92" s="3">
        <v>57</v>
      </c>
      <c r="BM92" s="3">
        <v>1</v>
      </c>
      <c r="BN92" s="3">
        <v>5</v>
      </c>
    </row>
    <row r="93" spans="1:66" s="219" customFormat="1" hidden="1" x14ac:dyDescent="0.3">
      <c r="A93" s="54">
        <v>87</v>
      </c>
      <c r="B93" s="54" t="s">
        <v>1866</v>
      </c>
      <c r="C93" s="54" t="s">
        <v>1522</v>
      </c>
      <c r="D93" s="54" t="s">
        <v>53</v>
      </c>
      <c r="E93" s="54">
        <v>99293700</v>
      </c>
      <c r="F93" s="54" t="s">
        <v>2377</v>
      </c>
      <c r="G93" s="108">
        <v>39943</v>
      </c>
      <c r="H93" s="54">
        <v>3217115005090010</v>
      </c>
      <c r="I93" s="54" t="s">
        <v>2353</v>
      </c>
      <c r="J93" s="54" t="s">
        <v>3580</v>
      </c>
      <c r="K93" s="54">
        <v>2</v>
      </c>
      <c r="L93" s="54">
        <v>12</v>
      </c>
      <c r="M93" s="54"/>
      <c r="N93" s="54" t="s">
        <v>3581</v>
      </c>
      <c r="O93" s="54" t="s">
        <v>2426</v>
      </c>
      <c r="P93" s="54">
        <v>40562</v>
      </c>
      <c r="Q93" s="54" t="s">
        <v>2357</v>
      </c>
      <c r="R93" s="54" t="s">
        <v>2374</v>
      </c>
      <c r="S93" s="54"/>
      <c r="T93" s="54">
        <v>83822466788</v>
      </c>
      <c r="U93" s="54"/>
      <c r="V93" s="54"/>
      <c r="W93" s="54" t="s">
        <v>2359</v>
      </c>
      <c r="X93" s="54"/>
      <c r="Y93" s="54" t="s">
        <v>3582</v>
      </c>
      <c r="Z93" s="54">
        <v>1981</v>
      </c>
      <c r="AA93" s="54" t="s">
        <v>2402</v>
      </c>
      <c r="AB93" s="54" t="s">
        <v>2362</v>
      </c>
      <c r="AC93" s="54" t="s">
        <v>2363</v>
      </c>
      <c r="AD93" s="54">
        <v>3217111610810000</v>
      </c>
      <c r="AE93" s="54" t="s">
        <v>3583</v>
      </c>
      <c r="AF93" s="54">
        <v>1988</v>
      </c>
      <c r="AG93" s="54" t="s">
        <v>2361</v>
      </c>
      <c r="AH93" s="54" t="s">
        <v>2365</v>
      </c>
      <c r="AI93" s="54" t="s">
        <v>2366</v>
      </c>
      <c r="AJ93" s="54">
        <v>3217115812880000</v>
      </c>
      <c r="AK93" s="54"/>
      <c r="AL93" s="54"/>
      <c r="AM93" s="54"/>
      <c r="AN93" s="54"/>
      <c r="AO93" s="54"/>
      <c r="AP93" s="54"/>
      <c r="AQ93" s="54" t="s">
        <v>5147</v>
      </c>
      <c r="AR93" s="54"/>
      <c r="AS93" s="54"/>
      <c r="AT93" s="54" t="s">
        <v>2359</v>
      </c>
      <c r="AU93" s="54"/>
      <c r="AV93" s="54">
        <v>0</v>
      </c>
      <c r="AW93" s="54"/>
      <c r="AX93" s="54" t="s">
        <v>3584</v>
      </c>
      <c r="AY93" s="54"/>
      <c r="AZ93" s="54"/>
      <c r="BA93" s="54"/>
      <c r="BB93" s="54" t="s">
        <v>2369</v>
      </c>
      <c r="BC93" s="54" t="s">
        <v>2370</v>
      </c>
      <c r="BD93" s="54" t="s">
        <v>2371</v>
      </c>
      <c r="BE93" s="54"/>
      <c r="BF93" s="54">
        <v>1</v>
      </c>
      <c r="BG93" s="54">
        <v>-6.9668999999999999</v>
      </c>
      <c r="BH93" s="54">
        <v>107.4242</v>
      </c>
      <c r="BI93" s="54"/>
      <c r="BJ93" s="54">
        <v>41</v>
      </c>
      <c r="BK93" s="54">
        <v>143</v>
      </c>
      <c r="BL93" s="54">
        <v>54</v>
      </c>
      <c r="BM93" s="54">
        <v>2</v>
      </c>
      <c r="BN93" s="54">
        <v>2</v>
      </c>
    </row>
    <row r="94" spans="1:66" s="219" customFormat="1" hidden="1" x14ac:dyDescent="0.3">
      <c r="A94" s="54">
        <v>88</v>
      </c>
      <c r="B94" s="54" t="s">
        <v>1792</v>
      </c>
      <c r="C94" s="54" t="s">
        <v>1429</v>
      </c>
      <c r="D94" s="54" t="s">
        <v>52</v>
      </c>
      <c r="E94" s="54">
        <v>97515383</v>
      </c>
      <c r="F94" s="54" t="s">
        <v>2377</v>
      </c>
      <c r="G94" s="108">
        <v>40070</v>
      </c>
      <c r="H94" s="54">
        <v>3217111409090000</v>
      </c>
      <c r="I94" s="54" t="s">
        <v>2353</v>
      </c>
      <c r="J94" s="54" t="s">
        <v>3245</v>
      </c>
      <c r="K94" s="54">
        <v>3</v>
      </c>
      <c r="L94" s="54">
        <v>1</v>
      </c>
      <c r="M94" s="54"/>
      <c r="N94" s="54" t="s">
        <v>3105</v>
      </c>
      <c r="O94" s="54" t="s">
        <v>2426</v>
      </c>
      <c r="P94" s="54">
        <v>40562</v>
      </c>
      <c r="Q94" s="54" t="s">
        <v>2357</v>
      </c>
      <c r="R94" s="54" t="s">
        <v>2358</v>
      </c>
      <c r="S94" s="54"/>
      <c r="T94" s="54">
        <v>83821653953</v>
      </c>
      <c r="U94" s="54"/>
      <c r="V94" s="54"/>
      <c r="W94" s="54" t="s">
        <v>2369</v>
      </c>
      <c r="X94" s="54" t="s">
        <v>3246</v>
      </c>
      <c r="Y94" s="54" t="s">
        <v>3247</v>
      </c>
      <c r="Z94" s="54">
        <v>1971</v>
      </c>
      <c r="AA94" s="54" t="s">
        <v>2390</v>
      </c>
      <c r="AB94" s="54" t="s">
        <v>2493</v>
      </c>
      <c r="AC94" s="54" t="s">
        <v>2363</v>
      </c>
      <c r="AD94" s="54">
        <v>3217111910710000</v>
      </c>
      <c r="AE94" s="54" t="s">
        <v>3248</v>
      </c>
      <c r="AF94" s="54">
        <v>1971</v>
      </c>
      <c r="AG94" s="54" t="s">
        <v>2390</v>
      </c>
      <c r="AH94" s="54" t="s">
        <v>2365</v>
      </c>
      <c r="AI94" s="54" t="s">
        <v>2366</v>
      </c>
      <c r="AJ94" s="54">
        <v>3211770067200000</v>
      </c>
      <c r="AK94" s="54"/>
      <c r="AL94" s="54"/>
      <c r="AM94" s="54"/>
      <c r="AN94" s="54"/>
      <c r="AO94" s="54"/>
      <c r="AP94" s="54"/>
      <c r="AQ94" s="54" t="s">
        <v>5147</v>
      </c>
      <c r="AR94" s="54"/>
      <c r="AS94" s="54"/>
      <c r="AT94" s="54" t="s">
        <v>2359</v>
      </c>
      <c r="AU94" s="54"/>
      <c r="AV94" s="54">
        <v>0</v>
      </c>
      <c r="AW94" s="54"/>
      <c r="AX94" s="54" t="s">
        <v>3249</v>
      </c>
      <c r="AY94" s="54"/>
      <c r="AZ94" s="54"/>
      <c r="BA94" s="54"/>
      <c r="BB94" s="54" t="s">
        <v>2369</v>
      </c>
      <c r="BC94" s="54" t="s">
        <v>2443</v>
      </c>
      <c r="BD94" s="54" t="s">
        <v>2371</v>
      </c>
      <c r="BE94" s="54"/>
      <c r="BF94" s="54">
        <v>1</v>
      </c>
      <c r="BG94" s="54">
        <v>-6.9668999999999999</v>
      </c>
      <c r="BH94" s="54">
        <v>107.4242</v>
      </c>
      <c r="BI94" s="54"/>
      <c r="BJ94" s="54">
        <v>24</v>
      </c>
      <c r="BK94" s="54">
        <v>120</v>
      </c>
      <c r="BL94" s="54">
        <v>59</v>
      </c>
      <c r="BM94" s="54">
        <v>1</v>
      </c>
      <c r="BN94" s="54">
        <v>1</v>
      </c>
    </row>
    <row r="95" spans="1:66" s="219" customFormat="1" hidden="1" x14ac:dyDescent="0.3">
      <c r="A95" s="54">
        <v>89</v>
      </c>
      <c r="B95" s="54" t="s">
        <v>1767</v>
      </c>
      <c r="C95" s="54" t="s">
        <v>1397</v>
      </c>
      <c r="D95" s="54" t="s">
        <v>53</v>
      </c>
      <c r="E95" s="54">
        <v>92798721</v>
      </c>
      <c r="F95" s="54" t="s">
        <v>2352</v>
      </c>
      <c r="G95" s="108">
        <v>40026</v>
      </c>
      <c r="H95" s="54">
        <v>3217124108090000</v>
      </c>
      <c r="I95" s="54" t="s">
        <v>2353</v>
      </c>
      <c r="J95" s="54" t="s">
        <v>3086</v>
      </c>
      <c r="K95" s="54">
        <v>3</v>
      </c>
      <c r="L95" s="54">
        <v>5</v>
      </c>
      <c r="M95" s="54" t="s">
        <v>3087</v>
      </c>
      <c r="N95" s="54" t="s">
        <v>2399</v>
      </c>
      <c r="O95" s="54" t="s">
        <v>2356</v>
      </c>
      <c r="P95" s="54">
        <v>40564</v>
      </c>
      <c r="Q95" s="54" t="s">
        <v>2357</v>
      </c>
      <c r="R95" s="54" t="s">
        <v>2358</v>
      </c>
      <c r="S95" s="54"/>
      <c r="T95" s="54">
        <v>85776574892</v>
      </c>
      <c r="U95" s="54"/>
      <c r="V95" s="54"/>
      <c r="W95" s="54" t="s">
        <v>2359</v>
      </c>
      <c r="X95" s="54"/>
      <c r="Y95" s="54" t="s">
        <v>3088</v>
      </c>
      <c r="Z95" s="54">
        <v>1976</v>
      </c>
      <c r="AA95" s="54" t="s">
        <v>2402</v>
      </c>
      <c r="AB95" s="54" t="s">
        <v>2362</v>
      </c>
      <c r="AC95" s="54" t="s">
        <v>2363</v>
      </c>
      <c r="AD95" s="54">
        <v>3217120110760010</v>
      </c>
      <c r="AE95" s="54" t="s">
        <v>3089</v>
      </c>
      <c r="AF95" s="54">
        <v>1978</v>
      </c>
      <c r="AG95" s="54" t="s">
        <v>2402</v>
      </c>
      <c r="AH95" s="54" t="s">
        <v>2365</v>
      </c>
      <c r="AI95" s="54" t="s">
        <v>2366</v>
      </c>
      <c r="AJ95" s="54">
        <v>3217124612780000</v>
      </c>
      <c r="AK95" s="54"/>
      <c r="AL95" s="54"/>
      <c r="AM95" s="54"/>
      <c r="AN95" s="54"/>
      <c r="AO95" s="54"/>
      <c r="AP95" s="54"/>
      <c r="AQ95" s="54" t="s">
        <v>5147</v>
      </c>
      <c r="AR95" s="54"/>
      <c r="AS95" s="54"/>
      <c r="AT95" s="54" t="s">
        <v>2359</v>
      </c>
      <c r="AU95" s="54"/>
      <c r="AV95" s="54">
        <v>0</v>
      </c>
      <c r="AW95" s="54"/>
      <c r="AX95" s="54" t="s">
        <v>3090</v>
      </c>
      <c r="AY95" s="54"/>
      <c r="AZ95" s="54"/>
      <c r="BA95" s="54"/>
      <c r="BB95" s="54" t="s">
        <v>2369</v>
      </c>
      <c r="BC95" s="54" t="s">
        <v>2370</v>
      </c>
      <c r="BD95" s="54" t="s">
        <v>2371</v>
      </c>
      <c r="BE95" s="54" t="s">
        <v>2406</v>
      </c>
      <c r="BF95" s="54">
        <v>2</v>
      </c>
      <c r="BG95" s="54">
        <v>-6.9541174239999997</v>
      </c>
      <c r="BH95" s="54">
        <v>107.39006999999999</v>
      </c>
      <c r="BI95" s="54">
        <v>3217122709120040</v>
      </c>
      <c r="BJ95" s="54">
        <v>18</v>
      </c>
      <c r="BK95" s="54">
        <v>119</v>
      </c>
      <c r="BL95" s="54">
        <v>57</v>
      </c>
      <c r="BM95" s="54">
        <v>1</v>
      </c>
      <c r="BN95" s="54">
        <v>1</v>
      </c>
    </row>
    <row r="96" spans="1:66" s="219" customFormat="1" hidden="1" x14ac:dyDescent="0.3">
      <c r="A96" s="54">
        <v>90</v>
      </c>
      <c r="B96" s="54" t="s">
        <v>1819</v>
      </c>
      <c r="C96" s="54" t="s">
        <v>1461</v>
      </c>
      <c r="D96" s="54" t="s">
        <v>53</v>
      </c>
      <c r="E96" s="54">
        <v>3090403947</v>
      </c>
      <c r="F96" s="54" t="s">
        <v>2373</v>
      </c>
      <c r="G96" s="108">
        <v>39972</v>
      </c>
      <c r="H96" s="54">
        <v>3217124608090000</v>
      </c>
      <c r="I96" s="54" t="s">
        <v>2353</v>
      </c>
      <c r="J96" s="54" t="s">
        <v>2394</v>
      </c>
      <c r="K96" s="54">
        <v>4</v>
      </c>
      <c r="L96" s="54"/>
      <c r="M96" s="54"/>
      <c r="N96" s="54" t="s">
        <v>2513</v>
      </c>
      <c r="O96" s="54" t="s">
        <v>2356</v>
      </c>
      <c r="P96" s="54"/>
      <c r="Q96" s="54" t="s">
        <v>2357</v>
      </c>
      <c r="R96" s="54" t="s">
        <v>2358</v>
      </c>
      <c r="S96" s="54"/>
      <c r="T96" s="54">
        <v>83156673328</v>
      </c>
      <c r="U96" s="54"/>
      <c r="V96" s="54"/>
      <c r="W96" s="54" t="s">
        <v>2359</v>
      </c>
      <c r="X96" s="54"/>
      <c r="Y96" s="54"/>
      <c r="Z96" s="54">
        <v>0</v>
      </c>
      <c r="AA96" s="54" t="s">
        <v>2361</v>
      </c>
      <c r="AB96" s="54" t="s">
        <v>2362</v>
      </c>
      <c r="AC96" s="54" t="s">
        <v>2363</v>
      </c>
      <c r="AD96" s="54"/>
      <c r="AE96" s="54" t="s">
        <v>3351</v>
      </c>
      <c r="AF96" s="54">
        <v>1975</v>
      </c>
      <c r="AG96" s="54" t="s">
        <v>2402</v>
      </c>
      <c r="AH96" s="54" t="s">
        <v>2365</v>
      </c>
      <c r="AI96" s="54" t="s">
        <v>2366</v>
      </c>
      <c r="AJ96" s="54"/>
      <c r="AK96" s="54"/>
      <c r="AL96" s="54"/>
      <c r="AM96" s="54"/>
      <c r="AN96" s="54"/>
      <c r="AO96" s="54"/>
      <c r="AP96" s="54"/>
      <c r="AQ96" s="54" t="s">
        <v>5147</v>
      </c>
      <c r="AR96" s="54"/>
      <c r="AS96" s="54"/>
      <c r="AT96" s="54" t="s">
        <v>2359</v>
      </c>
      <c r="AU96" s="54"/>
      <c r="AV96" s="54">
        <v>0</v>
      </c>
      <c r="AW96" s="54"/>
      <c r="AX96" s="54"/>
      <c r="AY96" s="54"/>
      <c r="AZ96" s="54"/>
      <c r="BA96" s="54"/>
      <c r="BB96" s="54" t="s">
        <v>2369</v>
      </c>
      <c r="BC96" s="54" t="s">
        <v>2370</v>
      </c>
      <c r="BD96" s="54" t="s">
        <v>2371</v>
      </c>
      <c r="BE96" s="54"/>
      <c r="BF96" s="54">
        <v>1</v>
      </c>
      <c r="BG96" s="54">
        <v>-6.9625000000000004</v>
      </c>
      <c r="BH96" s="54">
        <v>107.4346</v>
      </c>
      <c r="BI96" s="54">
        <v>3217112221018000</v>
      </c>
      <c r="BJ96" s="54">
        <v>47</v>
      </c>
      <c r="BK96" s="54">
        <v>140</v>
      </c>
      <c r="BL96" s="54">
        <v>55</v>
      </c>
      <c r="BM96" s="54">
        <v>1</v>
      </c>
      <c r="BN96" s="54">
        <v>2</v>
      </c>
    </row>
    <row r="97" spans="1:66" s="219" customFormat="1" hidden="1" x14ac:dyDescent="0.3">
      <c r="A97" s="54">
        <v>91</v>
      </c>
      <c r="B97" s="54" t="s">
        <v>2554</v>
      </c>
      <c r="C97" s="54" t="s">
        <v>2133</v>
      </c>
      <c r="D97" s="54" t="s">
        <v>53</v>
      </c>
      <c r="E97" s="54">
        <v>91403906</v>
      </c>
      <c r="F97" s="54" t="s">
        <v>2446</v>
      </c>
      <c r="G97" s="108">
        <v>40167</v>
      </c>
      <c r="H97" s="54">
        <v>3217116012090000</v>
      </c>
      <c r="I97" s="54" t="s">
        <v>2353</v>
      </c>
      <c r="J97" s="54" t="s">
        <v>2424</v>
      </c>
      <c r="K97" s="54">
        <v>2</v>
      </c>
      <c r="L97" s="54">
        <v>14</v>
      </c>
      <c r="M97" s="54" t="s">
        <v>2424</v>
      </c>
      <c r="N97" s="54" t="s">
        <v>2425</v>
      </c>
      <c r="O97" s="54" t="s">
        <v>2426</v>
      </c>
      <c r="P97" s="54">
        <v>40562</v>
      </c>
      <c r="Q97" s="54" t="s">
        <v>2357</v>
      </c>
      <c r="R97" s="54" t="s">
        <v>2358</v>
      </c>
      <c r="S97" s="54"/>
      <c r="T97" s="54">
        <v>82315344286</v>
      </c>
      <c r="U97" s="54"/>
      <c r="V97" s="54"/>
      <c r="W97" s="54" t="s">
        <v>2359</v>
      </c>
      <c r="X97" s="54"/>
      <c r="Y97" s="54" t="s">
        <v>2555</v>
      </c>
      <c r="Z97" s="54">
        <v>1968</v>
      </c>
      <c r="AA97" s="54" t="s">
        <v>2361</v>
      </c>
      <c r="AB97" s="54" t="s">
        <v>2362</v>
      </c>
      <c r="AC97" s="54" t="s">
        <v>2403</v>
      </c>
      <c r="AD97" s="54"/>
      <c r="AE97" s="54" t="s">
        <v>2556</v>
      </c>
      <c r="AF97" s="54">
        <v>1978</v>
      </c>
      <c r="AG97" s="54" t="s">
        <v>2361</v>
      </c>
      <c r="AH97" s="54" t="s">
        <v>2365</v>
      </c>
      <c r="AI97" s="54" t="s">
        <v>2366</v>
      </c>
      <c r="AJ97" s="54"/>
      <c r="AK97" s="54"/>
      <c r="AL97" s="54"/>
      <c r="AM97" s="54" t="s">
        <v>2367</v>
      </c>
      <c r="AN97" s="54"/>
      <c r="AO97" s="54"/>
      <c r="AP97" s="54"/>
      <c r="AQ97" s="54" t="s">
        <v>8181</v>
      </c>
      <c r="AR97" s="54"/>
      <c r="AS97" s="54"/>
      <c r="AT97" s="54" t="s">
        <v>2359</v>
      </c>
      <c r="AU97" s="54"/>
      <c r="AV97" s="54">
        <v>0</v>
      </c>
      <c r="AW97" s="54" t="s">
        <v>2557</v>
      </c>
      <c r="AX97" s="54" t="s">
        <v>2558</v>
      </c>
      <c r="AY97" s="54"/>
      <c r="AZ97" s="54"/>
      <c r="BA97" s="54"/>
      <c r="BB97" s="54" t="s">
        <v>2369</v>
      </c>
      <c r="BC97" s="54" t="s">
        <v>2443</v>
      </c>
      <c r="BD97" s="54" t="s">
        <v>2371</v>
      </c>
      <c r="BE97" s="54" t="s">
        <v>2430</v>
      </c>
      <c r="BF97" s="54">
        <v>13</v>
      </c>
      <c r="BG97" s="54">
        <v>-6.9514541999999997</v>
      </c>
      <c r="BH97" s="54">
        <v>107.4179645</v>
      </c>
      <c r="BI97" s="54"/>
      <c r="BJ97" s="54">
        <v>51</v>
      </c>
      <c r="BK97" s="54">
        <v>140</v>
      </c>
      <c r="BL97" s="54">
        <v>0</v>
      </c>
      <c r="BM97" s="54">
        <v>0</v>
      </c>
      <c r="BN97" s="54">
        <v>0</v>
      </c>
    </row>
    <row r="98" spans="1:66" s="219" customFormat="1" hidden="1" x14ac:dyDescent="0.3">
      <c r="A98" s="54">
        <v>92</v>
      </c>
      <c r="B98" s="54" t="s">
        <v>1820</v>
      </c>
      <c r="C98" s="54" t="s">
        <v>1462</v>
      </c>
      <c r="D98" s="54" t="s">
        <v>53</v>
      </c>
      <c r="E98" s="54">
        <v>3098839710</v>
      </c>
      <c r="F98" s="54" t="s">
        <v>2446</v>
      </c>
      <c r="G98" s="108">
        <v>39818</v>
      </c>
      <c r="H98" s="54">
        <v>3217124105090000</v>
      </c>
      <c r="I98" s="54" t="s">
        <v>2353</v>
      </c>
      <c r="J98" s="54" t="s">
        <v>3352</v>
      </c>
      <c r="K98" s="54">
        <v>3</v>
      </c>
      <c r="L98" s="54">
        <v>3</v>
      </c>
      <c r="M98" s="54"/>
      <c r="N98" s="54" t="s">
        <v>2438</v>
      </c>
      <c r="O98" s="54" t="s">
        <v>2356</v>
      </c>
      <c r="P98" s="54"/>
      <c r="Q98" s="54" t="s">
        <v>2357</v>
      </c>
      <c r="R98" s="54" t="s">
        <v>2374</v>
      </c>
      <c r="S98" s="54"/>
      <c r="T98" s="54">
        <v>83824058318</v>
      </c>
      <c r="U98" s="54"/>
      <c r="V98" s="54"/>
      <c r="W98" s="54" t="s">
        <v>2359</v>
      </c>
      <c r="X98" s="54"/>
      <c r="Y98" s="54"/>
      <c r="Z98" s="54">
        <v>1971</v>
      </c>
      <c r="AA98" s="54" t="s">
        <v>2402</v>
      </c>
      <c r="AB98" s="54" t="s">
        <v>2362</v>
      </c>
      <c r="AC98" s="54" t="s">
        <v>2375</v>
      </c>
      <c r="AD98" s="54"/>
      <c r="AE98" s="54" t="s">
        <v>1075</v>
      </c>
      <c r="AF98" s="54">
        <v>1977</v>
      </c>
      <c r="AG98" s="54" t="s">
        <v>2361</v>
      </c>
      <c r="AH98" s="54" t="s">
        <v>2365</v>
      </c>
      <c r="AI98" s="54" t="s">
        <v>2366</v>
      </c>
      <c r="AJ98" s="54"/>
      <c r="AK98" s="54"/>
      <c r="AL98" s="54"/>
      <c r="AM98" s="54"/>
      <c r="AN98" s="54"/>
      <c r="AO98" s="54"/>
      <c r="AP98" s="54"/>
      <c r="AQ98" s="54" t="s">
        <v>5147</v>
      </c>
      <c r="AR98" s="54"/>
      <c r="AS98" s="54"/>
      <c r="AT98" s="54" t="s">
        <v>2359</v>
      </c>
      <c r="AU98" s="54"/>
      <c r="AV98" s="54">
        <v>0</v>
      </c>
      <c r="AW98" s="54"/>
      <c r="AX98" s="54" t="s">
        <v>3353</v>
      </c>
      <c r="AY98" s="54"/>
      <c r="AZ98" s="54"/>
      <c r="BA98" s="54"/>
      <c r="BB98" s="54" t="s">
        <v>2369</v>
      </c>
      <c r="BC98" s="54" t="s">
        <v>2370</v>
      </c>
      <c r="BD98" s="54" t="s">
        <v>2371</v>
      </c>
      <c r="BE98" s="54"/>
      <c r="BF98" s="54">
        <v>1</v>
      </c>
      <c r="BG98" s="54">
        <v>-6.9625000000000004</v>
      </c>
      <c r="BH98" s="54">
        <v>107.4346</v>
      </c>
      <c r="BI98" s="54">
        <v>3217121609120110</v>
      </c>
      <c r="BJ98" s="54">
        <v>46</v>
      </c>
      <c r="BK98" s="54">
        <v>141</v>
      </c>
      <c r="BL98" s="54">
        <v>55</v>
      </c>
      <c r="BM98" s="54">
        <v>1</v>
      </c>
      <c r="BN98" s="54">
        <v>2</v>
      </c>
    </row>
    <row r="99" spans="1:66" s="219" customFormat="1" hidden="1" x14ac:dyDescent="0.3">
      <c r="A99" s="54">
        <v>93</v>
      </c>
      <c r="B99" s="54" t="s">
        <v>1378</v>
      </c>
      <c r="C99" s="54" t="s">
        <v>1550</v>
      </c>
      <c r="D99" s="54" t="s">
        <v>53</v>
      </c>
      <c r="E99" s="54">
        <v>85285303</v>
      </c>
      <c r="F99" s="54" t="s">
        <v>2446</v>
      </c>
      <c r="G99" s="108">
        <v>39649</v>
      </c>
      <c r="H99" s="54">
        <v>3217116007080000</v>
      </c>
      <c r="I99" s="54" t="s">
        <v>2353</v>
      </c>
      <c r="J99" s="54" t="s">
        <v>3692</v>
      </c>
      <c r="K99" s="54">
        <v>4</v>
      </c>
      <c r="L99" s="54">
        <v>5</v>
      </c>
      <c r="M99" s="54"/>
      <c r="N99" s="54" t="s">
        <v>2571</v>
      </c>
      <c r="O99" s="54" t="s">
        <v>2426</v>
      </c>
      <c r="P99" s="54">
        <v>40562</v>
      </c>
      <c r="Q99" s="54" t="s">
        <v>2357</v>
      </c>
      <c r="R99" s="54" t="s">
        <v>2358</v>
      </c>
      <c r="S99" s="54"/>
      <c r="T99" s="54">
        <v>83120667843</v>
      </c>
      <c r="U99" s="54"/>
      <c r="V99" s="54"/>
      <c r="W99" s="54" t="s">
        <v>2359</v>
      </c>
      <c r="X99" s="54"/>
      <c r="Y99" s="54" t="s">
        <v>3693</v>
      </c>
      <c r="Z99" s="54">
        <v>1970</v>
      </c>
      <c r="AA99" s="54"/>
      <c r="AB99" s="54" t="s">
        <v>2362</v>
      </c>
      <c r="AC99" s="54" t="s">
        <v>2403</v>
      </c>
      <c r="AD99" s="54"/>
      <c r="AE99" s="54" t="s">
        <v>3694</v>
      </c>
      <c r="AF99" s="54">
        <v>1981</v>
      </c>
      <c r="AG99" s="54"/>
      <c r="AH99" s="54" t="s">
        <v>2365</v>
      </c>
      <c r="AI99" s="54" t="s">
        <v>2366</v>
      </c>
      <c r="AJ99" s="54"/>
      <c r="AK99" s="54"/>
      <c r="AL99" s="54"/>
      <c r="AM99" s="54"/>
      <c r="AN99" s="54"/>
      <c r="AO99" s="54"/>
      <c r="AP99" s="54"/>
      <c r="AQ99" s="54" t="s">
        <v>5147</v>
      </c>
      <c r="AR99" s="54"/>
      <c r="AS99" s="54"/>
      <c r="AT99" s="54" t="s">
        <v>2359</v>
      </c>
      <c r="AU99" s="54"/>
      <c r="AV99" s="54">
        <v>0</v>
      </c>
      <c r="AW99" s="54"/>
      <c r="AX99" s="54"/>
      <c r="AY99" s="54"/>
      <c r="AZ99" s="54"/>
      <c r="BA99" s="54"/>
      <c r="BB99" s="54" t="s">
        <v>2369</v>
      </c>
      <c r="BC99" s="54" t="s">
        <v>2370</v>
      </c>
      <c r="BD99" s="54" t="s">
        <v>2371</v>
      </c>
      <c r="BE99" s="54"/>
      <c r="BF99" s="54">
        <v>1</v>
      </c>
      <c r="BG99" s="54">
        <v>-6.9771000000000001</v>
      </c>
      <c r="BH99" s="54">
        <v>107.43729999999999</v>
      </c>
      <c r="BI99" s="54"/>
      <c r="BJ99" s="54">
        <v>40</v>
      </c>
      <c r="BK99" s="54">
        <v>136</v>
      </c>
      <c r="BL99" s="54">
        <v>55</v>
      </c>
      <c r="BM99" s="54">
        <v>2</v>
      </c>
      <c r="BN99" s="54">
        <v>3</v>
      </c>
    </row>
    <row r="100" spans="1:66" hidden="1" x14ac:dyDescent="0.3">
      <c r="A100" s="3">
        <v>94</v>
      </c>
      <c r="B100" s="3" t="s">
        <v>4569</v>
      </c>
      <c r="C100" s="3" t="s">
        <v>4329</v>
      </c>
      <c r="D100" s="3" t="s">
        <v>53</v>
      </c>
      <c r="E100" s="3">
        <v>118989953</v>
      </c>
      <c r="F100" s="3" t="s">
        <v>2373</v>
      </c>
      <c r="G100" s="157">
        <v>40626</v>
      </c>
      <c r="H100" s="3">
        <v>3217116403110000</v>
      </c>
      <c r="I100" s="3" t="s">
        <v>2353</v>
      </c>
      <c r="J100" s="3" t="s">
        <v>2530</v>
      </c>
      <c r="K100" s="3">
        <v>2</v>
      </c>
      <c r="L100" s="3">
        <v>8</v>
      </c>
      <c r="M100" s="3"/>
      <c r="N100" s="3" t="s">
        <v>4508</v>
      </c>
      <c r="O100" s="3" t="s">
        <v>2426</v>
      </c>
      <c r="P100" s="3">
        <v>40562</v>
      </c>
      <c r="Q100" s="3" t="s">
        <v>2357</v>
      </c>
      <c r="R100" s="3" t="s">
        <v>2358</v>
      </c>
      <c r="S100" s="3"/>
      <c r="T100" s="3">
        <v>82197717068</v>
      </c>
      <c r="U100" s="3"/>
      <c r="V100" s="3"/>
      <c r="W100" s="3" t="s">
        <v>2359</v>
      </c>
      <c r="X100" s="3"/>
      <c r="Y100" s="3" t="s">
        <v>4570</v>
      </c>
      <c r="Z100" s="3">
        <v>1975</v>
      </c>
      <c r="AA100" s="3" t="s">
        <v>2402</v>
      </c>
      <c r="AB100" s="3" t="s">
        <v>2362</v>
      </c>
      <c r="AC100" s="3" t="s">
        <v>2403</v>
      </c>
      <c r="AD100" s="3">
        <v>3217112404750000</v>
      </c>
      <c r="AE100" s="3" t="s">
        <v>4571</v>
      </c>
      <c r="AF100" s="3">
        <v>1976</v>
      </c>
      <c r="AG100" s="3" t="s">
        <v>2402</v>
      </c>
      <c r="AH100" s="3" t="s">
        <v>2365</v>
      </c>
      <c r="AI100" s="3" t="s">
        <v>2366</v>
      </c>
      <c r="AJ100" s="3">
        <v>3217115312760000</v>
      </c>
      <c r="AK100" s="3"/>
      <c r="AL100" s="3"/>
      <c r="AM100" s="3" t="s">
        <v>2367</v>
      </c>
      <c r="AN100" s="3"/>
      <c r="AO100" s="3"/>
      <c r="AP100" s="3"/>
      <c r="AQ100" s="3" t="s">
        <v>5152</v>
      </c>
      <c r="AR100" s="3"/>
      <c r="AS100" s="3" t="s">
        <v>4572</v>
      </c>
      <c r="AT100" s="3" t="s">
        <v>2359</v>
      </c>
      <c r="AU100" s="3"/>
      <c r="AV100" s="3">
        <v>0</v>
      </c>
      <c r="AW100" s="3"/>
      <c r="AX100" s="3" t="s">
        <v>4573</v>
      </c>
      <c r="AY100" s="3"/>
      <c r="AZ100" s="3"/>
      <c r="BA100" s="3"/>
      <c r="BB100" s="3" t="s">
        <v>2369</v>
      </c>
      <c r="BC100" s="3" t="s">
        <v>2370</v>
      </c>
      <c r="BD100" s="3" t="s">
        <v>2371</v>
      </c>
      <c r="BE100" s="3" t="s">
        <v>2430</v>
      </c>
      <c r="BF100" s="3">
        <v>3</v>
      </c>
      <c r="BG100" s="3">
        <v>-6.9514541999999997</v>
      </c>
      <c r="BH100" s="3">
        <v>107.4179645</v>
      </c>
      <c r="BI100" s="3">
        <v>3217112105080030</v>
      </c>
      <c r="BJ100" s="3">
        <v>40</v>
      </c>
      <c r="BK100" s="3">
        <v>136</v>
      </c>
      <c r="BL100" s="3">
        <v>58</v>
      </c>
      <c r="BM100" s="3">
        <v>1</v>
      </c>
      <c r="BN100" s="3">
        <v>2</v>
      </c>
    </row>
    <row r="101" spans="1:66" hidden="1" x14ac:dyDescent="0.3">
      <c r="A101" s="3">
        <v>95</v>
      </c>
      <c r="B101" s="3" t="s">
        <v>3977</v>
      </c>
      <c r="C101" s="3" t="s">
        <v>4330</v>
      </c>
      <c r="D101" s="3" t="s">
        <v>53</v>
      </c>
      <c r="E101" s="3">
        <v>104664398</v>
      </c>
      <c r="F101" s="3" t="s">
        <v>2377</v>
      </c>
      <c r="G101" s="157">
        <v>40483</v>
      </c>
      <c r="H101" s="3">
        <v>3217124111100000</v>
      </c>
      <c r="I101" s="3" t="s">
        <v>2353</v>
      </c>
      <c r="J101" s="3" t="s">
        <v>4574</v>
      </c>
      <c r="K101" s="3">
        <v>2</v>
      </c>
      <c r="L101" s="3">
        <v>8</v>
      </c>
      <c r="M101" s="3" t="s">
        <v>4574</v>
      </c>
      <c r="N101" s="3" t="s">
        <v>4527</v>
      </c>
      <c r="O101" s="3" t="s">
        <v>2356</v>
      </c>
      <c r="P101" s="3">
        <v>40764</v>
      </c>
      <c r="Q101" s="3" t="s">
        <v>2357</v>
      </c>
      <c r="R101" s="3" t="s">
        <v>2374</v>
      </c>
      <c r="S101" s="3"/>
      <c r="T101" s="3">
        <v>83822961237</v>
      </c>
      <c r="U101" s="3"/>
      <c r="V101" s="3"/>
      <c r="W101" s="3" t="s">
        <v>2359</v>
      </c>
      <c r="X101" s="3"/>
      <c r="Y101" s="3" t="s">
        <v>3979</v>
      </c>
      <c r="Z101" s="3">
        <v>1982</v>
      </c>
      <c r="AA101" s="3" t="s">
        <v>2390</v>
      </c>
      <c r="AB101" s="3" t="s">
        <v>2362</v>
      </c>
      <c r="AC101" s="3" t="s">
        <v>2363</v>
      </c>
      <c r="AD101" s="3">
        <v>3217120212620010</v>
      </c>
      <c r="AE101" s="3" t="s">
        <v>3553</v>
      </c>
      <c r="AF101" s="3">
        <v>1987</v>
      </c>
      <c r="AG101" s="3" t="s">
        <v>2402</v>
      </c>
      <c r="AH101" s="3" t="s">
        <v>2365</v>
      </c>
      <c r="AI101" s="3" t="s">
        <v>2366</v>
      </c>
      <c r="AJ101" s="3">
        <v>3217124511870000</v>
      </c>
      <c r="AK101" s="3"/>
      <c r="AL101" s="3"/>
      <c r="AM101" s="3" t="s">
        <v>2367</v>
      </c>
      <c r="AN101" s="3"/>
      <c r="AO101" s="3"/>
      <c r="AP101" s="3"/>
      <c r="AQ101" s="3" t="s">
        <v>5152</v>
      </c>
      <c r="AR101" s="3"/>
      <c r="AS101" s="3" t="s">
        <v>4575</v>
      </c>
      <c r="AT101" s="3" t="s">
        <v>2369</v>
      </c>
      <c r="AU101" s="3"/>
      <c r="AV101" s="3">
        <v>0</v>
      </c>
      <c r="AW101" s="3"/>
      <c r="AX101" s="3" t="s">
        <v>3978</v>
      </c>
      <c r="AY101" s="3"/>
      <c r="AZ101" s="3"/>
      <c r="BA101" s="3"/>
      <c r="BB101" s="3" t="s">
        <v>2369</v>
      </c>
      <c r="BC101" s="3"/>
      <c r="BD101" s="3" t="s">
        <v>2371</v>
      </c>
      <c r="BE101" s="3" t="s">
        <v>2937</v>
      </c>
      <c r="BF101" s="3">
        <v>1</v>
      </c>
      <c r="BG101" s="3">
        <v>-6.9486999999999997</v>
      </c>
      <c r="BH101" s="3">
        <v>107.3831</v>
      </c>
      <c r="BI101" s="3">
        <v>3217120510090010</v>
      </c>
      <c r="BJ101" s="3">
        <v>42</v>
      </c>
      <c r="BK101" s="3">
        <v>136</v>
      </c>
      <c r="BL101" s="3">
        <v>57</v>
      </c>
      <c r="BM101" s="3">
        <v>1</v>
      </c>
      <c r="BN101" s="3">
        <v>2</v>
      </c>
    </row>
    <row r="102" spans="1:66" s="219" customFormat="1" hidden="1" x14ac:dyDescent="0.3">
      <c r="A102" s="54">
        <v>96</v>
      </c>
      <c r="B102" s="54" t="s">
        <v>1628</v>
      </c>
      <c r="C102" s="54" t="s">
        <v>3472</v>
      </c>
      <c r="D102" s="54" t="s">
        <v>53</v>
      </c>
      <c r="E102" s="54">
        <v>95731296</v>
      </c>
      <c r="F102" s="54" t="s">
        <v>2446</v>
      </c>
      <c r="G102" s="108">
        <v>39889</v>
      </c>
      <c r="H102" s="54">
        <v>3273055703090000</v>
      </c>
      <c r="I102" s="54" t="s">
        <v>2353</v>
      </c>
      <c r="J102" s="54" t="s">
        <v>3473</v>
      </c>
      <c r="K102" s="54">
        <v>2</v>
      </c>
      <c r="L102" s="54">
        <v>2</v>
      </c>
      <c r="M102" s="54"/>
      <c r="N102" s="54" t="s">
        <v>3474</v>
      </c>
      <c r="O102" s="54" t="s">
        <v>3475</v>
      </c>
      <c r="P102" s="54">
        <v>40182</v>
      </c>
      <c r="Q102" s="54" t="s">
        <v>2357</v>
      </c>
      <c r="R102" s="54" t="s">
        <v>2374</v>
      </c>
      <c r="S102" s="54"/>
      <c r="T102" s="54">
        <v>85604457467</v>
      </c>
      <c r="U102" s="54"/>
      <c r="V102" s="54"/>
      <c r="W102" s="54" t="s">
        <v>2359</v>
      </c>
      <c r="X102" s="54"/>
      <c r="Y102" s="54" t="s">
        <v>3476</v>
      </c>
      <c r="Z102" s="54">
        <v>1983</v>
      </c>
      <c r="AA102" s="54" t="s">
        <v>2402</v>
      </c>
      <c r="AB102" s="54" t="s">
        <v>2493</v>
      </c>
      <c r="AC102" s="54" t="s">
        <v>2363</v>
      </c>
      <c r="AD102" s="54">
        <v>3273050709830000</v>
      </c>
      <c r="AE102" s="54" t="s">
        <v>3477</v>
      </c>
      <c r="AF102" s="54">
        <v>1991</v>
      </c>
      <c r="AG102" s="54" t="s">
        <v>2402</v>
      </c>
      <c r="AH102" s="54" t="s">
        <v>2365</v>
      </c>
      <c r="AI102" s="54" t="s">
        <v>2366</v>
      </c>
      <c r="AJ102" s="54">
        <v>3273055001910000</v>
      </c>
      <c r="AK102" s="54"/>
      <c r="AL102" s="54"/>
      <c r="AM102" s="54"/>
      <c r="AN102" s="54"/>
      <c r="AO102" s="54"/>
      <c r="AP102" s="54"/>
      <c r="AQ102" s="54" t="s">
        <v>5147</v>
      </c>
      <c r="AR102" s="54"/>
      <c r="AS102" s="54"/>
      <c r="AT102" s="54" t="s">
        <v>2359</v>
      </c>
      <c r="AU102" s="54"/>
      <c r="AV102" s="54">
        <v>0</v>
      </c>
      <c r="AW102" s="54"/>
      <c r="AX102" s="54" t="s">
        <v>3478</v>
      </c>
      <c r="AY102" s="54"/>
      <c r="AZ102" s="54"/>
      <c r="BA102" s="54"/>
      <c r="BB102" s="54" t="s">
        <v>2369</v>
      </c>
      <c r="BC102" s="54" t="s">
        <v>2370</v>
      </c>
      <c r="BD102" s="54" t="s">
        <v>2371</v>
      </c>
      <c r="BE102" s="54" t="s">
        <v>3479</v>
      </c>
      <c r="BF102" s="54">
        <v>1</v>
      </c>
      <c r="BG102" s="54">
        <v>-7.100850082</v>
      </c>
      <c r="BH102" s="54">
        <v>107.4599791</v>
      </c>
      <c r="BI102" s="54"/>
      <c r="BJ102" s="54">
        <v>36</v>
      </c>
      <c r="BK102" s="54">
        <v>138</v>
      </c>
      <c r="BL102" s="54">
        <v>44</v>
      </c>
      <c r="BM102" s="54">
        <v>3</v>
      </c>
      <c r="BN102" s="54">
        <v>1</v>
      </c>
    </row>
    <row r="103" spans="1:66" hidden="1" x14ac:dyDescent="0.3">
      <c r="A103" s="3">
        <v>97</v>
      </c>
      <c r="B103" s="3" t="s">
        <v>4576</v>
      </c>
      <c r="C103" s="3" t="s">
        <v>4297</v>
      </c>
      <c r="D103" s="3" t="s">
        <v>53</v>
      </c>
      <c r="E103" s="3">
        <v>111013129</v>
      </c>
      <c r="F103" s="3" t="s">
        <v>2373</v>
      </c>
      <c r="G103" s="157">
        <v>40701</v>
      </c>
      <c r="H103" s="3">
        <v>3217084706110000</v>
      </c>
      <c r="I103" s="3" t="s">
        <v>2353</v>
      </c>
      <c r="J103" s="3" t="s">
        <v>3695</v>
      </c>
      <c r="K103" s="3">
        <v>4</v>
      </c>
      <c r="L103" s="3">
        <v>4</v>
      </c>
      <c r="M103" s="3"/>
      <c r="N103" s="3" t="s">
        <v>2409</v>
      </c>
      <c r="O103" s="3" t="s">
        <v>2356</v>
      </c>
      <c r="P103" s="3">
        <v>40564</v>
      </c>
      <c r="Q103" s="3" t="s">
        <v>2357</v>
      </c>
      <c r="R103" s="3" t="s">
        <v>2358</v>
      </c>
      <c r="S103" s="3"/>
      <c r="T103" s="3">
        <v>859109803322</v>
      </c>
      <c r="U103" s="3"/>
      <c r="V103" s="3"/>
      <c r="W103" s="3" t="s">
        <v>2359</v>
      </c>
      <c r="X103" s="3"/>
      <c r="Y103" s="3" t="s">
        <v>4577</v>
      </c>
      <c r="Z103" s="3">
        <v>1986</v>
      </c>
      <c r="AA103" s="3" t="s">
        <v>2402</v>
      </c>
      <c r="AB103" s="3" t="s">
        <v>2362</v>
      </c>
      <c r="AC103" s="3" t="s">
        <v>2363</v>
      </c>
      <c r="AD103" s="3">
        <v>3217082310860010</v>
      </c>
      <c r="AE103" s="3" t="s">
        <v>4578</v>
      </c>
      <c r="AF103" s="3">
        <v>1986</v>
      </c>
      <c r="AG103" s="3" t="s">
        <v>2390</v>
      </c>
      <c r="AH103" s="3" t="s">
        <v>2365</v>
      </c>
      <c r="AI103" s="3" t="s">
        <v>2366</v>
      </c>
      <c r="AJ103" s="3">
        <v>3217086608860010</v>
      </c>
      <c r="AK103" s="3"/>
      <c r="AL103" s="3"/>
      <c r="AM103" s="3" t="s">
        <v>2367</v>
      </c>
      <c r="AN103" s="3"/>
      <c r="AO103" s="3"/>
      <c r="AP103" s="3"/>
      <c r="AQ103" s="3" t="s">
        <v>5150</v>
      </c>
      <c r="AR103" s="3"/>
      <c r="AS103" s="3"/>
      <c r="AT103" s="3" t="s">
        <v>2359</v>
      </c>
      <c r="AU103" s="3"/>
      <c r="AV103" s="3">
        <v>0</v>
      </c>
      <c r="AW103" s="3"/>
      <c r="AX103" s="3" t="s">
        <v>4002</v>
      </c>
      <c r="AY103" s="3"/>
      <c r="AZ103" s="3"/>
      <c r="BA103" s="3"/>
      <c r="BB103" s="3" t="s">
        <v>2359</v>
      </c>
      <c r="BC103" s="3"/>
      <c r="BD103" s="3" t="s">
        <v>2371</v>
      </c>
      <c r="BE103" s="3" t="s">
        <v>2422</v>
      </c>
      <c r="BF103" s="3">
        <v>1</v>
      </c>
      <c r="BG103" s="3">
        <v>-6.9554</v>
      </c>
      <c r="BH103" s="3">
        <v>107.39319999999999</v>
      </c>
      <c r="BI103" s="3">
        <v>3217121408200000</v>
      </c>
      <c r="BJ103" s="3">
        <v>44</v>
      </c>
      <c r="BK103" s="3">
        <v>139</v>
      </c>
      <c r="BL103" s="3">
        <v>57</v>
      </c>
      <c r="BM103" s="3">
        <v>1</v>
      </c>
      <c r="BN103" s="3">
        <v>3</v>
      </c>
    </row>
    <row r="104" spans="1:66" hidden="1" x14ac:dyDescent="0.3">
      <c r="A104" s="3">
        <v>98</v>
      </c>
      <c r="B104" s="3" t="s">
        <v>3847</v>
      </c>
      <c r="C104" s="3" t="s">
        <v>4298</v>
      </c>
      <c r="D104" s="3" t="s">
        <v>53</v>
      </c>
      <c r="E104" s="3">
        <v>109297878</v>
      </c>
      <c r="F104" s="3" t="s">
        <v>2377</v>
      </c>
      <c r="G104" s="157">
        <v>40406</v>
      </c>
      <c r="H104" s="3">
        <v>3217115604100000</v>
      </c>
      <c r="I104" s="3" t="s">
        <v>2353</v>
      </c>
      <c r="J104" s="3" t="s">
        <v>4579</v>
      </c>
      <c r="K104" s="3">
        <v>2</v>
      </c>
      <c r="L104" s="3">
        <v>9</v>
      </c>
      <c r="M104" s="3"/>
      <c r="N104" s="3" t="s">
        <v>3581</v>
      </c>
      <c r="O104" s="3" t="s">
        <v>2426</v>
      </c>
      <c r="P104" s="3">
        <v>40562</v>
      </c>
      <c r="Q104" s="3" t="s">
        <v>2357</v>
      </c>
      <c r="R104" s="3" t="s">
        <v>2374</v>
      </c>
      <c r="S104" s="3"/>
      <c r="T104" s="3">
        <v>83816431012</v>
      </c>
      <c r="U104" s="3"/>
      <c r="V104" s="3"/>
      <c r="W104" s="3" t="s">
        <v>2369</v>
      </c>
      <c r="X104" s="3">
        <v>122000105841159</v>
      </c>
      <c r="Y104" s="3" t="s">
        <v>4062</v>
      </c>
      <c r="Z104" s="3">
        <v>1959</v>
      </c>
      <c r="AA104" s="3" t="s">
        <v>2402</v>
      </c>
      <c r="AB104" s="3" t="s">
        <v>2362</v>
      </c>
      <c r="AC104" s="3" t="s">
        <v>2363</v>
      </c>
      <c r="AD104" s="3">
        <v>3217111503590000</v>
      </c>
      <c r="AE104" s="3" t="s">
        <v>4063</v>
      </c>
      <c r="AF104" s="3">
        <v>1965</v>
      </c>
      <c r="AG104" s="3" t="s">
        <v>2402</v>
      </c>
      <c r="AH104" s="3" t="s">
        <v>2365</v>
      </c>
      <c r="AI104" s="3" t="s">
        <v>2366</v>
      </c>
      <c r="AJ104" s="3">
        <v>3217114309850000</v>
      </c>
      <c r="AK104" s="3"/>
      <c r="AL104" s="3"/>
      <c r="AM104" s="3" t="s">
        <v>2367</v>
      </c>
      <c r="AN104" s="3"/>
      <c r="AO104" s="3"/>
      <c r="AP104" s="3"/>
      <c r="AQ104" s="3" t="s">
        <v>5150</v>
      </c>
      <c r="AR104" s="3"/>
      <c r="AS104" s="3"/>
      <c r="AT104" s="3" t="s">
        <v>2359</v>
      </c>
      <c r="AU104" s="3"/>
      <c r="AV104" s="3">
        <v>0</v>
      </c>
      <c r="AW104" s="3" t="s">
        <v>4580</v>
      </c>
      <c r="AX104" s="3">
        <v>953.00948589999996</v>
      </c>
      <c r="AY104" s="3"/>
      <c r="AZ104" s="3"/>
      <c r="BA104" s="3"/>
      <c r="BB104" s="3" t="s">
        <v>2369</v>
      </c>
      <c r="BC104" s="3" t="s">
        <v>2370</v>
      </c>
      <c r="BD104" s="3" t="s">
        <v>2371</v>
      </c>
      <c r="BE104" s="3" t="s">
        <v>2691</v>
      </c>
      <c r="BF104" s="3">
        <v>4</v>
      </c>
      <c r="BG104" s="3">
        <v>-6.9743000000000004</v>
      </c>
      <c r="BH104" s="3">
        <v>107.43559999999999</v>
      </c>
      <c r="BI104" s="3"/>
      <c r="BJ104" s="3">
        <v>28</v>
      </c>
      <c r="BK104" s="3">
        <v>128</v>
      </c>
      <c r="BL104" s="3">
        <v>0</v>
      </c>
      <c r="BM104" s="3">
        <v>0</v>
      </c>
      <c r="BN104" s="3">
        <v>1</v>
      </c>
    </row>
    <row r="105" spans="1:66" s="219" customFormat="1" hidden="1" x14ac:dyDescent="0.3">
      <c r="A105" s="54">
        <v>99</v>
      </c>
      <c r="B105" s="54" t="s">
        <v>1899</v>
      </c>
      <c r="C105" s="54" t="s">
        <v>1551</v>
      </c>
      <c r="D105" s="54" t="s">
        <v>53</v>
      </c>
      <c r="E105" s="54">
        <v>87249407</v>
      </c>
      <c r="F105" s="54" t="s">
        <v>2446</v>
      </c>
      <c r="G105" s="108">
        <v>39783</v>
      </c>
      <c r="H105" s="54">
        <v>3217124112080000</v>
      </c>
      <c r="I105" s="54" t="s">
        <v>2353</v>
      </c>
      <c r="J105" s="54" t="s">
        <v>3695</v>
      </c>
      <c r="K105" s="54">
        <v>1</v>
      </c>
      <c r="L105" s="54">
        <v>4</v>
      </c>
      <c r="M105" s="54">
        <v>4</v>
      </c>
      <c r="N105" s="54" t="s">
        <v>2409</v>
      </c>
      <c r="O105" s="54" t="s">
        <v>2356</v>
      </c>
      <c r="P105" s="54">
        <v>40564</v>
      </c>
      <c r="Q105" s="54" t="s">
        <v>2357</v>
      </c>
      <c r="R105" s="54" t="s">
        <v>2358</v>
      </c>
      <c r="S105" s="54"/>
      <c r="T105" s="54">
        <v>88806379931</v>
      </c>
      <c r="U105" s="54"/>
      <c r="V105" s="54"/>
      <c r="W105" s="54" t="s">
        <v>2359</v>
      </c>
      <c r="X105" s="54"/>
      <c r="Y105" s="54" t="s">
        <v>3696</v>
      </c>
      <c r="Z105" s="54">
        <v>1972</v>
      </c>
      <c r="AA105" s="54" t="s">
        <v>2390</v>
      </c>
      <c r="AB105" s="54" t="s">
        <v>2362</v>
      </c>
      <c r="AC105" s="54" t="s">
        <v>2363</v>
      </c>
      <c r="AD105" s="54">
        <v>3217121101720000</v>
      </c>
      <c r="AE105" s="54" t="s">
        <v>3697</v>
      </c>
      <c r="AF105" s="54">
        <v>1976</v>
      </c>
      <c r="AG105" s="54" t="s">
        <v>2361</v>
      </c>
      <c r="AH105" s="54" t="s">
        <v>2474</v>
      </c>
      <c r="AI105" s="54" t="s">
        <v>2366</v>
      </c>
      <c r="AJ105" s="54">
        <v>3217125008760010</v>
      </c>
      <c r="AK105" s="54"/>
      <c r="AL105" s="54"/>
      <c r="AM105" s="54"/>
      <c r="AN105" s="54"/>
      <c r="AO105" s="54"/>
      <c r="AP105" s="54"/>
      <c r="AQ105" s="54" t="s">
        <v>5147</v>
      </c>
      <c r="AR105" s="54"/>
      <c r="AS105" s="54"/>
      <c r="AT105" s="54" t="s">
        <v>2369</v>
      </c>
      <c r="AU105" s="54" t="s">
        <v>3698</v>
      </c>
      <c r="AV105" s="54">
        <v>0</v>
      </c>
      <c r="AW105" s="54"/>
      <c r="AX105" s="54">
        <v>3217</v>
      </c>
      <c r="AY105" s="54" t="s">
        <v>2460</v>
      </c>
      <c r="AZ105" s="54">
        <v>411601002879501</v>
      </c>
      <c r="BA105" s="54" t="s">
        <v>1899</v>
      </c>
      <c r="BB105" s="54" t="s">
        <v>2369</v>
      </c>
      <c r="BC105" s="54"/>
      <c r="BD105" s="54" t="s">
        <v>2371</v>
      </c>
      <c r="BE105" s="54"/>
      <c r="BF105" s="54">
        <v>1</v>
      </c>
      <c r="BG105" s="54">
        <v>-6.9462000000000002</v>
      </c>
      <c r="BH105" s="54">
        <v>107.3884</v>
      </c>
      <c r="BI105" s="54"/>
      <c r="BJ105" s="54">
        <v>39</v>
      </c>
      <c r="BK105" s="54">
        <v>141</v>
      </c>
      <c r="BL105" s="54">
        <v>53</v>
      </c>
      <c r="BM105" s="54">
        <v>3</v>
      </c>
      <c r="BN105" s="54">
        <v>1</v>
      </c>
    </row>
    <row r="106" spans="1:66" s="219" customFormat="1" hidden="1" x14ac:dyDescent="0.3">
      <c r="A106" s="54">
        <v>100</v>
      </c>
      <c r="B106" s="54" t="s">
        <v>1667</v>
      </c>
      <c r="C106" s="54" t="s">
        <v>2134</v>
      </c>
      <c r="D106" s="54" t="s">
        <v>53</v>
      </c>
      <c r="E106" s="54">
        <v>106108954</v>
      </c>
      <c r="F106" s="54" t="s">
        <v>2559</v>
      </c>
      <c r="G106" s="108">
        <v>40381</v>
      </c>
      <c r="H106" s="54">
        <v>3205046207100000</v>
      </c>
      <c r="I106" s="54" t="s">
        <v>2353</v>
      </c>
      <c r="J106" s="54" t="s">
        <v>2394</v>
      </c>
      <c r="K106" s="54">
        <v>3</v>
      </c>
      <c r="L106" s="54">
        <v>8</v>
      </c>
      <c r="M106" s="54" t="s">
        <v>2513</v>
      </c>
      <c r="N106" s="54" t="s">
        <v>2513</v>
      </c>
      <c r="O106" s="54" t="s">
        <v>2356</v>
      </c>
      <c r="P106" s="54">
        <v>40764</v>
      </c>
      <c r="Q106" s="54" t="s">
        <v>2357</v>
      </c>
      <c r="R106" s="54" t="s">
        <v>2358</v>
      </c>
      <c r="S106" s="54"/>
      <c r="T106" s="54">
        <v>83100710815</v>
      </c>
      <c r="U106" s="54"/>
      <c r="V106" s="54"/>
      <c r="W106" s="54" t="s">
        <v>2369</v>
      </c>
      <c r="X106" s="54" t="s">
        <v>2560</v>
      </c>
      <c r="Y106" s="54" t="s">
        <v>2561</v>
      </c>
      <c r="Z106" s="54">
        <v>1980</v>
      </c>
      <c r="AA106" s="54" t="s">
        <v>2361</v>
      </c>
      <c r="AB106" s="54" t="s">
        <v>2362</v>
      </c>
      <c r="AC106" s="54" t="s">
        <v>2403</v>
      </c>
      <c r="AD106" s="54">
        <v>3205041807800000</v>
      </c>
      <c r="AE106" s="54" t="s">
        <v>2562</v>
      </c>
      <c r="AF106" s="54">
        <v>1979</v>
      </c>
      <c r="AG106" s="54" t="s">
        <v>2361</v>
      </c>
      <c r="AH106" s="54" t="s">
        <v>2365</v>
      </c>
      <c r="AI106" s="54" t="s">
        <v>2366</v>
      </c>
      <c r="AJ106" s="54">
        <v>3205044305790000</v>
      </c>
      <c r="AK106" s="54"/>
      <c r="AL106" s="54"/>
      <c r="AM106" s="54" t="s">
        <v>2367</v>
      </c>
      <c r="AN106" s="54"/>
      <c r="AO106" s="54"/>
      <c r="AP106" s="54"/>
      <c r="AQ106" s="54" t="s">
        <v>8181</v>
      </c>
      <c r="AR106" s="54"/>
      <c r="AS106" s="54"/>
      <c r="AT106" s="54" t="s">
        <v>2359</v>
      </c>
      <c r="AU106" s="54"/>
      <c r="AV106" s="54">
        <v>0</v>
      </c>
      <c r="AW106" s="54"/>
      <c r="AX106" s="54" t="s">
        <v>2563</v>
      </c>
      <c r="AY106" s="54"/>
      <c r="AZ106" s="54"/>
      <c r="BA106" s="54"/>
      <c r="BB106" s="54" t="s">
        <v>2369</v>
      </c>
      <c r="BC106" s="54" t="s">
        <v>2443</v>
      </c>
      <c r="BD106" s="54" t="s">
        <v>2371</v>
      </c>
      <c r="BE106" s="54" t="s">
        <v>2477</v>
      </c>
      <c r="BF106" s="54">
        <v>2</v>
      </c>
      <c r="BG106" s="54">
        <v>-6.9661</v>
      </c>
      <c r="BH106" s="54">
        <v>107.4057</v>
      </c>
      <c r="BI106" s="54">
        <v>3217122502140000</v>
      </c>
      <c r="BJ106" s="54">
        <v>43</v>
      </c>
      <c r="BK106" s="54">
        <v>140</v>
      </c>
      <c r="BL106" s="54">
        <v>0</v>
      </c>
      <c r="BM106" s="54">
        <v>0</v>
      </c>
      <c r="BN106" s="54">
        <v>0</v>
      </c>
    </row>
    <row r="107" spans="1:66" s="219" customFormat="1" hidden="1" x14ac:dyDescent="0.3">
      <c r="A107" s="54">
        <v>101</v>
      </c>
      <c r="B107" s="54" t="s">
        <v>1846</v>
      </c>
      <c r="C107" s="54" t="s">
        <v>1495</v>
      </c>
      <c r="D107" s="54" t="s">
        <v>53</v>
      </c>
      <c r="E107" s="54">
        <v>81439010</v>
      </c>
      <c r="F107" s="54" t="s">
        <v>2352</v>
      </c>
      <c r="G107" s="108">
        <v>39795</v>
      </c>
      <c r="H107" s="54">
        <v>3217115312080000</v>
      </c>
      <c r="I107" s="54" t="s">
        <v>2353</v>
      </c>
      <c r="J107" s="54" t="s">
        <v>2673</v>
      </c>
      <c r="K107" s="54">
        <v>1</v>
      </c>
      <c r="L107" s="54">
        <v>2</v>
      </c>
      <c r="M107" s="54"/>
      <c r="N107" s="54" t="s">
        <v>2566</v>
      </c>
      <c r="O107" s="54" t="s">
        <v>2426</v>
      </c>
      <c r="P107" s="54">
        <v>40562</v>
      </c>
      <c r="Q107" s="54" t="s">
        <v>2357</v>
      </c>
      <c r="R107" s="54" t="s">
        <v>2358</v>
      </c>
      <c r="S107" s="54"/>
      <c r="T107" s="54">
        <v>83829216502</v>
      </c>
      <c r="U107" s="54"/>
      <c r="V107" s="54"/>
      <c r="W107" s="54" t="s">
        <v>2369</v>
      </c>
      <c r="X107" s="54"/>
      <c r="Y107" s="54" t="s">
        <v>3480</v>
      </c>
      <c r="Z107" s="54">
        <v>1976</v>
      </c>
      <c r="AA107" s="54" t="s">
        <v>2402</v>
      </c>
      <c r="AB107" s="54" t="s">
        <v>2388</v>
      </c>
      <c r="AC107" s="54" t="s">
        <v>2363</v>
      </c>
      <c r="AD107" s="54">
        <v>3217110206760010</v>
      </c>
      <c r="AE107" s="54" t="s">
        <v>3481</v>
      </c>
      <c r="AF107" s="54">
        <v>1976</v>
      </c>
      <c r="AG107" s="54" t="s">
        <v>2402</v>
      </c>
      <c r="AH107" s="54" t="s">
        <v>2365</v>
      </c>
      <c r="AI107" s="54" t="s">
        <v>2366</v>
      </c>
      <c r="AJ107" s="54">
        <v>3217114407760000</v>
      </c>
      <c r="AK107" s="54"/>
      <c r="AL107" s="54"/>
      <c r="AM107" s="54"/>
      <c r="AN107" s="54"/>
      <c r="AO107" s="54"/>
      <c r="AP107" s="54"/>
      <c r="AQ107" s="54" t="s">
        <v>5147</v>
      </c>
      <c r="AR107" s="54"/>
      <c r="AS107" s="54"/>
      <c r="AT107" s="54" t="s">
        <v>2369</v>
      </c>
      <c r="AU107" s="54" t="s">
        <v>3482</v>
      </c>
      <c r="AV107" s="54">
        <v>0</v>
      </c>
      <c r="AW107" s="54" t="s">
        <v>3483</v>
      </c>
      <c r="AX107" s="54" t="s">
        <v>3484</v>
      </c>
      <c r="AY107" s="54" t="s">
        <v>2460</v>
      </c>
      <c r="AZ107" s="54">
        <v>367101002520501</v>
      </c>
      <c r="BA107" s="54" t="s">
        <v>1846</v>
      </c>
      <c r="BB107" s="54" t="s">
        <v>2369</v>
      </c>
      <c r="BC107" s="54"/>
      <c r="BD107" s="54" t="s">
        <v>2371</v>
      </c>
      <c r="BE107" s="54" t="s">
        <v>4581</v>
      </c>
      <c r="BF107" s="54">
        <v>1</v>
      </c>
      <c r="BG107" s="54">
        <v>-6.9668999999999999</v>
      </c>
      <c r="BH107" s="54">
        <v>107.4242</v>
      </c>
      <c r="BI107" s="54"/>
      <c r="BJ107" s="54">
        <v>19</v>
      </c>
      <c r="BK107" s="54">
        <v>112</v>
      </c>
      <c r="BL107" s="54">
        <v>55</v>
      </c>
      <c r="BM107" s="54">
        <v>2</v>
      </c>
      <c r="BN107" s="54">
        <v>1</v>
      </c>
    </row>
    <row r="108" spans="1:66" hidden="1" x14ac:dyDescent="0.3">
      <c r="A108" s="3">
        <v>102</v>
      </c>
      <c r="B108" s="3" t="s">
        <v>3848</v>
      </c>
      <c r="C108" s="3" t="s">
        <v>4299</v>
      </c>
      <c r="D108" s="3" t="s">
        <v>53</v>
      </c>
      <c r="E108" s="3">
        <v>109779980</v>
      </c>
      <c r="F108" s="3" t="s">
        <v>2377</v>
      </c>
      <c r="G108" s="157">
        <v>40449</v>
      </c>
      <c r="H108" s="3">
        <v>3217126809100000</v>
      </c>
      <c r="I108" s="3" t="s">
        <v>2353</v>
      </c>
      <c r="J108" s="3" t="s">
        <v>3278</v>
      </c>
      <c r="K108" s="3">
        <v>2</v>
      </c>
      <c r="L108" s="3">
        <v>5</v>
      </c>
      <c r="M108" s="3"/>
      <c r="N108" s="3" t="s">
        <v>4475</v>
      </c>
      <c r="O108" s="3" t="s">
        <v>2356</v>
      </c>
      <c r="P108" s="3">
        <v>40564</v>
      </c>
      <c r="Q108" s="3" t="s">
        <v>2357</v>
      </c>
      <c r="R108" s="3" t="s">
        <v>2358</v>
      </c>
      <c r="S108" s="3"/>
      <c r="T108" s="3">
        <v>85321964594</v>
      </c>
      <c r="U108" s="3"/>
      <c r="V108" s="3"/>
      <c r="W108" s="3" t="s">
        <v>2359</v>
      </c>
      <c r="X108" s="3"/>
      <c r="Y108" s="3" t="s">
        <v>2713</v>
      </c>
      <c r="Z108" s="3">
        <v>1978</v>
      </c>
      <c r="AA108" s="3" t="s">
        <v>2361</v>
      </c>
      <c r="AB108" s="3" t="s">
        <v>2362</v>
      </c>
      <c r="AC108" s="3" t="s">
        <v>2363</v>
      </c>
      <c r="AD108" s="3">
        <v>3217120403780000</v>
      </c>
      <c r="AE108" s="3" t="s">
        <v>4174</v>
      </c>
      <c r="AF108" s="3">
        <v>1980</v>
      </c>
      <c r="AG108" s="3" t="s">
        <v>2367</v>
      </c>
      <c r="AH108" s="3" t="s">
        <v>2365</v>
      </c>
      <c r="AI108" s="3" t="s">
        <v>2366</v>
      </c>
      <c r="AJ108" s="3">
        <v>3217124303800000</v>
      </c>
      <c r="AK108" s="3"/>
      <c r="AL108" s="3"/>
      <c r="AM108" s="3" t="s">
        <v>2367</v>
      </c>
      <c r="AN108" s="3"/>
      <c r="AO108" s="3"/>
      <c r="AP108" s="3"/>
      <c r="AQ108" s="3" t="s">
        <v>5150</v>
      </c>
      <c r="AR108" s="3"/>
      <c r="AS108" s="3"/>
      <c r="AT108" s="3" t="s">
        <v>2369</v>
      </c>
      <c r="AU108" s="3" t="s">
        <v>4582</v>
      </c>
      <c r="AV108" s="3">
        <v>0</v>
      </c>
      <c r="AW108" s="3"/>
      <c r="AX108" s="3" t="s">
        <v>4173</v>
      </c>
      <c r="AY108" s="3"/>
      <c r="AZ108" s="3"/>
      <c r="BA108" s="3"/>
      <c r="BB108" s="3" t="s">
        <v>2369</v>
      </c>
      <c r="BC108" s="3"/>
      <c r="BD108" s="3" t="s">
        <v>2371</v>
      </c>
      <c r="BE108" s="3" t="s">
        <v>2372</v>
      </c>
      <c r="BF108" s="3">
        <v>1</v>
      </c>
      <c r="BG108" s="3">
        <v>-6.9676999999999998</v>
      </c>
      <c r="BH108" s="3">
        <v>107.4117</v>
      </c>
      <c r="BI108" s="3">
        <v>3217122606070020</v>
      </c>
      <c r="BJ108" s="3">
        <v>39</v>
      </c>
      <c r="BK108" s="3">
        <v>138</v>
      </c>
      <c r="BL108" s="3">
        <v>55</v>
      </c>
      <c r="BM108" s="3">
        <v>1</v>
      </c>
      <c r="BN108" s="3">
        <v>2</v>
      </c>
    </row>
    <row r="109" spans="1:66" x14ac:dyDescent="0.3">
      <c r="A109" s="3">
        <v>103</v>
      </c>
      <c r="B109" s="3" t="s">
        <v>3936</v>
      </c>
      <c r="C109" s="3" t="s">
        <v>4394</v>
      </c>
      <c r="D109" s="3" t="s">
        <v>53</v>
      </c>
      <c r="E109" s="3">
        <v>3122916708</v>
      </c>
      <c r="F109" s="3" t="s">
        <v>2373</v>
      </c>
      <c r="G109" s="157">
        <v>41161</v>
      </c>
      <c r="H109" s="3">
        <v>3217124909120000</v>
      </c>
      <c r="I109" s="3" t="s">
        <v>2353</v>
      </c>
      <c r="J109" s="3" t="s">
        <v>3585</v>
      </c>
      <c r="K109" s="3"/>
      <c r="L109" s="3"/>
      <c r="M109" s="3"/>
      <c r="N109" s="3" t="s">
        <v>2513</v>
      </c>
      <c r="O109" s="3" t="s">
        <v>2356</v>
      </c>
      <c r="P109" s="3"/>
      <c r="Q109" s="3" t="s">
        <v>2357</v>
      </c>
      <c r="R109" s="3" t="s">
        <v>2358</v>
      </c>
      <c r="S109" s="3"/>
      <c r="T109" s="3"/>
      <c r="U109" s="3"/>
      <c r="V109" s="3"/>
      <c r="W109" s="3" t="s">
        <v>2359</v>
      </c>
      <c r="X109" s="3"/>
      <c r="Y109" s="3"/>
      <c r="Z109" s="3">
        <v>0</v>
      </c>
      <c r="AA109" s="3" t="s">
        <v>2361</v>
      </c>
      <c r="AB109" s="3" t="s">
        <v>2362</v>
      </c>
      <c r="AC109" s="3"/>
      <c r="AD109" s="3"/>
      <c r="AE109" s="3" t="s">
        <v>4583</v>
      </c>
      <c r="AF109" s="3">
        <v>0</v>
      </c>
      <c r="AG109" s="3"/>
      <c r="AH109" s="3" t="s">
        <v>2365</v>
      </c>
      <c r="AI109" s="3" t="s">
        <v>2366</v>
      </c>
      <c r="AJ109" s="3"/>
      <c r="AK109" s="3"/>
      <c r="AL109" s="3"/>
      <c r="AM109" s="3"/>
      <c r="AN109" s="3"/>
      <c r="AO109" s="3"/>
      <c r="AP109" s="3"/>
      <c r="AQ109" s="3" t="s">
        <v>5148</v>
      </c>
      <c r="AR109" s="3" t="s">
        <v>4584</v>
      </c>
      <c r="AS109" s="3"/>
      <c r="AT109" s="3" t="s">
        <v>2359</v>
      </c>
      <c r="AU109" s="3"/>
      <c r="AV109" s="3">
        <v>1</v>
      </c>
      <c r="AW109" s="3"/>
      <c r="AX109" s="3"/>
      <c r="AY109" s="3"/>
      <c r="AZ109" s="3"/>
      <c r="BA109" s="3"/>
      <c r="BB109" s="3" t="s">
        <v>2369</v>
      </c>
      <c r="BC109" s="3" t="s">
        <v>2370</v>
      </c>
      <c r="BD109" s="3" t="s">
        <v>2371</v>
      </c>
      <c r="BE109" s="3" t="s">
        <v>2672</v>
      </c>
      <c r="BF109" s="3">
        <v>1</v>
      </c>
      <c r="BG109" s="3">
        <v>-6.9625000000000004</v>
      </c>
      <c r="BH109" s="3">
        <v>107.4346</v>
      </c>
      <c r="BI109" s="3"/>
      <c r="BJ109" s="3">
        <v>45</v>
      </c>
      <c r="BK109" s="3">
        <v>143</v>
      </c>
      <c r="BL109" s="3">
        <v>55</v>
      </c>
      <c r="BM109" s="3">
        <v>1</v>
      </c>
      <c r="BN109" s="3">
        <v>2</v>
      </c>
    </row>
    <row r="110" spans="1:66" s="219" customFormat="1" hidden="1" x14ac:dyDescent="0.3">
      <c r="A110" s="54">
        <v>104</v>
      </c>
      <c r="B110" s="54" t="s">
        <v>1867</v>
      </c>
      <c r="C110" s="54" t="s">
        <v>1523</v>
      </c>
      <c r="D110" s="54" t="s">
        <v>52</v>
      </c>
      <c r="E110" s="54">
        <v>3089429469</v>
      </c>
      <c r="F110" s="54" t="s">
        <v>2373</v>
      </c>
      <c r="G110" s="108">
        <v>39710</v>
      </c>
      <c r="H110" s="54">
        <v>3217121909080000</v>
      </c>
      <c r="I110" s="54" t="s">
        <v>2353</v>
      </c>
      <c r="J110" s="54" t="s">
        <v>3585</v>
      </c>
      <c r="K110" s="54">
        <v>2</v>
      </c>
      <c r="L110" s="54">
        <v>6</v>
      </c>
      <c r="M110" s="54"/>
      <c r="N110" s="54" t="s">
        <v>2415</v>
      </c>
      <c r="O110" s="54" t="s">
        <v>2356</v>
      </c>
      <c r="P110" s="54"/>
      <c r="Q110" s="54" t="s">
        <v>2357</v>
      </c>
      <c r="R110" s="54" t="s">
        <v>2374</v>
      </c>
      <c r="S110" s="54"/>
      <c r="T110" s="54">
        <v>82320525648</v>
      </c>
      <c r="U110" s="54"/>
      <c r="V110" s="54"/>
      <c r="W110" s="54" t="s">
        <v>2359</v>
      </c>
      <c r="X110" s="54"/>
      <c r="Y110" s="54"/>
      <c r="Z110" s="54">
        <v>1967</v>
      </c>
      <c r="AA110" s="54" t="s">
        <v>2361</v>
      </c>
      <c r="AB110" s="54" t="s">
        <v>2362</v>
      </c>
      <c r="AC110" s="54" t="s">
        <v>2363</v>
      </c>
      <c r="AD110" s="54"/>
      <c r="AE110" s="54" t="s">
        <v>3586</v>
      </c>
      <c r="AF110" s="54">
        <v>1977</v>
      </c>
      <c r="AG110" s="54" t="s">
        <v>2361</v>
      </c>
      <c r="AH110" s="54" t="s">
        <v>2365</v>
      </c>
      <c r="AI110" s="54" t="s">
        <v>2366</v>
      </c>
      <c r="AJ110" s="54"/>
      <c r="AK110" s="54"/>
      <c r="AL110" s="54"/>
      <c r="AM110" s="54"/>
      <c r="AN110" s="54"/>
      <c r="AO110" s="54"/>
      <c r="AP110" s="54"/>
      <c r="AQ110" s="54" t="s">
        <v>5147</v>
      </c>
      <c r="AR110" s="54"/>
      <c r="AS110" s="54"/>
      <c r="AT110" s="54" t="s">
        <v>2359</v>
      </c>
      <c r="AU110" s="54"/>
      <c r="AV110" s="54">
        <v>0</v>
      </c>
      <c r="AW110" s="54"/>
      <c r="AX110" s="54"/>
      <c r="AY110" s="54"/>
      <c r="AZ110" s="54"/>
      <c r="BA110" s="54"/>
      <c r="BB110" s="54" t="s">
        <v>2369</v>
      </c>
      <c r="BC110" s="54" t="s">
        <v>2370</v>
      </c>
      <c r="BD110" s="54" t="s">
        <v>2371</v>
      </c>
      <c r="BE110" s="54"/>
      <c r="BF110" s="54">
        <v>1</v>
      </c>
      <c r="BG110" s="54">
        <v>-6.9625000000000004</v>
      </c>
      <c r="BH110" s="54">
        <v>107.4346</v>
      </c>
      <c r="BI110" s="54">
        <v>3217120112110010</v>
      </c>
      <c r="BJ110" s="54">
        <v>47</v>
      </c>
      <c r="BK110" s="54">
        <v>143</v>
      </c>
      <c r="BL110" s="54">
        <v>55</v>
      </c>
      <c r="BM110" s="54">
        <v>1</v>
      </c>
      <c r="BN110" s="54">
        <v>3</v>
      </c>
    </row>
    <row r="111" spans="1:66" s="219" customFormat="1" hidden="1" x14ac:dyDescent="0.3">
      <c r="A111" s="54">
        <v>105</v>
      </c>
      <c r="B111" s="54" t="s">
        <v>1358</v>
      </c>
      <c r="C111" s="54" t="s">
        <v>1463</v>
      </c>
      <c r="D111" s="54" t="s">
        <v>52</v>
      </c>
      <c r="E111" s="54">
        <v>92729172</v>
      </c>
      <c r="F111" s="54" t="s">
        <v>2373</v>
      </c>
      <c r="G111" s="108">
        <v>39972</v>
      </c>
      <c r="H111" s="54">
        <v>3217110806090000</v>
      </c>
      <c r="I111" s="54" t="s">
        <v>2353</v>
      </c>
      <c r="J111" s="54" t="s">
        <v>2565</v>
      </c>
      <c r="K111" s="54">
        <v>6</v>
      </c>
      <c r="L111" s="54">
        <v>1</v>
      </c>
      <c r="M111" s="54"/>
      <c r="N111" s="54" t="s">
        <v>2566</v>
      </c>
      <c r="O111" s="54" t="s">
        <v>2426</v>
      </c>
      <c r="P111" s="54">
        <v>40562</v>
      </c>
      <c r="Q111" s="54" t="s">
        <v>2357</v>
      </c>
      <c r="R111" s="54" t="s">
        <v>2358</v>
      </c>
      <c r="S111" s="54"/>
      <c r="T111" s="54"/>
      <c r="U111" s="54"/>
      <c r="V111" s="54"/>
      <c r="W111" s="54" t="s">
        <v>2359</v>
      </c>
      <c r="X111" s="54"/>
      <c r="Y111" s="54" t="s">
        <v>3354</v>
      </c>
      <c r="Z111" s="54">
        <v>1980</v>
      </c>
      <c r="AA111" s="54" t="s">
        <v>2390</v>
      </c>
      <c r="AB111" s="54" t="s">
        <v>2362</v>
      </c>
      <c r="AC111" s="54" t="s">
        <v>2363</v>
      </c>
      <c r="AD111" s="54"/>
      <c r="AE111" s="54" t="s">
        <v>3355</v>
      </c>
      <c r="AF111" s="54">
        <v>1985</v>
      </c>
      <c r="AG111" s="54" t="s">
        <v>2361</v>
      </c>
      <c r="AH111" s="54" t="s">
        <v>2365</v>
      </c>
      <c r="AI111" s="54" t="s">
        <v>2366</v>
      </c>
      <c r="AJ111" s="54"/>
      <c r="AK111" s="54"/>
      <c r="AL111" s="54"/>
      <c r="AM111" s="54"/>
      <c r="AN111" s="54"/>
      <c r="AO111" s="54"/>
      <c r="AP111" s="54"/>
      <c r="AQ111" s="54" t="s">
        <v>5147</v>
      </c>
      <c r="AR111" s="54"/>
      <c r="AS111" s="54"/>
      <c r="AT111" s="54" t="s">
        <v>2359</v>
      </c>
      <c r="AU111" s="54"/>
      <c r="AV111" s="54">
        <v>0</v>
      </c>
      <c r="AW111" s="54"/>
      <c r="AX111" s="54" t="s">
        <v>3356</v>
      </c>
      <c r="AY111" s="54"/>
      <c r="AZ111" s="54"/>
      <c r="BA111" s="54"/>
      <c r="BB111" s="54" t="s">
        <v>2369</v>
      </c>
      <c r="BC111" s="54" t="s">
        <v>2370</v>
      </c>
      <c r="BD111" s="54" t="s">
        <v>2371</v>
      </c>
      <c r="BE111" s="54"/>
      <c r="BF111" s="54">
        <v>1</v>
      </c>
      <c r="BG111" s="54">
        <v>-6.9743000000000004</v>
      </c>
      <c r="BH111" s="54">
        <v>107.43559999999999</v>
      </c>
      <c r="BI111" s="54"/>
      <c r="BJ111" s="54">
        <v>30</v>
      </c>
      <c r="BK111" s="54">
        <v>131</v>
      </c>
      <c r="BL111" s="54">
        <v>55</v>
      </c>
      <c r="BM111" s="54">
        <v>2</v>
      </c>
      <c r="BN111" s="54">
        <v>1</v>
      </c>
    </row>
    <row r="112" spans="1:66" s="219" customFormat="1" hidden="1" x14ac:dyDescent="0.3">
      <c r="A112" s="54">
        <v>106</v>
      </c>
      <c r="B112" s="54" t="s">
        <v>1388</v>
      </c>
      <c r="C112" s="54" t="s">
        <v>1579</v>
      </c>
      <c r="D112" s="54" t="s">
        <v>53</v>
      </c>
      <c r="E112" s="54">
        <v>98380499</v>
      </c>
      <c r="F112" s="54" t="s">
        <v>2446</v>
      </c>
      <c r="G112" s="108">
        <v>39923</v>
      </c>
      <c r="H112" s="54">
        <v>3217106004090000</v>
      </c>
      <c r="I112" s="54" t="s">
        <v>2353</v>
      </c>
      <c r="J112" s="54" t="s">
        <v>3357</v>
      </c>
      <c r="K112" s="54">
        <v>4</v>
      </c>
      <c r="L112" s="54">
        <v>5</v>
      </c>
      <c r="M112" s="54">
        <v>2</v>
      </c>
      <c r="N112" s="54" t="s">
        <v>2409</v>
      </c>
      <c r="O112" s="54" t="s">
        <v>2356</v>
      </c>
      <c r="P112" s="54">
        <v>40564</v>
      </c>
      <c r="Q112" s="54" t="s">
        <v>2357</v>
      </c>
      <c r="R112" s="54" t="s">
        <v>2358</v>
      </c>
      <c r="S112" s="54"/>
      <c r="T112" s="54">
        <v>85795684031</v>
      </c>
      <c r="U112" s="54"/>
      <c r="V112" s="54"/>
      <c r="W112" s="54" t="s">
        <v>2359</v>
      </c>
      <c r="X112" s="54"/>
      <c r="Y112" s="54" t="s">
        <v>3358</v>
      </c>
      <c r="Z112" s="54">
        <v>1979</v>
      </c>
      <c r="AA112" s="54" t="s">
        <v>2390</v>
      </c>
      <c r="AB112" s="54" t="s">
        <v>2362</v>
      </c>
      <c r="AC112" s="54" t="s">
        <v>2403</v>
      </c>
      <c r="AD112" s="54"/>
      <c r="AE112" s="54" t="s">
        <v>3359</v>
      </c>
      <c r="AF112" s="54">
        <v>1984</v>
      </c>
      <c r="AG112" s="54" t="s">
        <v>2390</v>
      </c>
      <c r="AH112" s="54" t="s">
        <v>2365</v>
      </c>
      <c r="AI112" s="54" t="s">
        <v>2366</v>
      </c>
      <c r="AJ112" s="54"/>
      <c r="AK112" s="54"/>
      <c r="AL112" s="54"/>
      <c r="AM112" s="54"/>
      <c r="AN112" s="54"/>
      <c r="AO112" s="54"/>
      <c r="AP112" s="54"/>
      <c r="AQ112" s="54" t="s">
        <v>5147</v>
      </c>
      <c r="AR112" s="54"/>
      <c r="AS112" s="54"/>
      <c r="AT112" s="54" t="s">
        <v>2359</v>
      </c>
      <c r="AU112" s="54"/>
      <c r="AV112" s="54">
        <v>0</v>
      </c>
      <c r="AW112" s="54"/>
      <c r="AX112" s="54"/>
      <c r="AY112" s="54"/>
      <c r="AZ112" s="54"/>
      <c r="BA112" s="54"/>
      <c r="BB112" s="54" t="s">
        <v>2369</v>
      </c>
      <c r="BC112" s="54" t="s">
        <v>2370</v>
      </c>
      <c r="BD112" s="54" t="s">
        <v>2371</v>
      </c>
      <c r="BE112" s="54"/>
      <c r="BF112" s="54"/>
      <c r="BG112" s="54">
        <v>-6.9554</v>
      </c>
      <c r="BH112" s="54">
        <v>107.39319999999999</v>
      </c>
      <c r="BI112" s="54"/>
      <c r="BJ112" s="54">
        <v>40</v>
      </c>
      <c r="BK112" s="54">
        <v>141</v>
      </c>
      <c r="BL112" s="54">
        <v>55</v>
      </c>
      <c r="BM112" s="54">
        <v>2</v>
      </c>
      <c r="BN112" s="54">
        <v>2</v>
      </c>
    </row>
    <row r="113" spans="1:66" s="219" customFormat="1" hidden="1" x14ac:dyDescent="0.3">
      <c r="A113" s="54">
        <v>107</v>
      </c>
      <c r="B113" s="54" t="s">
        <v>1900</v>
      </c>
      <c r="C113" s="54" t="s">
        <v>1552</v>
      </c>
      <c r="D113" s="54" t="s">
        <v>53</v>
      </c>
      <c r="E113" s="54">
        <v>3080323881</v>
      </c>
      <c r="F113" s="54" t="s">
        <v>2373</v>
      </c>
      <c r="G113" s="108">
        <v>39699</v>
      </c>
      <c r="H113" s="54">
        <v>3217114809080000</v>
      </c>
      <c r="I113" s="54" t="s">
        <v>2353</v>
      </c>
      <c r="J113" s="54" t="s">
        <v>2616</v>
      </c>
      <c r="K113" s="54">
        <v>3</v>
      </c>
      <c r="L113" s="54">
        <v>10</v>
      </c>
      <c r="M113" s="54"/>
      <c r="N113" s="54" t="s">
        <v>2617</v>
      </c>
      <c r="O113" s="54" t="s">
        <v>2426</v>
      </c>
      <c r="P113" s="54">
        <v>40562</v>
      </c>
      <c r="Q113" s="54" t="s">
        <v>2357</v>
      </c>
      <c r="R113" s="54" t="s">
        <v>2358</v>
      </c>
      <c r="S113" s="54"/>
      <c r="T113" s="54">
        <v>85871598881</v>
      </c>
      <c r="U113" s="54"/>
      <c r="V113" s="54"/>
      <c r="W113" s="54" t="s">
        <v>2359</v>
      </c>
      <c r="X113" s="54"/>
      <c r="Y113" s="54" t="s">
        <v>3699</v>
      </c>
      <c r="Z113" s="54">
        <v>1980</v>
      </c>
      <c r="AA113" s="54" t="s">
        <v>2402</v>
      </c>
      <c r="AB113" s="54" t="s">
        <v>2362</v>
      </c>
      <c r="AC113" s="54" t="s">
        <v>2375</v>
      </c>
      <c r="AD113" s="54">
        <v>3217111008800020</v>
      </c>
      <c r="AE113" s="54" t="s">
        <v>3700</v>
      </c>
      <c r="AF113" s="54">
        <v>1978</v>
      </c>
      <c r="AG113" s="54" t="s">
        <v>2361</v>
      </c>
      <c r="AH113" s="54" t="s">
        <v>2365</v>
      </c>
      <c r="AI113" s="54" t="s">
        <v>2366</v>
      </c>
      <c r="AJ113" s="54">
        <v>3217114107820520</v>
      </c>
      <c r="AK113" s="54"/>
      <c r="AL113" s="54"/>
      <c r="AM113" s="54"/>
      <c r="AN113" s="54"/>
      <c r="AO113" s="54"/>
      <c r="AP113" s="54"/>
      <c r="AQ113" s="54" t="s">
        <v>5147</v>
      </c>
      <c r="AR113" s="54" t="s">
        <v>4585</v>
      </c>
      <c r="AS113" s="54"/>
      <c r="AT113" s="54" t="s">
        <v>2359</v>
      </c>
      <c r="AU113" s="54"/>
      <c r="AV113" s="54">
        <v>0</v>
      </c>
      <c r="AW113" s="54"/>
      <c r="AX113" s="54" t="s">
        <v>3701</v>
      </c>
      <c r="AY113" s="54"/>
      <c r="AZ113" s="54"/>
      <c r="BA113" s="54"/>
      <c r="BB113" s="54" t="s">
        <v>2369</v>
      </c>
      <c r="BC113" s="54" t="s">
        <v>2370</v>
      </c>
      <c r="BD113" s="54" t="s">
        <v>2371</v>
      </c>
      <c r="BE113" s="54" t="s">
        <v>3403</v>
      </c>
      <c r="BF113" s="54">
        <v>1</v>
      </c>
      <c r="BG113" s="54">
        <v>-6.9625000000000004</v>
      </c>
      <c r="BH113" s="54">
        <v>107.4346</v>
      </c>
      <c r="BI113" s="54">
        <v>3217110904080050</v>
      </c>
      <c r="BJ113" s="54">
        <v>44</v>
      </c>
      <c r="BK113" s="54">
        <v>145</v>
      </c>
      <c r="BL113" s="54">
        <v>56</v>
      </c>
      <c r="BM113" s="54">
        <v>2</v>
      </c>
      <c r="BN113" s="54">
        <v>2</v>
      </c>
    </row>
    <row r="114" spans="1:66" s="219" customFormat="1" hidden="1" x14ac:dyDescent="0.3">
      <c r="A114" s="54">
        <v>108</v>
      </c>
      <c r="B114" s="54" t="s">
        <v>1714</v>
      </c>
      <c r="C114" s="54" t="s">
        <v>2193</v>
      </c>
      <c r="D114" s="54" t="s">
        <v>53</v>
      </c>
      <c r="E114" s="54">
        <v>3101561047</v>
      </c>
      <c r="F114" s="54" t="s">
        <v>2373</v>
      </c>
      <c r="G114" s="108">
        <v>40179</v>
      </c>
      <c r="H114" s="54">
        <v>3217114101100000</v>
      </c>
      <c r="I114" s="54" t="s">
        <v>2353</v>
      </c>
      <c r="J114" s="54" t="s">
        <v>2616</v>
      </c>
      <c r="K114" s="54">
        <v>5</v>
      </c>
      <c r="L114" s="54">
        <v>7</v>
      </c>
      <c r="M114" s="54"/>
      <c r="N114" s="54" t="s">
        <v>2617</v>
      </c>
      <c r="O114" s="54" t="s">
        <v>2426</v>
      </c>
      <c r="P114" s="54">
        <v>40562</v>
      </c>
      <c r="Q114" s="54" t="s">
        <v>2357</v>
      </c>
      <c r="R114" s="54" t="s">
        <v>2358</v>
      </c>
      <c r="S114" s="54"/>
      <c r="T114" s="54"/>
      <c r="U114" s="54"/>
      <c r="V114" s="54"/>
      <c r="W114" s="54" t="s">
        <v>2359</v>
      </c>
      <c r="X114" s="54"/>
      <c r="Y114" s="54"/>
      <c r="Z114" s="54">
        <v>0</v>
      </c>
      <c r="AA114" s="54"/>
      <c r="AB114" s="54" t="s">
        <v>2362</v>
      </c>
      <c r="AC114" s="54" t="s">
        <v>2363</v>
      </c>
      <c r="AD114" s="54"/>
      <c r="AE114" s="54" t="s">
        <v>2803</v>
      </c>
      <c r="AF114" s="54">
        <v>0</v>
      </c>
      <c r="AG114" s="54"/>
      <c r="AH114" s="54" t="s">
        <v>2365</v>
      </c>
      <c r="AI114" s="54" t="s">
        <v>2366</v>
      </c>
      <c r="AJ114" s="54"/>
      <c r="AK114" s="54"/>
      <c r="AL114" s="54"/>
      <c r="AM114" s="54"/>
      <c r="AN114" s="54"/>
      <c r="AO114" s="54"/>
      <c r="AP114" s="54"/>
      <c r="AQ114" s="54" t="s">
        <v>8179</v>
      </c>
      <c r="AR114" s="54"/>
      <c r="AS114" s="54"/>
      <c r="AT114" s="54" t="s">
        <v>2369</v>
      </c>
      <c r="AU114" s="54"/>
      <c r="AV114" s="54">
        <v>1</v>
      </c>
      <c r="AW114" s="54"/>
      <c r="AX114" s="54"/>
      <c r="AY114" s="54"/>
      <c r="AZ114" s="54"/>
      <c r="BA114" s="54"/>
      <c r="BB114" s="54" t="s">
        <v>2369</v>
      </c>
      <c r="BC114" s="54"/>
      <c r="BD114" s="54" t="s">
        <v>2371</v>
      </c>
      <c r="BE114" s="54" t="s">
        <v>2376</v>
      </c>
      <c r="BF114" s="54">
        <v>1</v>
      </c>
      <c r="BG114" s="54">
        <v>-6.9625000000000004</v>
      </c>
      <c r="BH114" s="54">
        <v>107.4346</v>
      </c>
      <c r="BI114" s="54"/>
      <c r="BJ114" s="54">
        <v>43</v>
      </c>
      <c r="BK114" s="54">
        <v>137</v>
      </c>
      <c r="BL114" s="54">
        <v>54</v>
      </c>
      <c r="BM114" s="54">
        <v>1</v>
      </c>
      <c r="BN114" s="54">
        <v>2</v>
      </c>
    </row>
    <row r="115" spans="1:66" s="219" customFormat="1" hidden="1" x14ac:dyDescent="0.3">
      <c r="A115" s="54">
        <v>109</v>
      </c>
      <c r="B115" s="54" t="s">
        <v>1847</v>
      </c>
      <c r="C115" s="54" t="s">
        <v>1496</v>
      </c>
      <c r="D115" s="54" t="s">
        <v>53</v>
      </c>
      <c r="E115" s="54">
        <v>3090693178</v>
      </c>
      <c r="F115" s="54" t="s">
        <v>2373</v>
      </c>
      <c r="G115" s="108">
        <v>39822</v>
      </c>
      <c r="H115" s="54">
        <v>3217114901090000</v>
      </c>
      <c r="I115" s="54" t="s">
        <v>2353</v>
      </c>
      <c r="J115" s="54" t="s">
        <v>3485</v>
      </c>
      <c r="K115" s="54">
        <v>3</v>
      </c>
      <c r="L115" s="54">
        <v>12</v>
      </c>
      <c r="M115" s="54"/>
      <c r="N115" s="54" t="s">
        <v>2425</v>
      </c>
      <c r="O115" s="54" t="s">
        <v>2426</v>
      </c>
      <c r="P115" s="54">
        <v>40562</v>
      </c>
      <c r="Q115" s="54" t="s">
        <v>2357</v>
      </c>
      <c r="R115" s="54" t="s">
        <v>2358</v>
      </c>
      <c r="S115" s="54"/>
      <c r="T115" s="54">
        <v>87824486797</v>
      </c>
      <c r="U115" s="54"/>
      <c r="V115" s="54"/>
      <c r="W115" s="54" t="s">
        <v>2359</v>
      </c>
      <c r="X115" s="54"/>
      <c r="Y115" s="54"/>
      <c r="Z115" s="54">
        <v>1979</v>
      </c>
      <c r="AA115" s="54" t="s">
        <v>2390</v>
      </c>
      <c r="AB115" s="54" t="s">
        <v>2362</v>
      </c>
      <c r="AC115" s="54" t="s">
        <v>2375</v>
      </c>
      <c r="AD115" s="54"/>
      <c r="AE115" s="54" t="s">
        <v>3486</v>
      </c>
      <c r="AF115" s="54">
        <v>1971</v>
      </c>
      <c r="AG115" s="54" t="s">
        <v>2390</v>
      </c>
      <c r="AH115" s="54" t="s">
        <v>2365</v>
      </c>
      <c r="AI115" s="54" t="s">
        <v>2366</v>
      </c>
      <c r="AJ115" s="54"/>
      <c r="AK115" s="54"/>
      <c r="AL115" s="54"/>
      <c r="AM115" s="54"/>
      <c r="AN115" s="54"/>
      <c r="AO115" s="54"/>
      <c r="AP115" s="54"/>
      <c r="AQ115" s="54" t="s">
        <v>5147</v>
      </c>
      <c r="AR115" s="54"/>
      <c r="AS115" s="54"/>
      <c r="AT115" s="54" t="s">
        <v>2359</v>
      </c>
      <c r="AU115" s="54"/>
      <c r="AV115" s="54">
        <v>0</v>
      </c>
      <c r="AW115" s="54"/>
      <c r="AX115" s="54" t="s">
        <v>3487</v>
      </c>
      <c r="AY115" s="54"/>
      <c r="AZ115" s="54"/>
      <c r="BA115" s="54"/>
      <c r="BB115" s="54" t="s">
        <v>2369</v>
      </c>
      <c r="BC115" s="54" t="s">
        <v>2370</v>
      </c>
      <c r="BD115" s="54" t="s">
        <v>2371</v>
      </c>
      <c r="BE115" s="54"/>
      <c r="BF115" s="54">
        <v>1</v>
      </c>
      <c r="BG115" s="54">
        <v>-6.9625000000000004</v>
      </c>
      <c r="BH115" s="54">
        <v>107.4346</v>
      </c>
      <c r="BI115" s="54">
        <v>3217112905050340</v>
      </c>
      <c r="BJ115" s="54">
        <v>45</v>
      </c>
      <c r="BK115" s="54">
        <v>145</v>
      </c>
      <c r="BL115" s="54">
        <v>56</v>
      </c>
      <c r="BM115" s="54">
        <v>1</v>
      </c>
      <c r="BN115" s="54">
        <v>1</v>
      </c>
    </row>
    <row r="116" spans="1:66" hidden="1" x14ac:dyDescent="0.3">
      <c r="A116" s="3">
        <v>110</v>
      </c>
      <c r="B116" s="3" t="s">
        <v>4586</v>
      </c>
      <c r="C116" s="3" t="s">
        <v>4267</v>
      </c>
      <c r="D116" s="3" t="s">
        <v>53</v>
      </c>
      <c r="E116" s="3">
        <v>111352836</v>
      </c>
      <c r="F116" s="3" t="s">
        <v>2446</v>
      </c>
      <c r="G116" s="157">
        <v>40566</v>
      </c>
      <c r="H116" s="3">
        <v>3217126301110000</v>
      </c>
      <c r="I116" s="3" t="s">
        <v>2353</v>
      </c>
      <c r="J116" s="3" t="s">
        <v>2574</v>
      </c>
      <c r="K116" s="3">
        <v>1</v>
      </c>
      <c r="L116" s="3">
        <v>3</v>
      </c>
      <c r="M116" s="3"/>
      <c r="N116" s="3" t="s">
        <v>2395</v>
      </c>
      <c r="O116" s="3" t="s">
        <v>2356</v>
      </c>
      <c r="P116" s="3">
        <v>40764</v>
      </c>
      <c r="Q116" s="3" t="s">
        <v>2357</v>
      </c>
      <c r="R116" s="3" t="s">
        <v>2358</v>
      </c>
      <c r="S116" s="3"/>
      <c r="T116" s="3">
        <v>81312072249</v>
      </c>
      <c r="U116" s="3"/>
      <c r="V116" s="3"/>
      <c r="W116" s="3" t="s">
        <v>2369</v>
      </c>
      <c r="X116" s="3">
        <v>122000110297867</v>
      </c>
      <c r="Y116" s="3" t="s">
        <v>4587</v>
      </c>
      <c r="Z116" s="3">
        <v>1983</v>
      </c>
      <c r="AA116" s="3" t="s">
        <v>2361</v>
      </c>
      <c r="AB116" s="3" t="s">
        <v>2362</v>
      </c>
      <c r="AC116" s="3" t="s">
        <v>2363</v>
      </c>
      <c r="AD116" s="3">
        <v>3217121204830010</v>
      </c>
      <c r="AE116" s="3" t="s">
        <v>4588</v>
      </c>
      <c r="AF116" s="3">
        <v>1987</v>
      </c>
      <c r="AG116" s="3" t="s">
        <v>2402</v>
      </c>
      <c r="AH116" s="3" t="s">
        <v>2365</v>
      </c>
      <c r="AI116" s="3" t="s">
        <v>2366</v>
      </c>
      <c r="AJ116" s="3">
        <v>3217126608870000</v>
      </c>
      <c r="AK116" s="3"/>
      <c r="AL116" s="3"/>
      <c r="AM116" s="3" t="s">
        <v>2367</v>
      </c>
      <c r="AN116" s="3"/>
      <c r="AO116" s="3"/>
      <c r="AP116" s="3"/>
      <c r="AQ116" s="3" t="s">
        <v>5149</v>
      </c>
      <c r="AR116" s="3"/>
      <c r="AS116" s="3"/>
      <c r="AT116" s="3" t="s">
        <v>2359</v>
      </c>
      <c r="AU116" s="3"/>
      <c r="AV116" s="3">
        <v>0</v>
      </c>
      <c r="AW116" s="3" t="s">
        <v>4589</v>
      </c>
      <c r="AX116" s="3" t="s">
        <v>4051</v>
      </c>
      <c r="AY116" s="3"/>
      <c r="AZ116" s="3"/>
      <c r="BA116" s="3"/>
      <c r="BB116" s="3" t="s">
        <v>2359</v>
      </c>
      <c r="BC116" s="3"/>
      <c r="BD116" s="3" t="s">
        <v>2371</v>
      </c>
      <c r="BE116" s="3" t="s">
        <v>2553</v>
      </c>
      <c r="BF116" s="3">
        <v>1</v>
      </c>
      <c r="BG116" s="3">
        <v>-7.0068000000000001</v>
      </c>
      <c r="BH116" s="3">
        <v>107.2349</v>
      </c>
      <c r="BI116" s="3">
        <v>3217123011090060</v>
      </c>
      <c r="BJ116" s="3">
        <v>41</v>
      </c>
      <c r="BK116" s="3">
        <v>135</v>
      </c>
      <c r="BL116" s="3">
        <v>55</v>
      </c>
      <c r="BM116" s="3">
        <v>1</v>
      </c>
      <c r="BN116" s="3">
        <v>2</v>
      </c>
    </row>
    <row r="117" spans="1:66" hidden="1" x14ac:dyDescent="0.3">
      <c r="A117" s="3">
        <v>111</v>
      </c>
      <c r="B117" s="3" t="s">
        <v>4590</v>
      </c>
      <c r="C117" s="3" t="s">
        <v>4268</v>
      </c>
      <c r="D117" s="3" t="s">
        <v>52</v>
      </c>
      <c r="E117" s="3">
        <v>103378496</v>
      </c>
      <c r="F117" s="3" t="s">
        <v>2373</v>
      </c>
      <c r="G117" s="157">
        <v>40200</v>
      </c>
      <c r="H117" s="3">
        <v>3217122201100000</v>
      </c>
      <c r="I117" s="3" t="s">
        <v>2353</v>
      </c>
      <c r="J117" s="3" t="s">
        <v>2663</v>
      </c>
      <c r="K117" s="3">
        <v>1</v>
      </c>
      <c r="L117" s="3">
        <v>1</v>
      </c>
      <c r="M117" s="3" t="s">
        <v>2664</v>
      </c>
      <c r="N117" s="3" t="s">
        <v>2409</v>
      </c>
      <c r="O117" s="3" t="s">
        <v>2356</v>
      </c>
      <c r="P117" s="3">
        <v>40564</v>
      </c>
      <c r="Q117" s="3" t="s">
        <v>2357</v>
      </c>
      <c r="R117" s="3" t="s">
        <v>2358</v>
      </c>
      <c r="S117" s="3"/>
      <c r="T117" s="3">
        <v>83136934082</v>
      </c>
      <c r="U117" s="3"/>
      <c r="V117" s="3"/>
      <c r="W117" s="3" t="s">
        <v>2359</v>
      </c>
      <c r="X117" s="3"/>
      <c r="Y117" s="3" t="s">
        <v>4591</v>
      </c>
      <c r="Z117" s="3">
        <v>1972</v>
      </c>
      <c r="AA117" s="3" t="s">
        <v>2361</v>
      </c>
      <c r="AB117" s="3" t="s">
        <v>2362</v>
      </c>
      <c r="AC117" s="3" t="s">
        <v>2363</v>
      </c>
      <c r="AD117" s="3">
        <v>3217122807720000</v>
      </c>
      <c r="AE117" s="3" t="s">
        <v>3776</v>
      </c>
      <c r="AF117" s="3">
        <v>1975</v>
      </c>
      <c r="AG117" s="3" t="s">
        <v>2361</v>
      </c>
      <c r="AH117" s="3" t="s">
        <v>2365</v>
      </c>
      <c r="AI117" s="3" t="s">
        <v>2366</v>
      </c>
      <c r="AJ117" s="3">
        <v>3217126605750000</v>
      </c>
      <c r="AK117" s="3"/>
      <c r="AL117" s="3"/>
      <c r="AM117" s="3" t="s">
        <v>2367</v>
      </c>
      <c r="AN117" s="3"/>
      <c r="AO117" s="3"/>
      <c r="AP117" s="3"/>
      <c r="AQ117" s="3" t="s">
        <v>5149</v>
      </c>
      <c r="AR117" s="3"/>
      <c r="AS117" s="3"/>
      <c r="AT117" s="3" t="s">
        <v>2359</v>
      </c>
      <c r="AU117" s="3"/>
      <c r="AV117" s="3">
        <v>0</v>
      </c>
      <c r="AW117" s="3"/>
      <c r="AX117" s="3" t="s">
        <v>4592</v>
      </c>
      <c r="AY117" s="3"/>
      <c r="AZ117" s="3"/>
      <c r="BA117" s="3"/>
      <c r="BB117" s="3" t="s">
        <v>2369</v>
      </c>
      <c r="BC117" s="3" t="s">
        <v>2370</v>
      </c>
      <c r="BD117" s="3" t="s">
        <v>2371</v>
      </c>
      <c r="BE117" s="3" t="s">
        <v>2406</v>
      </c>
      <c r="BF117" s="3">
        <v>2</v>
      </c>
      <c r="BG117" s="3">
        <v>-6.9546999999999999</v>
      </c>
      <c r="BH117" s="3">
        <v>107.39</v>
      </c>
      <c r="BI117" s="3"/>
      <c r="BJ117" s="3">
        <v>42</v>
      </c>
      <c r="BK117" s="3">
        <v>135</v>
      </c>
      <c r="BL117" s="3">
        <v>51</v>
      </c>
      <c r="BM117" s="3">
        <v>1</v>
      </c>
      <c r="BN117" s="3">
        <v>2</v>
      </c>
    </row>
    <row r="118" spans="1:66" s="219" customFormat="1" hidden="1" x14ac:dyDescent="0.3">
      <c r="A118" s="54">
        <v>112</v>
      </c>
      <c r="B118" s="54" t="s">
        <v>1373</v>
      </c>
      <c r="C118" s="54" t="s">
        <v>1524</v>
      </c>
      <c r="D118" s="54" t="s">
        <v>52</v>
      </c>
      <c r="E118" s="54">
        <v>99584032</v>
      </c>
      <c r="F118" s="54" t="s">
        <v>2373</v>
      </c>
      <c r="G118" s="108">
        <v>40022</v>
      </c>
      <c r="H118" s="54">
        <v>3217112807090000</v>
      </c>
      <c r="I118" s="54" t="s">
        <v>2353</v>
      </c>
      <c r="J118" s="54" t="s">
        <v>2565</v>
      </c>
      <c r="K118" s="54">
        <v>1</v>
      </c>
      <c r="L118" s="54">
        <v>1</v>
      </c>
      <c r="M118" s="54"/>
      <c r="N118" s="54" t="s">
        <v>2566</v>
      </c>
      <c r="O118" s="54" t="s">
        <v>2426</v>
      </c>
      <c r="P118" s="54">
        <v>40562</v>
      </c>
      <c r="Q118" s="54" t="s">
        <v>2357</v>
      </c>
      <c r="R118" s="54" t="s">
        <v>2358</v>
      </c>
      <c r="S118" s="54"/>
      <c r="T118" s="54">
        <v>83822961199</v>
      </c>
      <c r="U118" s="54"/>
      <c r="V118" s="54"/>
      <c r="W118" s="54" t="s">
        <v>2359</v>
      </c>
      <c r="X118" s="54"/>
      <c r="Y118" s="54" t="s">
        <v>3587</v>
      </c>
      <c r="Z118" s="54">
        <v>1970</v>
      </c>
      <c r="AA118" s="54" t="s">
        <v>2361</v>
      </c>
      <c r="AB118" s="54" t="s">
        <v>2362</v>
      </c>
      <c r="AC118" s="54" t="s">
        <v>2363</v>
      </c>
      <c r="AD118" s="54"/>
      <c r="AE118" s="54" t="s">
        <v>3588</v>
      </c>
      <c r="AF118" s="54">
        <v>1977</v>
      </c>
      <c r="AG118" s="54" t="s">
        <v>2361</v>
      </c>
      <c r="AH118" s="54" t="s">
        <v>2365</v>
      </c>
      <c r="AI118" s="54" t="s">
        <v>2366</v>
      </c>
      <c r="AJ118" s="54"/>
      <c r="AK118" s="54"/>
      <c r="AL118" s="54"/>
      <c r="AM118" s="54"/>
      <c r="AN118" s="54"/>
      <c r="AO118" s="54"/>
      <c r="AP118" s="54"/>
      <c r="AQ118" s="54" t="s">
        <v>5147</v>
      </c>
      <c r="AR118" s="54"/>
      <c r="AS118" s="54"/>
      <c r="AT118" s="54" t="s">
        <v>2359</v>
      </c>
      <c r="AU118" s="54"/>
      <c r="AV118" s="54">
        <v>0</v>
      </c>
      <c r="AW118" s="54"/>
      <c r="AX118" s="54" t="s">
        <v>3589</v>
      </c>
      <c r="AY118" s="54"/>
      <c r="AZ118" s="54"/>
      <c r="BA118" s="54"/>
      <c r="BB118" s="54" t="s">
        <v>2369</v>
      </c>
      <c r="BC118" s="54" t="s">
        <v>2370</v>
      </c>
      <c r="BD118" s="54" t="s">
        <v>2371</v>
      </c>
      <c r="BE118" s="54"/>
      <c r="BF118" s="54">
        <v>3</v>
      </c>
      <c r="BG118" s="54">
        <v>-6.9743000000000004</v>
      </c>
      <c r="BH118" s="54">
        <v>107.43559999999999</v>
      </c>
      <c r="BI118" s="54"/>
      <c r="BJ118" s="54">
        <v>35</v>
      </c>
      <c r="BK118" s="54">
        <v>143</v>
      </c>
      <c r="BL118" s="54">
        <v>53</v>
      </c>
      <c r="BM118" s="54">
        <v>3</v>
      </c>
      <c r="BN118" s="54">
        <v>1</v>
      </c>
    </row>
    <row r="119" spans="1:66" s="219" customFormat="1" hidden="1" x14ac:dyDescent="0.3">
      <c r="A119" s="54">
        <v>113</v>
      </c>
      <c r="B119" s="54" t="s">
        <v>2564</v>
      </c>
      <c r="C119" s="54" t="s">
        <v>2135</v>
      </c>
      <c r="D119" s="54" t="s">
        <v>53</v>
      </c>
      <c r="E119" s="54">
        <v>91392656</v>
      </c>
      <c r="F119" s="54" t="s">
        <v>2373</v>
      </c>
      <c r="G119" s="108">
        <v>40171</v>
      </c>
      <c r="H119" s="54">
        <v>3217116412090000</v>
      </c>
      <c r="I119" s="54" t="s">
        <v>2353</v>
      </c>
      <c r="J119" s="54" t="s">
        <v>2565</v>
      </c>
      <c r="K119" s="54">
        <v>1</v>
      </c>
      <c r="L119" s="54">
        <v>1</v>
      </c>
      <c r="M119" s="54"/>
      <c r="N119" s="54" t="s">
        <v>2566</v>
      </c>
      <c r="O119" s="54" t="s">
        <v>2426</v>
      </c>
      <c r="P119" s="54">
        <v>40562</v>
      </c>
      <c r="Q119" s="54" t="s">
        <v>2357</v>
      </c>
      <c r="R119" s="54" t="s">
        <v>2358</v>
      </c>
      <c r="S119" s="54"/>
      <c r="T119" s="54">
        <v>83820923328</v>
      </c>
      <c r="U119" s="54"/>
      <c r="V119" s="54"/>
      <c r="W119" s="54" t="s">
        <v>2369</v>
      </c>
      <c r="X119" s="54"/>
      <c r="Y119" s="54" t="s">
        <v>2567</v>
      </c>
      <c r="Z119" s="54">
        <v>1989</v>
      </c>
      <c r="AA119" s="54" t="s">
        <v>2361</v>
      </c>
      <c r="AB119" s="54" t="s">
        <v>2362</v>
      </c>
      <c r="AC119" s="54" t="s">
        <v>2403</v>
      </c>
      <c r="AD119" s="54">
        <v>3217111810891000</v>
      </c>
      <c r="AE119" s="54" t="s">
        <v>2568</v>
      </c>
      <c r="AF119" s="54">
        <v>1989</v>
      </c>
      <c r="AG119" s="54" t="s">
        <v>2361</v>
      </c>
      <c r="AH119" s="54" t="s">
        <v>2365</v>
      </c>
      <c r="AI119" s="54" t="s">
        <v>2366</v>
      </c>
      <c r="AJ119" s="54">
        <v>3217115801891000</v>
      </c>
      <c r="AK119" s="54"/>
      <c r="AL119" s="54"/>
      <c r="AM119" s="54" t="s">
        <v>2367</v>
      </c>
      <c r="AN119" s="54"/>
      <c r="AO119" s="54"/>
      <c r="AP119" s="54"/>
      <c r="AQ119" s="54" t="s">
        <v>8181</v>
      </c>
      <c r="AR119" s="54"/>
      <c r="AS119" s="54"/>
      <c r="AT119" s="54" t="s">
        <v>2359</v>
      </c>
      <c r="AU119" s="54"/>
      <c r="AV119" s="54">
        <v>0</v>
      </c>
      <c r="AW119" s="54"/>
      <c r="AX119" s="54" t="s">
        <v>2569</v>
      </c>
      <c r="AY119" s="54"/>
      <c r="AZ119" s="54"/>
      <c r="BA119" s="54"/>
      <c r="BB119" s="54" t="s">
        <v>2369</v>
      </c>
      <c r="BC119" s="54" t="s">
        <v>2443</v>
      </c>
      <c r="BD119" s="54" t="s">
        <v>2371</v>
      </c>
      <c r="BE119" s="54" t="s">
        <v>4593</v>
      </c>
      <c r="BF119" s="54">
        <v>1</v>
      </c>
      <c r="BG119" s="54">
        <v>-6.9668999999999999</v>
      </c>
      <c r="BH119" s="54">
        <v>107.4242</v>
      </c>
      <c r="BI119" s="54"/>
      <c r="BJ119" s="54">
        <v>48</v>
      </c>
      <c r="BK119" s="54">
        <v>142</v>
      </c>
      <c r="BL119" s="54">
        <v>0</v>
      </c>
      <c r="BM119" s="54">
        <v>0</v>
      </c>
      <c r="BN119" s="54">
        <v>0</v>
      </c>
    </row>
    <row r="120" spans="1:66" s="219" customFormat="1" hidden="1" x14ac:dyDescent="0.3">
      <c r="A120" s="54">
        <v>114</v>
      </c>
      <c r="B120" s="54" t="s">
        <v>1868</v>
      </c>
      <c r="C120" s="54" t="s">
        <v>1525</v>
      </c>
      <c r="D120" s="54" t="s">
        <v>53</v>
      </c>
      <c r="E120" s="54">
        <v>3093739459</v>
      </c>
      <c r="F120" s="54" t="s">
        <v>2373</v>
      </c>
      <c r="G120" s="108">
        <v>40168</v>
      </c>
      <c r="H120" s="54">
        <v>3217126112090000</v>
      </c>
      <c r="I120" s="54" t="s">
        <v>2353</v>
      </c>
      <c r="J120" s="54" t="s">
        <v>4594</v>
      </c>
      <c r="K120" s="54">
        <v>1</v>
      </c>
      <c r="L120" s="54">
        <v>8</v>
      </c>
      <c r="M120" s="54"/>
      <c r="N120" s="54" t="s">
        <v>2438</v>
      </c>
      <c r="O120" s="54" t="s">
        <v>2356</v>
      </c>
      <c r="P120" s="54">
        <v>40553</v>
      </c>
      <c r="Q120" s="54" t="s">
        <v>2357</v>
      </c>
      <c r="R120" s="54" t="s">
        <v>2374</v>
      </c>
      <c r="S120" s="54"/>
      <c r="T120" s="54">
        <v>83805552955</v>
      </c>
      <c r="U120" s="54"/>
      <c r="V120" s="54"/>
      <c r="W120" s="54" t="s">
        <v>2359</v>
      </c>
      <c r="X120" s="54"/>
      <c r="Y120" s="54" t="s">
        <v>3590</v>
      </c>
      <c r="Z120" s="54">
        <v>1974</v>
      </c>
      <c r="AA120" s="54" t="s">
        <v>2361</v>
      </c>
      <c r="AB120" s="54" t="s">
        <v>2362</v>
      </c>
      <c r="AC120" s="54" t="s">
        <v>2363</v>
      </c>
      <c r="AD120" s="54">
        <v>3217120507740010</v>
      </c>
      <c r="AE120" s="54" t="s">
        <v>3591</v>
      </c>
      <c r="AF120" s="54">
        <v>1981</v>
      </c>
      <c r="AG120" s="54" t="s">
        <v>2361</v>
      </c>
      <c r="AH120" s="54" t="s">
        <v>2365</v>
      </c>
      <c r="AI120" s="54" t="s">
        <v>2366</v>
      </c>
      <c r="AJ120" s="54">
        <v>3217124306810010</v>
      </c>
      <c r="AK120" s="54"/>
      <c r="AL120" s="54"/>
      <c r="AM120" s="54"/>
      <c r="AN120" s="54"/>
      <c r="AO120" s="54"/>
      <c r="AP120" s="54"/>
      <c r="AQ120" s="54" t="s">
        <v>5147</v>
      </c>
      <c r="AR120" s="54"/>
      <c r="AS120" s="54"/>
      <c r="AT120" s="54" t="s">
        <v>2359</v>
      </c>
      <c r="AU120" s="54"/>
      <c r="AV120" s="54">
        <v>0</v>
      </c>
      <c r="AW120" s="54"/>
      <c r="AX120" s="54" t="s">
        <v>3592</v>
      </c>
      <c r="AY120" s="54"/>
      <c r="AZ120" s="54"/>
      <c r="BA120" s="54"/>
      <c r="BB120" s="54" t="s">
        <v>2369</v>
      </c>
      <c r="BC120" s="54" t="s">
        <v>2370</v>
      </c>
      <c r="BD120" s="54" t="s">
        <v>2371</v>
      </c>
      <c r="BE120" s="54"/>
      <c r="BF120" s="54">
        <v>1</v>
      </c>
      <c r="BG120" s="54">
        <v>-6.9625000000000004</v>
      </c>
      <c r="BH120" s="54">
        <v>107.4346</v>
      </c>
      <c r="BI120" s="54">
        <v>3217120704080050</v>
      </c>
      <c r="BJ120" s="54">
        <v>46</v>
      </c>
      <c r="BK120" s="54">
        <v>143</v>
      </c>
      <c r="BL120" s="54">
        <v>58</v>
      </c>
      <c r="BM120" s="54">
        <v>2</v>
      </c>
      <c r="BN120" s="54">
        <v>1</v>
      </c>
    </row>
    <row r="121" spans="1:66" s="219" customFormat="1" hidden="1" x14ac:dyDescent="0.3">
      <c r="A121" s="54">
        <v>115</v>
      </c>
      <c r="B121" s="54" t="s">
        <v>1821</v>
      </c>
      <c r="C121" s="54" t="s">
        <v>1464</v>
      </c>
      <c r="D121" s="54" t="s">
        <v>53</v>
      </c>
      <c r="E121" s="54">
        <v>92516967</v>
      </c>
      <c r="F121" s="54" t="s">
        <v>2373</v>
      </c>
      <c r="G121" s="108">
        <v>39951</v>
      </c>
      <c r="H121" s="54">
        <v>3217125805090000</v>
      </c>
      <c r="I121" s="54" t="s">
        <v>2353</v>
      </c>
      <c r="J121" s="54" t="s">
        <v>2394</v>
      </c>
      <c r="K121" s="54">
        <v>2</v>
      </c>
      <c r="L121" s="54">
        <v>2</v>
      </c>
      <c r="M121" s="54" t="s">
        <v>3297</v>
      </c>
      <c r="N121" s="54" t="s">
        <v>2395</v>
      </c>
      <c r="O121" s="54" t="s">
        <v>2356</v>
      </c>
      <c r="P121" s="54">
        <v>40564</v>
      </c>
      <c r="Q121" s="54" t="s">
        <v>2357</v>
      </c>
      <c r="R121" s="54" t="s">
        <v>2358</v>
      </c>
      <c r="S121" s="54"/>
      <c r="T121" s="54">
        <v>83821278599</v>
      </c>
      <c r="U121" s="54"/>
      <c r="V121" s="54"/>
      <c r="W121" s="54" t="s">
        <v>2369</v>
      </c>
      <c r="X121" s="54" t="s">
        <v>3360</v>
      </c>
      <c r="Y121" s="54" t="s">
        <v>3361</v>
      </c>
      <c r="Z121" s="54">
        <v>1975</v>
      </c>
      <c r="AA121" s="54" t="s">
        <v>2402</v>
      </c>
      <c r="AB121" s="54" t="s">
        <v>2362</v>
      </c>
      <c r="AC121" s="54" t="s">
        <v>2403</v>
      </c>
      <c r="AD121" s="54">
        <v>3217120608750030</v>
      </c>
      <c r="AE121" s="54" t="s">
        <v>3362</v>
      </c>
      <c r="AF121" s="54">
        <v>1980</v>
      </c>
      <c r="AG121" s="54" t="s">
        <v>2361</v>
      </c>
      <c r="AH121" s="54" t="s">
        <v>2365</v>
      </c>
      <c r="AI121" s="54" t="s">
        <v>2366</v>
      </c>
      <c r="AJ121" s="54">
        <v>3217126512800010</v>
      </c>
      <c r="AK121" s="54"/>
      <c r="AL121" s="54"/>
      <c r="AM121" s="54"/>
      <c r="AN121" s="54"/>
      <c r="AO121" s="54"/>
      <c r="AP121" s="54"/>
      <c r="AQ121" s="54" t="s">
        <v>5147</v>
      </c>
      <c r="AR121" s="54"/>
      <c r="AS121" s="54"/>
      <c r="AT121" s="54" t="s">
        <v>2359</v>
      </c>
      <c r="AU121" s="54"/>
      <c r="AV121" s="54">
        <v>0</v>
      </c>
      <c r="AW121" s="54"/>
      <c r="AX121" s="54" t="s">
        <v>3363</v>
      </c>
      <c r="AY121" s="54"/>
      <c r="AZ121" s="54"/>
      <c r="BA121" s="54"/>
      <c r="BB121" s="54" t="s">
        <v>2369</v>
      </c>
      <c r="BC121" s="54" t="s">
        <v>2443</v>
      </c>
      <c r="BD121" s="54" t="s">
        <v>2371</v>
      </c>
      <c r="BE121" s="54"/>
      <c r="BF121" s="54">
        <v>2</v>
      </c>
      <c r="BG121" s="54">
        <v>-6.9661</v>
      </c>
      <c r="BH121" s="54">
        <v>107.4057</v>
      </c>
      <c r="BI121" s="54">
        <v>3217122203100020</v>
      </c>
      <c r="BJ121" s="54">
        <v>35</v>
      </c>
      <c r="BK121" s="54">
        <v>139</v>
      </c>
      <c r="BL121" s="54">
        <v>54</v>
      </c>
      <c r="BM121" s="54">
        <v>2</v>
      </c>
      <c r="BN121" s="54">
        <v>2</v>
      </c>
    </row>
    <row r="122" spans="1:66" s="219" customFormat="1" hidden="1" x14ac:dyDescent="0.3">
      <c r="A122" s="54">
        <v>116</v>
      </c>
      <c r="B122" s="54" t="s">
        <v>2898</v>
      </c>
      <c r="C122" s="54" t="s">
        <v>2223</v>
      </c>
      <c r="D122" s="54" t="s">
        <v>53</v>
      </c>
      <c r="E122" s="54">
        <v>107405962</v>
      </c>
      <c r="F122" s="54" t="s">
        <v>2373</v>
      </c>
      <c r="G122" s="108">
        <v>40388</v>
      </c>
      <c r="H122" s="54">
        <v>3217146907100000</v>
      </c>
      <c r="I122" s="54" t="s">
        <v>2353</v>
      </c>
      <c r="J122" s="54" t="s">
        <v>2899</v>
      </c>
      <c r="K122" s="54">
        <v>5</v>
      </c>
      <c r="L122" s="54">
        <v>2</v>
      </c>
      <c r="M122" s="54"/>
      <c r="N122" s="54" t="s">
        <v>2566</v>
      </c>
      <c r="O122" s="54" t="s">
        <v>2426</v>
      </c>
      <c r="P122" s="54">
        <v>40562</v>
      </c>
      <c r="Q122" s="54" t="s">
        <v>2357</v>
      </c>
      <c r="R122" s="54" t="s">
        <v>2374</v>
      </c>
      <c r="S122" s="54"/>
      <c r="T122" s="54">
        <v>83829431333</v>
      </c>
      <c r="U122" s="54"/>
      <c r="V122" s="54"/>
      <c r="W122" s="54" t="s">
        <v>2359</v>
      </c>
      <c r="X122" s="54"/>
      <c r="Y122" s="54" t="s">
        <v>4595</v>
      </c>
      <c r="Z122" s="54">
        <v>1982</v>
      </c>
      <c r="AA122" s="54" t="s">
        <v>2390</v>
      </c>
      <c r="AB122" s="54" t="s">
        <v>2362</v>
      </c>
      <c r="AC122" s="54" t="s">
        <v>2363</v>
      </c>
      <c r="AD122" s="54">
        <v>3217140107820280</v>
      </c>
      <c r="AE122" s="54" t="s">
        <v>2900</v>
      </c>
      <c r="AF122" s="54">
        <v>1986</v>
      </c>
      <c r="AG122" s="54" t="s">
        <v>2390</v>
      </c>
      <c r="AH122" s="54" t="s">
        <v>2365</v>
      </c>
      <c r="AI122" s="54" t="s">
        <v>2366</v>
      </c>
      <c r="AJ122" s="54">
        <v>3217145808660010</v>
      </c>
      <c r="AK122" s="54"/>
      <c r="AL122" s="54"/>
      <c r="AM122" s="54" t="s">
        <v>2367</v>
      </c>
      <c r="AN122" s="54"/>
      <c r="AO122" s="54"/>
      <c r="AP122" s="54"/>
      <c r="AQ122" s="54" t="s">
        <v>8184</v>
      </c>
      <c r="AR122" s="54"/>
      <c r="AS122" s="54"/>
      <c r="AT122" s="54" t="s">
        <v>2359</v>
      </c>
      <c r="AU122" s="54"/>
      <c r="AV122" s="54">
        <v>0</v>
      </c>
      <c r="AW122" s="54"/>
      <c r="AX122" s="54" t="s">
        <v>2901</v>
      </c>
      <c r="AY122" s="54"/>
      <c r="AZ122" s="54"/>
      <c r="BA122" s="54"/>
      <c r="BB122" s="54" t="s">
        <v>2369</v>
      </c>
      <c r="BC122" s="54" t="s">
        <v>2370</v>
      </c>
      <c r="BD122" s="54" t="s">
        <v>2371</v>
      </c>
      <c r="BE122" s="54" t="s">
        <v>4593</v>
      </c>
      <c r="BF122" s="54">
        <v>1</v>
      </c>
      <c r="BG122" s="54">
        <v>-6.9668999999999999</v>
      </c>
      <c r="BH122" s="54">
        <v>107.4242</v>
      </c>
      <c r="BI122" s="54"/>
      <c r="BJ122" s="54">
        <v>44</v>
      </c>
      <c r="BK122" s="54">
        <v>135</v>
      </c>
      <c r="BL122" s="54">
        <v>55</v>
      </c>
      <c r="BM122" s="54">
        <v>1</v>
      </c>
      <c r="BN122" s="54">
        <v>2</v>
      </c>
    </row>
    <row r="123" spans="1:66" s="219" customFormat="1" hidden="1" x14ac:dyDescent="0.3">
      <c r="A123" s="54">
        <v>117</v>
      </c>
      <c r="B123" s="54" t="s">
        <v>2804</v>
      </c>
      <c r="C123" s="54" t="s">
        <v>2194</v>
      </c>
      <c r="D123" s="54" t="s">
        <v>53</v>
      </c>
      <c r="E123" s="54">
        <v>105205539</v>
      </c>
      <c r="F123" s="54" t="s">
        <v>2373</v>
      </c>
      <c r="G123" s="108">
        <v>40282</v>
      </c>
      <c r="H123" s="54">
        <v>3217125404100000</v>
      </c>
      <c r="I123" s="54" t="s">
        <v>2353</v>
      </c>
      <c r="J123" s="54" t="s">
        <v>2805</v>
      </c>
      <c r="K123" s="54">
        <v>3</v>
      </c>
      <c r="L123" s="54">
        <v>7</v>
      </c>
      <c r="M123" s="54">
        <v>2</v>
      </c>
      <c r="N123" s="54" t="s">
        <v>2409</v>
      </c>
      <c r="O123" s="54" t="s">
        <v>2356</v>
      </c>
      <c r="P123" s="54">
        <v>40564</v>
      </c>
      <c r="Q123" s="54" t="s">
        <v>2357</v>
      </c>
      <c r="R123" s="54" t="s">
        <v>2358</v>
      </c>
      <c r="S123" s="54"/>
      <c r="T123" s="54">
        <v>83829269603</v>
      </c>
      <c r="U123" s="54"/>
      <c r="V123" s="54"/>
      <c r="W123" s="54" t="s">
        <v>2369</v>
      </c>
      <c r="X123" s="54" t="s">
        <v>2806</v>
      </c>
      <c r="Y123" s="54" t="s">
        <v>2807</v>
      </c>
      <c r="Z123" s="54">
        <v>1971</v>
      </c>
      <c r="AA123" s="54" t="s">
        <v>2361</v>
      </c>
      <c r="AB123" s="54" t="s">
        <v>2480</v>
      </c>
      <c r="AC123" s="54" t="s">
        <v>2363</v>
      </c>
      <c r="AD123" s="54">
        <v>3217121506710010</v>
      </c>
      <c r="AE123" s="54" t="s">
        <v>2808</v>
      </c>
      <c r="AF123" s="54">
        <v>1980</v>
      </c>
      <c r="AG123" s="54" t="s">
        <v>2361</v>
      </c>
      <c r="AH123" s="54" t="s">
        <v>2365</v>
      </c>
      <c r="AI123" s="54" t="s">
        <v>2366</v>
      </c>
      <c r="AJ123" s="54">
        <v>3217124307800000</v>
      </c>
      <c r="AK123" s="54"/>
      <c r="AL123" s="54"/>
      <c r="AM123" s="54" t="s">
        <v>2367</v>
      </c>
      <c r="AN123" s="54"/>
      <c r="AO123" s="54"/>
      <c r="AP123" s="54"/>
      <c r="AQ123" s="54" t="s">
        <v>8179</v>
      </c>
      <c r="AR123" s="54"/>
      <c r="AS123" s="54"/>
      <c r="AT123" s="54" t="s">
        <v>2359</v>
      </c>
      <c r="AU123" s="54"/>
      <c r="AV123" s="54">
        <v>0</v>
      </c>
      <c r="AW123" s="54"/>
      <c r="AX123" s="54" t="s">
        <v>2809</v>
      </c>
      <c r="AY123" s="54"/>
      <c r="AZ123" s="54"/>
      <c r="BA123" s="54"/>
      <c r="BB123" s="54" t="s">
        <v>2369</v>
      </c>
      <c r="BC123" s="54" t="s">
        <v>2443</v>
      </c>
      <c r="BD123" s="54" t="s">
        <v>2371</v>
      </c>
      <c r="BE123" s="54" t="s">
        <v>2413</v>
      </c>
      <c r="BF123" s="54">
        <v>6</v>
      </c>
      <c r="BG123" s="54">
        <v>-6.9580000000000002</v>
      </c>
      <c r="BH123" s="54">
        <v>107.3801</v>
      </c>
      <c r="BI123" s="54"/>
      <c r="BJ123" s="54">
        <v>49</v>
      </c>
      <c r="BK123" s="54">
        <v>142</v>
      </c>
      <c r="BL123" s="54">
        <v>0</v>
      </c>
      <c r="BM123" s="54">
        <v>0</v>
      </c>
      <c r="BN123" s="54">
        <v>0</v>
      </c>
    </row>
    <row r="124" spans="1:66" s="219" customFormat="1" hidden="1" x14ac:dyDescent="0.3">
      <c r="A124" s="54">
        <v>118</v>
      </c>
      <c r="B124" s="54" t="s">
        <v>5162</v>
      </c>
      <c r="C124" s="54" t="s">
        <v>2163</v>
      </c>
      <c r="D124" s="54"/>
      <c r="E124" s="54">
        <v>106582596</v>
      </c>
      <c r="F124" s="54" t="s">
        <v>2446</v>
      </c>
      <c r="G124" s="108">
        <v>40291</v>
      </c>
      <c r="H124" s="54">
        <v>3217126304100000</v>
      </c>
      <c r="I124" s="54" t="s">
        <v>2353</v>
      </c>
      <c r="J124" s="54" t="s">
        <v>2670</v>
      </c>
      <c r="K124" s="54">
        <v>3</v>
      </c>
      <c r="L124" s="54">
        <v>8</v>
      </c>
      <c r="M124" s="54"/>
      <c r="N124" s="54" t="s">
        <v>2438</v>
      </c>
      <c r="O124" s="54" t="s">
        <v>2356</v>
      </c>
      <c r="P124" s="54"/>
      <c r="Q124" s="54" t="s">
        <v>2357</v>
      </c>
      <c r="R124" s="54" t="s">
        <v>2374</v>
      </c>
      <c r="S124" s="54"/>
      <c r="T124" s="54"/>
      <c r="U124" s="54"/>
      <c r="V124" s="54"/>
      <c r="W124" s="54" t="s">
        <v>2359</v>
      </c>
      <c r="X124" s="54"/>
      <c r="Y124" s="54"/>
      <c r="Z124" s="54">
        <v>0</v>
      </c>
      <c r="AA124" s="54"/>
      <c r="AB124" s="54" t="s">
        <v>2362</v>
      </c>
      <c r="AC124" s="54" t="s">
        <v>2363</v>
      </c>
      <c r="AD124" s="54"/>
      <c r="AE124" s="54" t="s">
        <v>2671</v>
      </c>
      <c r="AF124" s="54">
        <v>0</v>
      </c>
      <c r="AG124" s="54"/>
      <c r="AH124" s="54" t="s">
        <v>2365</v>
      </c>
      <c r="AI124" s="54" t="s">
        <v>2366</v>
      </c>
      <c r="AJ124" s="54"/>
      <c r="AK124" s="54"/>
      <c r="AL124" s="54"/>
      <c r="AM124" s="54"/>
      <c r="AN124" s="54"/>
      <c r="AO124" s="54"/>
      <c r="AP124" s="54"/>
      <c r="AQ124" s="54" t="s">
        <v>8180</v>
      </c>
      <c r="AR124" s="54"/>
      <c r="AS124" s="54"/>
      <c r="AT124" s="54" t="s">
        <v>2359</v>
      </c>
      <c r="AU124" s="54"/>
      <c r="AV124" s="54">
        <v>1</v>
      </c>
      <c r="AW124" s="54"/>
      <c r="AX124" s="54"/>
      <c r="AY124" s="54"/>
      <c r="AZ124" s="54"/>
      <c r="BA124" s="54"/>
      <c r="BB124" s="54" t="s">
        <v>2359</v>
      </c>
      <c r="BC124" s="54"/>
      <c r="BD124" s="54" t="s">
        <v>2371</v>
      </c>
      <c r="BE124" s="54" t="s">
        <v>2672</v>
      </c>
      <c r="BF124" s="54">
        <v>1</v>
      </c>
      <c r="BG124" s="54">
        <v>-6.9625000000000004</v>
      </c>
      <c r="BH124" s="54">
        <v>107.4346</v>
      </c>
      <c r="BI124" s="54"/>
      <c r="BJ124" s="54">
        <v>41</v>
      </c>
      <c r="BK124" s="54">
        <v>133</v>
      </c>
      <c r="BL124" s="54">
        <v>54</v>
      </c>
      <c r="BM124" s="54">
        <v>1</v>
      </c>
      <c r="BN124" s="54">
        <v>2</v>
      </c>
    </row>
    <row r="125" spans="1:66" s="219" customFormat="1" hidden="1" x14ac:dyDescent="0.3">
      <c r="A125" s="54">
        <v>119</v>
      </c>
      <c r="B125" s="54" t="s">
        <v>2417</v>
      </c>
      <c r="C125" s="54" t="s">
        <v>2103</v>
      </c>
      <c r="D125" s="54" t="s">
        <v>53</v>
      </c>
      <c r="E125" s="54">
        <v>103822343</v>
      </c>
      <c r="F125" s="54" t="s">
        <v>2373</v>
      </c>
      <c r="G125" s="108">
        <v>40362</v>
      </c>
      <c r="H125" s="54">
        <v>3217124307100000</v>
      </c>
      <c r="I125" s="54" t="s">
        <v>2353</v>
      </c>
      <c r="J125" s="54" t="s">
        <v>2418</v>
      </c>
      <c r="K125" s="54">
        <v>4</v>
      </c>
      <c r="L125" s="54">
        <v>5</v>
      </c>
      <c r="M125" s="54"/>
      <c r="N125" s="54" t="s">
        <v>2409</v>
      </c>
      <c r="O125" s="54" t="s">
        <v>2356</v>
      </c>
      <c r="P125" s="54">
        <v>40564</v>
      </c>
      <c r="Q125" s="54" t="s">
        <v>2357</v>
      </c>
      <c r="R125" s="54" t="s">
        <v>2358</v>
      </c>
      <c r="S125" s="54"/>
      <c r="T125" s="54">
        <v>87876020521</v>
      </c>
      <c r="U125" s="54"/>
      <c r="V125" s="54"/>
      <c r="W125" s="54" t="s">
        <v>2359</v>
      </c>
      <c r="X125" s="54"/>
      <c r="Y125" s="54" t="s">
        <v>2419</v>
      </c>
      <c r="Z125" s="54">
        <v>1977</v>
      </c>
      <c r="AA125" s="54" t="s">
        <v>2361</v>
      </c>
      <c r="AB125" s="54" t="s">
        <v>2362</v>
      </c>
      <c r="AC125" s="54" t="s">
        <v>2363</v>
      </c>
      <c r="AD125" s="54">
        <v>3217120511770000</v>
      </c>
      <c r="AE125" s="54" t="s">
        <v>2420</v>
      </c>
      <c r="AF125" s="54">
        <v>1982</v>
      </c>
      <c r="AG125" s="54" t="s">
        <v>2361</v>
      </c>
      <c r="AH125" s="54" t="s">
        <v>2365</v>
      </c>
      <c r="AI125" s="54" t="s">
        <v>2366</v>
      </c>
      <c r="AJ125" s="54">
        <v>3217124112820010</v>
      </c>
      <c r="AK125" s="54"/>
      <c r="AL125" s="54"/>
      <c r="AM125" s="54" t="s">
        <v>2367</v>
      </c>
      <c r="AN125" s="54"/>
      <c r="AO125" s="54"/>
      <c r="AP125" s="54"/>
      <c r="AQ125" s="54" t="s">
        <v>8177</v>
      </c>
      <c r="AR125" s="54"/>
      <c r="AS125" s="54"/>
      <c r="AT125" s="54" t="s">
        <v>2359</v>
      </c>
      <c r="AU125" s="54"/>
      <c r="AV125" s="54">
        <v>0</v>
      </c>
      <c r="AW125" s="54"/>
      <c r="AX125" s="54" t="s">
        <v>2421</v>
      </c>
      <c r="AY125" s="54"/>
      <c r="AZ125" s="54"/>
      <c r="BA125" s="54"/>
      <c r="BB125" s="54" t="s">
        <v>2369</v>
      </c>
      <c r="BC125" s="54" t="s">
        <v>2370</v>
      </c>
      <c r="BD125" s="54" t="s">
        <v>2371</v>
      </c>
      <c r="BE125" s="54" t="s">
        <v>2422</v>
      </c>
      <c r="BF125" s="54"/>
      <c r="BG125" s="54">
        <v>-6.9554</v>
      </c>
      <c r="BH125" s="54">
        <v>107.39319999999999</v>
      </c>
      <c r="BI125" s="54"/>
      <c r="BJ125" s="54">
        <v>40</v>
      </c>
      <c r="BK125" s="54">
        <v>137</v>
      </c>
      <c r="BL125" s="54">
        <v>0</v>
      </c>
      <c r="BM125" s="54">
        <v>0</v>
      </c>
      <c r="BN125" s="54">
        <v>0</v>
      </c>
    </row>
    <row r="126" spans="1:66" s="219" customFormat="1" hidden="1" x14ac:dyDescent="0.3">
      <c r="A126" s="54">
        <v>120</v>
      </c>
      <c r="B126" s="54" t="s">
        <v>1354</v>
      </c>
      <c r="C126" s="54" t="s">
        <v>1430</v>
      </c>
      <c r="D126" s="54" t="s">
        <v>52</v>
      </c>
      <c r="E126" s="54">
        <v>97155987</v>
      </c>
      <c r="F126" s="54" t="s">
        <v>2446</v>
      </c>
      <c r="G126" s="108">
        <v>40019</v>
      </c>
      <c r="H126" s="54">
        <v>3217112507090000</v>
      </c>
      <c r="I126" s="54" t="s">
        <v>2353</v>
      </c>
      <c r="J126" s="54" t="s">
        <v>3112</v>
      </c>
      <c r="K126" s="54">
        <v>1</v>
      </c>
      <c r="L126" s="54">
        <v>14</v>
      </c>
      <c r="M126" s="54" t="s">
        <v>2424</v>
      </c>
      <c r="N126" s="54" t="s">
        <v>2425</v>
      </c>
      <c r="O126" s="54" t="s">
        <v>2426</v>
      </c>
      <c r="P126" s="54">
        <v>40562</v>
      </c>
      <c r="Q126" s="54" t="s">
        <v>2357</v>
      </c>
      <c r="R126" s="54" t="s">
        <v>2358</v>
      </c>
      <c r="S126" s="54"/>
      <c r="T126" s="54">
        <v>83869366786</v>
      </c>
      <c r="U126" s="54"/>
      <c r="V126" s="54"/>
      <c r="W126" s="54" t="s">
        <v>2359</v>
      </c>
      <c r="X126" s="54"/>
      <c r="Y126" s="54" t="s">
        <v>2746</v>
      </c>
      <c r="Z126" s="54">
        <v>1965</v>
      </c>
      <c r="AA126" s="54" t="s">
        <v>2361</v>
      </c>
      <c r="AB126" s="54" t="s">
        <v>2362</v>
      </c>
      <c r="AC126" s="54" t="s">
        <v>2403</v>
      </c>
      <c r="AD126" s="54">
        <v>3217111911651000</v>
      </c>
      <c r="AE126" s="54" t="s">
        <v>3250</v>
      </c>
      <c r="AF126" s="54">
        <v>1968</v>
      </c>
      <c r="AG126" s="54" t="s">
        <v>2361</v>
      </c>
      <c r="AH126" s="54" t="s">
        <v>2365</v>
      </c>
      <c r="AI126" s="54" t="s">
        <v>2366</v>
      </c>
      <c r="AJ126" s="54">
        <v>3217114208681000</v>
      </c>
      <c r="AK126" s="54"/>
      <c r="AL126" s="54"/>
      <c r="AM126" s="54"/>
      <c r="AN126" s="54"/>
      <c r="AO126" s="54"/>
      <c r="AP126" s="54"/>
      <c r="AQ126" s="54" t="s">
        <v>5147</v>
      </c>
      <c r="AR126" s="54"/>
      <c r="AS126" s="54"/>
      <c r="AT126" s="54" t="s">
        <v>2359</v>
      </c>
      <c r="AU126" s="54"/>
      <c r="AV126" s="54">
        <v>0</v>
      </c>
      <c r="AW126" s="54"/>
      <c r="AX126" s="54" t="s">
        <v>3251</v>
      </c>
      <c r="AY126" s="54"/>
      <c r="AZ126" s="54"/>
      <c r="BA126" s="54"/>
      <c r="BB126" s="54" t="s">
        <v>2369</v>
      </c>
      <c r="BC126" s="54" t="s">
        <v>2370</v>
      </c>
      <c r="BD126" s="54" t="s">
        <v>2371</v>
      </c>
      <c r="BE126" s="54"/>
      <c r="BF126" s="54">
        <v>5</v>
      </c>
      <c r="BG126" s="54">
        <v>-6.9514541999999997</v>
      </c>
      <c r="BH126" s="54">
        <v>107.4179645</v>
      </c>
      <c r="BI126" s="54">
        <v>3217110811130000</v>
      </c>
      <c r="BJ126" s="54">
        <v>47</v>
      </c>
      <c r="BK126" s="54">
        <v>132</v>
      </c>
      <c r="BL126" s="54">
        <v>55</v>
      </c>
      <c r="BM126" s="54">
        <v>2</v>
      </c>
      <c r="BN126" s="54">
        <v>1</v>
      </c>
    </row>
    <row r="127" spans="1:66" hidden="1" x14ac:dyDescent="0.3">
      <c r="A127" s="3">
        <v>121</v>
      </c>
      <c r="B127" s="3" t="s">
        <v>3822</v>
      </c>
      <c r="C127" s="3" t="s">
        <v>4269</v>
      </c>
      <c r="D127" s="3" t="s">
        <v>52</v>
      </c>
      <c r="E127" s="3">
        <v>3119018675</v>
      </c>
      <c r="F127" s="3" t="s">
        <v>2377</v>
      </c>
      <c r="G127" s="157">
        <v>40869</v>
      </c>
      <c r="H127" s="3">
        <v>3217122211110000</v>
      </c>
      <c r="I127" s="3" t="s">
        <v>2353</v>
      </c>
      <c r="J127" s="3" t="s">
        <v>2585</v>
      </c>
      <c r="K127" s="3">
        <v>2</v>
      </c>
      <c r="L127" s="3">
        <v>7</v>
      </c>
      <c r="M127" s="3"/>
      <c r="N127" s="3" t="s">
        <v>4475</v>
      </c>
      <c r="O127" s="3" t="s">
        <v>2356</v>
      </c>
      <c r="P127" s="3">
        <v>40764</v>
      </c>
      <c r="Q127" s="3" t="s">
        <v>2357</v>
      </c>
      <c r="R127" s="3" t="s">
        <v>2358</v>
      </c>
      <c r="S127" s="3"/>
      <c r="T127" s="3"/>
      <c r="U127" s="3"/>
      <c r="V127" s="3"/>
      <c r="W127" s="3" t="s">
        <v>2359</v>
      </c>
      <c r="X127" s="3"/>
      <c r="Y127" s="3" t="s">
        <v>4596</v>
      </c>
      <c r="Z127" s="3">
        <v>0</v>
      </c>
      <c r="AA127" s="3" t="s">
        <v>2361</v>
      </c>
      <c r="AB127" s="3" t="s">
        <v>2867</v>
      </c>
      <c r="AC127" s="3" t="s">
        <v>2366</v>
      </c>
      <c r="AD127" s="3"/>
      <c r="AE127" s="3" t="s">
        <v>4597</v>
      </c>
      <c r="AF127" s="3">
        <v>1972</v>
      </c>
      <c r="AG127" s="3" t="s">
        <v>2361</v>
      </c>
      <c r="AH127" s="3" t="s">
        <v>2365</v>
      </c>
      <c r="AI127" s="3" t="s">
        <v>2366</v>
      </c>
      <c r="AJ127" s="3">
        <v>3217125510720000</v>
      </c>
      <c r="AK127" s="3"/>
      <c r="AL127" s="3"/>
      <c r="AM127" s="3"/>
      <c r="AN127" s="3"/>
      <c r="AO127" s="3"/>
      <c r="AP127" s="3"/>
      <c r="AQ127" s="3" t="s">
        <v>5149</v>
      </c>
      <c r="AR127" s="3" t="s">
        <v>4598</v>
      </c>
      <c r="AS127" s="3" t="s">
        <v>4599</v>
      </c>
      <c r="AT127" s="3" t="s">
        <v>2359</v>
      </c>
      <c r="AU127" s="3"/>
      <c r="AV127" s="3">
        <v>1</v>
      </c>
      <c r="AW127" s="3"/>
      <c r="AX127" s="3"/>
      <c r="AY127" s="3"/>
      <c r="AZ127" s="3"/>
      <c r="BA127" s="3"/>
      <c r="BB127" s="3" t="s">
        <v>2369</v>
      </c>
      <c r="BC127" s="3" t="s">
        <v>2370</v>
      </c>
      <c r="BD127" s="3" t="s">
        <v>2371</v>
      </c>
      <c r="BE127" s="3" t="s">
        <v>4497</v>
      </c>
      <c r="BF127" s="3">
        <v>1</v>
      </c>
      <c r="BG127" s="3">
        <v>-6.9625000000000004</v>
      </c>
      <c r="BH127" s="3">
        <v>107.4346</v>
      </c>
      <c r="BI127" s="3">
        <v>3217120103100030</v>
      </c>
      <c r="BJ127" s="3">
        <v>40</v>
      </c>
      <c r="BK127" s="3">
        <v>142</v>
      </c>
      <c r="BL127" s="3">
        <v>55</v>
      </c>
      <c r="BM127" s="3">
        <v>2</v>
      </c>
      <c r="BN127" s="3">
        <v>2</v>
      </c>
    </row>
    <row r="128" spans="1:66" s="219" customFormat="1" hidden="1" x14ac:dyDescent="0.3">
      <c r="A128" s="54">
        <v>122</v>
      </c>
      <c r="B128" s="54" t="s">
        <v>1359</v>
      </c>
      <c r="C128" s="54" t="s">
        <v>1465</v>
      </c>
      <c r="D128" s="54" t="s">
        <v>52</v>
      </c>
      <c r="E128" s="54">
        <v>86313437</v>
      </c>
      <c r="F128" s="54" t="s">
        <v>2446</v>
      </c>
      <c r="G128" s="108">
        <v>39733</v>
      </c>
      <c r="H128" s="54">
        <v>3217111210080000</v>
      </c>
      <c r="I128" s="54" t="s">
        <v>2353</v>
      </c>
      <c r="J128" s="54" t="s">
        <v>3112</v>
      </c>
      <c r="K128" s="54">
        <v>4</v>
      </c>
      <c r="L128" s="54">
        <v>14</v>
      </c>
      <c r="M128" s="54" t="s">
        <v>2424</v>
      </c>
      <c r="N128" s="54" t="s">
        <v>2425</v>
      </c>
      <c r="O128" s="54" t="s">
        <v>2426</v>
      </c>
      <c r="P128" s="54">
        <v>40562</v>
      </c>
      <c r="Q128" s="54" t="s">
        <v>2357</v>
      </c>
      <c r="R128" s="54" t="s">
        <v>2358</v>
      </c>
      <c r="S128" s="54"/>
      <c r="T128" s="54">
        <v>85794920026</v>
      </c>
      <c r="U128" s="54"/>
      <c r="V128" s="54"/>
      <c r="W128" s="54" t="s">
        <v>2359</v>
      </c>
      <c r="X128" s="54"/>
      <c r="Y128" s="54" t="s">
        <v>3364</v>
      </c>
      <c r="Z128" s="54">
        <v>1970</v>
      </c>
      <c r="AA128" s="54" t="s">
        <v>2361</v>
      </c>
      <c r="AB128" s="54" t="s">
        <v>2362</v>
      </c>
      <c r="AC128" s="54" t="s">
        <v>2403</v>
      </c>
      <c r="AD128" s="54">
        <v>3217110309700000</v>
      </c>
      <c r="AE128" s="54" t="s">
        <v>3365</v>
      </c>
      <c r="AF128" s="54">
        <v>1977</v>
      </c>
      <c r="AG128" s="54" t="s">
        <v>2361</v>
      </c>
      <c r="AH128" s="54" t="s">
        <v>2365</v>
      </c>
      <c r="AI128" s="54" t="s">
        <v>2366</v>
      </c>
      <c r="AJ128" s="54">
        <v>3217114109770000</v>
      </c>
      <c r="AK128" s="54"/>
      <c r="AL128" s="54"/>
      <c r="AM128" s="54"/>
      <c r="AN128" s="54"/>
      <c r="AO128" s="54"/>
      <c r="AP128" s="54"/>
      <c r="AQ128" s="54" t="s">
        <v>5147</v>
      </c>
      <c r="AR128" s="54"/>
      <c r="AS128" s="54"/>
      <c r="AT128" s="54" t="s">
        <v>2359</v>
      </c>
      <c r="AU128" s="54"/>
      <c r="AV128" s="54">
        <v>0</v>
      </c>
      <c r="AW128" s="54"/>
      <c r="AX128" s="54" t="s">
        <v>3366</v>
      </c>
      <c r="AY128" s="54"/>
      <c r="AZ128" s="54"/>
      <c r="BA128" s="54"/>
      <c r="BB128" s="54" t="s">
        <v>2369</v>
      </c>
      <c r="BC128" s="54" t="s">
        <v>2370</v>
      </c>
      <c r="BD128" s="54" t="s">
        <v>2371</v>
      </c>
      <c r="BE128" s="54"/>
      <c r="BF128" s="54">
        <v>1</v>
      </c>
      <c r="BG128" s="54">
        <v>-6.9514541999999997</v>
      </c>
      <c r="BH128" s="54">
        <v>107.4179645</v>
      </c>
      <c r="BI128" s="54">
        <v>3217112104060000</v>
      </c>
      <c r="BJ128" s="54">
        <v>43</v>
      </c>
      <c r="BK128" s="54">
        <v>143</v>
      </c>
      <c r="BL128" s="54">
        <v>56</v>
      </c>
      <c r="BM128" s="54">
        <v>2</v>
      </c>
      <c r="BN128" s="54">
        <v>1</v>
      </c>
    </row>
    <row r="129" spans="1:66" hidden="1" x14ac:dyDescent="0.3">
      <c r="A129" s="3">
        <v>123</v>
      </c>
      <c r="B129" s="3" t="s">
        <v>4600</v>
      </c>
      <c r="C129" s="3" t="s">
        <v>4233</v>
      </c>
      <c r="D129" s="3" t="s">
        <v>52</v>
      </c>
      <c r="E129" s="3">
        <v>109254025</v>
      </c>
      <c r="F129" s="3" t="s">
        <v>2373</v>
      </c>
      <c r="G129" s="157">
        <v>40256</v>
      </c>
      <c r="H129" s="3">
        <v>3217111903100000</v>
      </c>
      <c r="I129" s="3" t="s">
        <v>2353</v>
      </c>
      <c r="J129" s="3" t="s">
        <v>2424</v>
      </c>
      <c r="K129" s="3">
        <v>2</v>
      </c>
      <c r="L129" s="3">
        <v>14</v>
      </c>
      <c r="M129" s="3"/>
      <c r="N129" s="3" t="s">
        <v>2425</v>
      </c>
      <c r="O129" s="3" t="s">
        <v>2426</v>
      </c>
      <c r="P129" s="3">
        <v>40562</v>
      </c>
      <c r="Q129" s="3" t="s">
        <v>2357</v>
      </c>
      <c r="R129" s="3" t="s">
        <v>2358</v>
      </c>
      <c r="S129" s="3"/>
      <c r="T129" s="3">
        <v>83820817383</v>
      </c>
      <c r="U129" s="3"/>
      <c r="V129" s="3"/>
      <c r="W129" s="3" t="s">
        <v>2369</v>
      </c>
      <c r="X129" s="3">
        <v>122000105784937</v>
      </c>
      <c r="Y129" s="3" t="s">
        <v>4601</v>
      </c>
      <c r="Z129" s="3">
        <v>1974</v>
      </c>
      <c r="AA129" s="3" t="s">
        <v>2402</v>
      </c>
      <c r="AB129" s="3" t="s">
        <v>2362</v>
      </c>
      <c r="AC129" s="3" t="s">
        <v>2403</v>
      </c>
      <c r="AD129" s="3"/>
      <c r="AE129" s="3" t="s">
        <v>4602</v>
      </c>
      <c r="AF129" s="3">
        <v>1980</v>
      </c>
      <c r="AG129" s="3" t="s">
        <v>2402</v>
      </c>
      <c r="AH129" s="3" t="s">
        <v>2365</v>
      </c>
      <c r="AI129" s="3" t="s">
        <v>2366</v>
      </c>
      <c r="AJ129" s="3"/>
      <c r="AK129" s="3"/>
      <c r="AL129" s="3"/>
      <c r="AM129" s="3" t="s">
        <v>2367</v>
      </c>
      <c r="AN129" s="3"/>
      <c r="AO129" s="3"/>
      <c r="AP129" s="3"/>
      <c r="AQ129" s="3" t="s">
        <v>5146</v>
      </c>
      <c r="AR129" s="3"/>
      <c r="AS129" s="3"/>
      <c r="AT129" s="3" t="s">
        <v>2359</v>
      </c>
      <c r="AU129" s="3"/>
      <c r="AV129" s="3">
        <v>0</v>
      </c>
      <c r="AW129" s="3"/>
      <c r="AX129" s="3" t="s">
        <v>4115</v>
      </c>
      <c r="AY129" s="3"/>
      <c r="AZ129" s="3"/>
      <c r="BA129" s="3"/>
      <c r="BB129" s="3" t="s">
        <v>2369</v>
      </c>
      <c r="BC129" s="3" t="s">
        <v>2443</v>
      </c>
      <c r="BD129" s="3" t="s">
        <v>2371</v>
      </c>
      <c r="BE129" s="3" t="s">
        <v>2430</v>
      </c>
      <c r="BF129" s="3">
        <v>2</v>
      </c>
      <c r="BG129" s="3">
        <v>-6.9514541999999997</v>
      </c>
      <c r="BH129" s="3">
        <v>107.4179645</v>
      </c>
      <c r="BI129" s="3"/>
      <c r="BJ129" s="3">
        <v>40</v>
      </c>
      <c r="BK129" s="3">
        <v>143</v>
      </c>
      <c r="BL129" s="3">
        <v>54</v>
      </c>
      <c r="BM129" s="3">
        <v>2</v>
      </c>
      <c r="BN129" s="3">
        <v>2</v>
      </c>
    </row>
    <row r="130" spans="1:66" s="219" customFormat="1" hidden="1" x14ac:dyDescent="0.3">
      <c r="A130" s="54">
        <v>124</v>
      </c>
      <c r="B130" s="54" t="s">
        <v>1668</v>
      </c>
      <c r="C130" s="54" t="s">
        <v>2136</v>
      </c>
      <c r="D130" s="54" t="s">
        <v>53</v>
      </c>
      <c r="E130" s="54">
        <v>3097103260</v>
      </c>
      <c r="F130" s="54" t="s">
        <v>2446</v>
      </c>
      <c r="G130" s="108">
        <v>40167</v>
      </c>
      <c r="H130" s="54">
        <v>3217116012090000</v>
      </c>
      <c r="I130" s="54" t="s">
        <v>2353</v>
      </c>
      <c r="J130" s="54" t="s">
        <v>2570</v>
      </c>
      <c r="K130" s="54">
        <v>2</v>
      </c>
      <c r="L130" s="54">
        <v>5</v>
      </c>
      <c r="M130" s="54"/>
      <c r="N130" s="54" t="s">
        <v>2571</v>
      </c>
      <c r="O130" s="54" t="s">
        <v>2426</v>
      </c>
      <c r="P130" s="54">
        <v>40562</v>
      </c>
      <c r="Q130" s="54" t="s">
        <v>2357</v>
      </c>
      <c r="R130" s="54" t="s">
        <v>2374</v>
      </c>
      <c r="S130" s="54"/>
      <c r="T130" s="54"/>
      <c r="U130" s="54"/>
      <c r="V130" s="54"/>
      <c r="W130" s="54" t="s">
        <v>2359</v>
      </c>
      <c r="X130" s="54"/>
      <c r="Y130" s="54"/>
      <c r="Z130" s="54">
        <v>0</v>
      </c>
      <c r="AA130" s="54"/>
      <c r="AB130" s="54" t="s">
        <v>2362</v>
      </c>
      <c r="AC130" s="54" t="s">
        <v>2375</v>
      </c>
      <c r="AD130" s="54"/>
      <c r="AE130" s="54" t="s">
        <v>2572</v>
      </c>
      <c r="AF130" s="54">
        <v>0</v>
      </c>
      <c r="AG130" s="54"/>
      <c r="AH130" s="54" t="s">
        <v>2365</v>
      </c>
      <c r="AI130" s="54" t="s">
        <v>2366</v>
      </c>
      <c r="AJ130" s="54"/>
      <c r="AK130" s="54"/>
      <c r="AL130" s="54"/>
      <c r="AM130" s="54"/>
      <c r="AN130" s="54"/>
      <c r="AO130" s="54"/>
      <c r="AP130" s="54"/>
      <c r="AQ130" s="54" t="s">
        <v>8181</v>
      </c>
      <c r="AR130" s="54"/>
      <c r="AS130" s="54"/>
      <c r="AT130" s="54" t="s">
        <v>2359</v>
      </c>
      <c r="AU130" s="54"/>
      <c r="AV130" s="54">
        <v>1</v>
      </c>
      <c r="AW130" s="54"/>
      <c r="AX130" s="54"/>
      <c r="AY130" s="54"/>
      <c r="AZ130" s="54"/>
      <c r="BA130" s="54"/>
      <c r="BB130" s="54" t="s">
        <v>2359</v>
      </c>
      <c r="BC130" s="54"/>
      <c r="BD130" s="54" t="s">
        <v>2371</v>
      </c>
      <c r="BE130" s="54" t="s">
        <v>2376</v>
      </c>
      <c r="BF130" s="54">
        <v>1</v>
      </c>
      <c r="BG130" s="54">
        <v>-6.9625000000000004</v>
      </c>
      <c r="BH130" s="54">
        <v>107.4346</v>
      </c>
      <c r="BI130" s="54"/>
      <c r="BJ130" s="54">
        <v>44</v>
      </c>
      <c r="BK130" s="54">
        <v>134</v>
      </c>
      <c r="BL130" s="54">
        <v>55</v>
      </c>
      <c r="BM130" s="54">
        <v>0</v>
      </c>
      <c r="BN130" s="54">
        <v>0</v>
      </c>
    </row>
    <row r="131" spans="1:66" s="219" customFormat="1" hidden="1" x14ac:dyDescent="0.3">
      <c r="A131" s="54">
        <v>125</v>
      </c>
      <c r="B131" s="54" t="s">
        <v>2573</v>
      </c>
      <c r="C131" s="54" t="s">
        <v>2137</v>
      </c>
      <c r="D131" s="54" t="s">
        <v>53</v>
      </c>
      <c r="E131" s="54">
        <v>109063741</v>
      </c>
      <c r="F131" s="54" t="s">
        <v>2373</v>
      </c>
      <c r="G131" s="108">
        <v>40329</v>
      </c>
      <c r="H131" s="54">
        <v>3217120711830120</v>
      </c>
      <c r="I131" s="54" t="s">
        <v>2353</v>
      </c>
      <c r="J131" s="54" t="s">
        <v>2574</v>
      </c>
      <c r="K131" s="54">
        <v>1</v>
      </c>
      <c r="L131" s="54">
        <v>3</v>
      </c>
      <c r="M131" s="54"/>
      <c r="N131" s="54" t="s">
        <v>2513</v>
      </c>
      <c r="O131" s="54" t="s">
        <v>2356</v>
      </c>
      <c r="P131" s="54"/>
      <c r="Q131" s="54" t="s">
        <v>2357</v>
      </c>
      <c r="R131" s="54" t="s">
        <v>2358</v>
      </c>
      <c r="S131" s="54"/>
      <c r="T131" s="54">
        <v>85721935882</v>
      </c>
      <c r="U131" s="54"/>
      <c r="V131" s="54"/>
      <c r="W131" s="54" t="s">
        <v>2359</v>
      </c>
      <c r="X131" s="54"/>
      <c r="Y131" s="54" t="s">
        <v>4603</v>
      </c>
      <c r="Z131" s="54">
        <v>1979</v>
      </c>
      <c r="AA131" s="54" t="s">
        <v>2390</v>
      </c>
      <c r="AB131" s="54" t="s">
        <v>2362</v>
      </c>
      <c r="AC131" s="54" t="s">
        <v>2363</v>
      </c>
      <c r="AD131" s="54"/>
      <c r="AE131" s="54" t="s">
        <v>2575</v>
      </c>
      <c r="AF131" s="54">
        <v>1980</v>
      </c>
      <c r="AG131" s="54" t="s">
        <v>2367</v>
      </c>
      <c r="AH131" s="54" t="s">
        <v>2365</v>
      </c>
      <c r="AI131" s="54" t="s">
        <v>2366</v>
      </c>
      <c r="AJ131" s="54"/>
      <c r="AK131" s="54"/>
      <c r="AL131" s="54"/>
      <c r="AM131" s="54" t="s">
        <v>2367</v>
      </c>
      <c r="AN131" s="54"/>
      <c r="AO131" s="54"/>
      <c r="AP131" s="54"/>
      <c r="AQ131" s="54" t="s">
        <v>8181</v>
      </c>
      <c r="AR131" s="54"/>
      <c r="AS131" s="54"/>
      <c r="AT131" s="54" t="s">
        <v>2359</v>
      </c>
      <c r="AU131" s="54"/>
      <c r="AV131" s="54">
        <v>0</v>
      </c>
      <c r="AW131" s="54"/>
      <c r="AX131" s="54" t="s">
        <v>2576</v>
      </c>
      <c r="AY131" s="54"/>
      <c r="AZ131" s="54"/>
      <c r="BA131" s="54"/>
      <c r="BB131" s="54" t="s">
        <v>2369</v>
      </c>
      <c r="BC131" s="54" t="s">
        <v>2370</v>
      </c>
      <c r="BD131" s="54" t="s">
        <v>2371</v>
      </c>
      <c r="BE131" s="54" t="s">
        <v>2553</v>
      </c>
      <c r="BF131" s="54">
        <v>1</v>
      </c>
      <c r="BG131" s="54">
        <v>-7.0068000000000001</v>
      </c>
      <c r="BH131" s="54">
        <v>107.2349</v>
      </c>
      <c r="BI131" s="54">
        <v>3217121907180000</v>
      </c>
      <c r="BJ131" s="54">
        <v>42</v>
      </c>
      <c r="BK131" s="54">
        <v>138</v>
      </c>
      <c r="BL131" s="54">
        <v>0</v>
      </c>
      <c r="BM131" s="54">
        <v>0</v>
      </c>
      <c r="BN131" s="54">
        <v>0</v>
      </c>
    </row>
    <row r="132" spans="1:66" hidden="1" x14ac:dyDescent="0.3">
      <c r="A132" s="3">
        <v>126</v>
      </c>
      <c r="B132" s="3" t="s">
        <v>3790</v>
      </c>
      <c r="C132" s="3" t="s">
        <v>4234</v>
      </c>
      <c r="D132" s="3" t="s">
        <v>53</v>
      </c>
      <c r="E132" s="3">
        <v>104333261</v>
      </c>
      <c r="F132" s="3" t="s">
        <v>2352</v>
      </c>
      <c r="G132" s="157">
        <v>40460</v>
      </c>
      <c r="H132" s="3">
        <v>3217114910100000</v>
      </c>
      <c r="I132" s="3" t="s">
        <v>2353</v>
      </c>
      <c r="J132" s="3" t="s">
        <v>2839</v>
      </c>
      <c r="K132" s="3">
        <v>1</v>
      </c>
      <c r="L132" s="3">
        <v>9</v>
      </c>
      <c r="M132" s="3"/>
      <c r="N132" s="3" t="s">
        <v>3581</v>
      </c>
      <c r="O132" s="3" t="s">
        <v>2426</v>
      </c>
      <c r="P132" s="3">
        <v>40562</v>
      </c>
      <c r="Q132" s="3" t="s">
        <v>2357</v>
      </c>
      <c r="R132" s="3" t="s">
        <v>2358</v>
      </c>
      <c r="S132" s="3"/>
      <c r="T132" s="3"/>
      <c r="U132" s="3"/>
      <c r="V132" s="3"/>
      <c r="W132" s="3" t="s">
        <v>2359</v>
      </c>
      <c r="X132" s="3"/>
      <c r="Y132" s="3" t="s">
        <v>4010</v>
      </c>
      <c r="Z132" s="3">
        <v>1981</v>
      </c>
      <c r="AA132" s="3" t="s">
        <v>2361</v>
      </c>
      <c r="AB132" s="3" t="s">
        <v>2493</v>
      </c>
      <c r="AC132" s="3" t="s">
        <v>2403</v>
      </c>
      <c r="AD132" s="3">
        <v>3217112507810000</v>
      </c>
      <c r="AE132" s="3" t="s">
        <v>4087</v>
      </c>
      <c r="AF132" s="3">
        <v>1982</v>
      </c>
      <c r="AG132" s="3" t="s">
        <v>2402</v>
      </c>
      <c r="AH132" s="3" t="s">
        <v>2365</v>
      </c>
      <c r="AI132" s="3" t="s">
        <v>2366</v>
      </c>
      <c r="AJ132" s="3">
        <v>3217115506820000</v>
      </c>
      <c r="AK132" s="3"/>
      <c r="AL132" s="3"/>
      <c r="AM132" s="3" t="s">
        <v>2367</v>
      </c>
      <c r="AN132" s="3"/>
      <c r="AO132" s="3"/>
      <c r="AP132" s="3"/>
      <c r="AQ132" s="3" t="s">
        <v>5146</v>
      </c>
      <c r="AR132" s="3"/>
      <c r="AS132" s="3"/>
      <c r="AT132" s="3" t="s">
        <v>2359</v>
      </c>
      <c r="AU132" s="3"/>
      <c r="AV132" s="3">
        <v>0</v>
      </c>
      <c r="AW132" s="3"/>
      <c r="AX132" s="3">
        <v>9530288242</v>
      </c>
      <c r="AY132" s="3"/>
      <c r="AZ132" s="3"/>
      <c r="BA132" s="3"/>
      <c r="BB132" s="3" t="s">
        <v>2369</v>
      </c>
      <c r="BC132" s="3" t="s">
        <v>2370</v>
      </c>
      <c r="BD132" s="3" t="s">
        <v>2371</v>
      </c>
      <c r="BE132" s="3" t="s">
        <v>2691</v>
      </c>
      <c r="BF132" s="3">
        <v>4</v>
      </c>
      <c r="BG132" s="3">
        <v>-6.9743000000000004</v>
      </c>
      <c r="BH132" s="3">
        <v>107.43559999999999</v>
      </c>
      <c r="BI132" s="3"/>
      <c r="BJ132" s="3">
        <v>30</v>
      </c>
      <c r="BK132" s="3">
        <v>128</v>
      </c>
      <c r="BL132" s="3">
        <v>0</v>
      </c>
      <c r="BM132" s="3">
        <v>1</v>
      </c>
      <c r="BN132" s="3">
        <v>1</v>
      </c>
    </row>
    <row r="133" spans="1:66" hidden="1" x14ac:dyDescent="0.3">
      <c r="A133" s="3">
        <v>127</v>
      </c>
      <c r="B133" s="3" t="s">
        <v>3823</v>
      </c>
      <c r="C133" s="3" t="s">
        <v>4270</v>
      </c>
      <c r="D133" s="3" t="s">
        <v>53</v>
      </c>
      <c r="E133" s="3">
        <v>109819441</v>
      </c>
      <c r="F133" s="3" t="s">
        <v>2352</v>
      </c>
      <c r="G133" s="157">
        <v>40461</v>
      </c>
      <c r="H133" s="3">
        <v>3217114610100000</v>
      </c>
      <c r="I133" s="3" t="s">
        <v>2353</v>
      </c>
      <c r="J133" s="3" t="s">
        <v>3237</v>
      </c>
      <c r="K133" s="3">
        <v>2</v>
      </c>
      <c r="L133" s="3">
        <v>1</v>
      </c>
      <c r="M133" s="3"/>
      <c r="N133" s="3" t="s">
        <v>4604</v>
      </c>
      <c r="O133" s="3" t="s">
        <v>2426</v>
      </c>
      <c r="P133" s="3">
        <v>40562</v>
      </c>
      <c r="Q133" s="3" t="s">
        <v>2357</v>
      </c>
      <c r="R133" s="3" t="s">
        <v>2358</v>
      </c>
      <c r="S133" s="3"/>
      <c r="T133" s="3">
        <v>83843768351</v>
      </c>
      <c r="U133" s="3"/>
      <c r="V133" s="3"/>
      <c r="W133" s="3" t="s">
        <v>2369</v>
      </c>
      <c r="X133" s="3"/>
      <c r="Y133" s="3" t="s">
        <v>4075</v>
      </c>
      <c r="Z133" s="3">
        <v>1977</v>
      </c>
      <c r="AA133" s="3" t="s">
        <v>2402</v>
      </c>
      <c r="AB133" s="3" t="s">
        <v>2362</v>
      </c>
      <c r="AC133" s="3" t="s">
        <v>2375</v>
      </c>
      <c r="AD133" s="3">
        <v>3217112503770000</v>
      </c>
      <c r="AE133" s="3" t="s">
        <v>2894</v>
      </c>
      <c r="AF133" s="3">
        <v>1977</v>
      </c>
      <c r="AG133" s="3" t="s">
        <v>2361</v>
      </c>
      <c r="AH133" s="3" t="s">
        <v>2365</v>
      </c>
      <c r="AI133" s="3" t="s">
        <v>2366</v>
      </c>
      <c r="AJ133" s="3">
        <v>3217114101770080</v>
      </c>
      <c r="AK133" s="3" t="s">
        <v>4605</v>
      </c>
      <c r="AL133" s="3">
        <v>1974</v>
      </c>
      <c r="AM133" s="3" t="s">
        <v>2361</v>
      </c>
      <c r="AN133" s="3" t="s">
        <v>4606</v>
      </c>
      <c r="AO133" s="3"/>
      <c r="AP133" s="3">
        <v>3217114211740000</v>
      </c>
      <c r="AQ133" s="3" t="s">
        <v>5149</v>
      </c>
      <c r="AR133" s="3"/>
      <c r="AS133" s="3"/>
      <c r="AT133" s="3" t="s">
        <v>2359</v>
      </c>
      <c r="AU133" s="3"/>
      <c r="AV133" s="3">
        <v>1</v>
      </c>
      <c r="AW133" s="3"/>
      <c r="AX133" s="3"/>
      <c r="AY133" s="3"/>
      <c r="AZ133" s="3"/>
      <c r="BA133" s="3"/>
      <c r="BB133" s="3" t="s">
        <v>2369</v>
      </c>
      <c r="BC133" s="3" t="s">
        <v>2868</v>
      </c>
      <c r="BD133" s="3" t="s">
        <v>2371</v>
      </c>
      <c r="BE133" s="3" t="s">
        <v>2691</v>
      </c>
      <c r="BF133" s="3">
        <v>1</v>
      </c>
      <c r="BG133" s="3">
        <v>-6.9743000000000004</v>
      </c>
      <c r="BH133" s="3">
        <v>107.43559999999999</v>
      </c>
      <c r="BI133" s="3"/>
      <c r="BJ133" s="3">
        <v>35</v>
      </c>
      <c r="BK133" s="3">
        <v>138</v>
      </c>
      <c r="BL133" s="3">
        <v>0</v>
      </c>
      <c r="BM133" s="3">
        <v>0</v>
      </c>
      <c r="BN133" s="3">
        <v>1</v>
      </c>
    </row>
    <row r="134" spans="1:66" s="219" customFormat="1" hidden="1" x14ac:dyDescent="0.3">
      <c r="A134" s="54">
        <v>128</v>
      </c>
      <c r="B134" s="54" t="s">
        <v>1720</v>
      </c>
      <c r="C134" s="54" t="s">
        <v>2195</v>
      </c>
      <c r="D134" s="54" t="s">
        <v>53</v>
      </c>
      <c r="E134" s="54">
        <v>3091867351</v>
      </c>
      <c r="F134" s="54" t="s">
        <v>2373</v>
      </c>
      <c r="G134" s="108">
        <v>40067</v>
      </c>
      <c r="H134" s="54">
        <v>3217115109090000</v>
      </c>
      <c r="I134" s="54" t="s">
        <v>2353</v>
      </c>
      <c r="J134" s="54" t="s">
        <v>2810</v>
      </c>
      <c r="K134" s="54">
        <v>1</v>
      </c>
      <c r="L134" s="54">
        <v>5</v>
      </c>
      <c r="M134" s="54"/>
      <c r="N134" s="54" t="s">
        <v>2425</v>
      </c>
      <c r="O134" s="54" t="s">
        <v>2426</v>
      </c>
      <c r="P134" s="54">
        <v>40562</v>
      </c>
      <c r="Q134" s="54" t="s">
        <v>2357</v>
      </c>
      <c r="R134" s="54" t="s">
        <v>2358</v>
      </c>
      <c r="S134" s="54"/>
      <c r="T134" s="54"/>
      <c r="U134" s="54"/>
      <c r="V134" s="54"/>
      <c r="W134" s="54" t="s">
        <v>2359</v>
      </c>
      <c r="X134" s="54"/>
      <c r="Y134" s="54" t="s">
        <v>4607</v>
      </c>
      <c r="Z134" s="54">
        <v>1974</v>
      </c>
      <c r="AA134" s="54" t="s">
        <v>2361</v>
      </c>
      <c r="AB134" s="54" t="s">
        <v>2362</v>
      </c>
      <c r="AC134" s="54" t="s">
        <v>2363</v>
      </c>
      <c r="AD134" s="54">
        <v>3217111608740010</v>
      </c>
      <c r="AE134" s="54" t="s">
        <v>2811</v>
      </c>
      <c r="AF134" s="54">
        <v>1979</v>
      </c>
      <c r="AG134" s="54" t="s">
        <v>2361</v>
      </c>
      <c r="AH134" s="54" t="s">
        <v>2365</v>
      </c>
      <c r="AI134" s="54" t="s">
        <v>2366</v>
      </c>
      <c r="AJ134" s="54">
        <v>3217114507790030</v>
      </c>
      <c r="AK134" s="54"/>
      <c r="AL134" s="54"/>
      <c r="AM134" s="54"/>
      <c r="AN134" s="54"/>
      <c r="AO134" s="54"/>
      <c r="AP134" s="54"/>
      <c r="AQ134" s="54" t="s">
        <v>8179</v>
      </c>
      <c r="AR134" s="54"/>
      <c r="AS134" s="54"/>
      <c r="AT134" s="54" t="s">
        <v>2369</v>
      </c>
      <c r="AU134" s="54"/>
      <c r="AV134" s="54">
        <v>1</v>
      </c>
      <c r="AW134" s="54"/>
      <c r="AX134" s="54" t="s">
        <v>4608</v>
      </c>
      <c r="AY134" s="54"/>
      <c r="AZ134" s="54"/>
      <c r="BA134" s="54"/>
      <c r="BB134" s="54" t="s">
        <v>2369</v>
      </c>
      <c r="BC134" s="54"/>
      <c r="BD134" s="54" t="s">
        <v>2371</v>
      </c>
      <c r="BE134" s="54" t="s">
        <v>2697</v>
      </c>
      <c r="BF134" s="54">
        <v>1</v>
      </c>
      <c r="BG134" s="54">
        <v>-6.9625000000000004</v>
      </c>
      <c r="BH134" s="54">
        <v>107.4346</v>
      </c>
      <c r="BI134" s="54">
        <v>3217110505080020</v>
      </c>
      <c r="BJ134" s="54">
        <v>46</v>
      </c>
      <c r="BK134" s="54">
        <v>143</v>
      </c>
      <c r="BL134" s="54">
        <v>57</v>
      </c>
      <c r="BM134" s="54">
        <v>1</v>
      </c>
      <c r="BN134" s="54">
        <v>1</v>
      </c>
    </row>
    <row r="135" spans="1:66" s="219" customFormat="1" hidden="1" x14ac:dyDescent="0.3">
      <c r="A135" s="54">
        <v>129</v>
      </c>
      <c r="B135" s="54" t="s">
        <v>1715</v>
      </c>
      <c r="C135" s="54" t="s">
        <v>2196</v>
      </c>
      <c r="D135" s="54" t="s">
        <v>53</v>
      </c>
      <c r="E135" s="54">
        <v>3098050727</v>
      </c>
      <c r="F135" s="54" t="s">
        <v>2373</v>
      </c>
      <c r="G135" s="108">
        <v>40468</v>
      </c>
      <c r="H135" s="54">
        <v>3217115510090000</v>
      </c>
      <c r="I135" s="54" t="s">
        <v>2353</v>
      </c>
      <c r="J135" s="54" t="s">
        <v>2616</v>
      </c>
      <c r="K135" s="54">
        <v>3</v>
      </c>
      <c r="L135" s="54">
        <v>6</v>
      </c>
      <c r="M135" s="54"/>
      <c r="N135" s="54" t="s">
        <v>2617</v>
      </c>
      <c r="O135" s="54" t="s">
        <v>2426</v>
      </c>
      <c r="P135" s="54">
        <v>40562</v>
      </c>
      <c r="Q135" s="54" t="s">
        <v>2357</v>
      </c>
      <c r="R135" s="54" t="s">
        <v>2358</v>
      </c>
      <c r="S135" s="54"/>
      <c r="T135" s="54"/>
      <c r="U135" s="54"/>
      <c r="V135" s="54"/>
      <c r="W135" s="54" t="s">
        <v>2359</v>
      </c>
      <c r="X135" s="54"/>
      <c r="Y135" s="54" t="s">
        <v>4609</v>
      </c>
      <c r="Z135" s="54">
        <v>1971</v>
      </c>
      <c r="AA135" s="54" t="s">
        <v>2361</v>
      </c>
      <c r="AB135" s="54" t="s">
        <v>2362</v>
      </c>
      <c r="AC135" s="54" t="s">
        <v>2363</v>
      </c>
      <c r="AD135" s="54">
        <v>3217110809710000</v>
      </c>
      <c r="AE135" s="54" t="s">
        <v>2812</v>
      </c>
      <c r="AF135" s="54">
        <v>1978</v>
      </c>
      <c r="AG135" s="54" t="s">
        <v>2361</v>
      </c>
      <c r="AH135" s="54" t="s">
        <v>2365</v>
      </c>
      <c r="AI135" s="54" t="s">
        <v>2366</v>
      </c>
      <c r="AJ135" s="54">
        <v>3217114511780000</v>
      </c>
      <c r="AK135" s="54"/>
      <c r="AL135" s="54"/>
      <c r="AM135" s="54"/>
      <c r="AN135" s="54"/>
      <c r="AO135" s="54"/>
      <c r="AP135" s="54"/>
      <c r="AQ135" s="54" t="s">
        <v>8179</v>
      </c>
      <c r="AR135" s="54"/>
      <c r="AS135" s="54"/>
      <c r="AT135" s="54" t="s">
        <v>2369</v>
      </c>
      <c r="AU135" s="54"/>
      <c r="AV135" s="54">
        <v>1</v>
      </c>
      <c r="AW135" s="54"/>
      <c r="AX135" s="54" t="s">
        <v>4610</v>
      </c>
      <c r="AY135" s="54"/>
      <c r="AZ135" s="54"/>
      <c r="BA135" s="54"/>
      <c r="BB135" s="54" t="s">
        <v>2369</v>
      </c>
      <c r="BC135" s="54"/>
      <c r="BD135" s="54" t="s">
        <v>2371</v>
      </c>
      <c r="BE135" s="54" t="s">
        <v>2669</v>
      </c>
      <c r="BF135" s="54">
        <v>1</v>
      </c>
      <c r="BG135" s="54">
        <v>-6.9625000000000004</v>
      </c>
      <c r="BH135" s="54">
        <v>107.4346</v>
      </c>
      <c r="BI135" s="54">
        <v>3217112102060020</v>
      </c>
      <c r="BJ135" s="54">
        <v>42</v>
      </c>
      <c r="BK135" s="54">
        <v>138</v>
      </c>
      <c r="BL135" s="54">
        <v>57</v>
      </c>
      <c r="BM135" s="54">
        <v>1</v>
      </c>
      <c r="BN135" s="54">
        <v>2</v>
      </c>
    </row>
    <row r="136" spans="1:66" hidden="1" x14ac:dyDescent="0.3">
      <c r="A136" s="3">
        <v>130</v>
      </c>
      <c r="B136" s="3" t="s">
        <v>3824</v>
      </c>
      <c r="C136" s="3" t="s">
        <v>4331</v>
      </c>
      <c r="D136" s="3" t="s">
        <v>53</v>
      </c>
      <c r="E136" s="3">
        <v>102410706</v>
      </c>
      <c r="F136" s="3" t="s">
        <v>2377</v>
      </c>
      <c r="G136" s="157">
        <v>40401</v>
      </c>
      <c r="H136" s="3">
        <v>3217125108100000</v>
      </c>
      <c r="I136" s="3" t="s">
        <v>2353</v>
      </c>
      <c r="J136" s="3" t="s">
        <v>3706</v>
      </c>
      <c r="K136" s="3">
        <v>1</v>
      </c>
      <c r="L136" s="3">
        <v>9</v>
      </c>
      <c r="M136" s="3" t="s">
        <v>3706</v>
      </c>
      <c r="N136" s="3" t="s">
        <v>4527</v>
      </c>
      <c r="O136" s="3" t="s">
        <v>2356</v>
      </c>
      <c r="P136" s="3">
        <v>40564</v>
      </c>
      <c r="Q136" s="3" t="s">
        <v>2357</v>
      </c>
      <c r="R136" s="3" t="s">
        <v>2374</v>
      </c>
      <c r="S136" s="3"/>
      <c r="T136" s="3">
        <v>83843034246</v>
      </c>
      <c r="U136" s="3"/>
      <c r="V136" s="3"/>
      <c r="W136" s="3" t="s">
        <v>2359</v>
      </c>
      <c r="X136" s="3"/>
      <c r="Y136" s="3" t="s">
        <v>3975</v>
      </c>
      <c r="Z136" s="3">
        <v>1982</v>
      </c>
      <c r="AA136" s="3" t="s">
        <v>2402</v>
      </c>
      <c r="AB136" s="3" t="s">
        <v>2362</v>
      </c>
      <c r="AC136" s="3" t="s">
        <v>2363</v>
      </c>
      <c r="AD136" s="3">
        <v>3217121010820050</v>
      </c>
      <c r="AE136" s="3" t="s">
        <v>3976</v>
      </c>
      <c r="AF136" s="3">
        <v>1989</v>
      </c>
      <c r="AG136" s="3" t="s">
        <v>2402</v>
      </c>
      <c r="AH136" s="3" t="s">
        <v>2365</v>
      </c>
      <c r="AI136" s="3" t="s">
        <v>2366</v>
      </c>
      <c r="AJ136" s="3">
        <v>3217126102890000</v>
      </c>
      <c r="AK136" s="3"/>
      <c r="AL136" s="3"/>
      <c r="AM136" s="3" t="s">
        <v>2367</v>
      </c>
      <c r="AN136" s="3"/>
      <c r="AO136" s="3"/>
      <c r="AP136" s="3"/>
      <c r="AQ136" s="3" t="s">
        <v>5152</v>
      </c>
      <c r="AR136" s="3"/>
      <c r="AS136" s="3"/>
      <c r="AT136" s="3" t="s">
        <v>2369</v>
      </c>
      <c r="AU136" s="3"/>
      <c r="AV136" s="3">
        <v>0</v>
      </c>
      <c r="AW136" s="3">
        <v>1946</v>
      </c>
      <c r="AX136" s="3" t="s">
        <v>3974</v>
      </c>
      <c r="AY136" s="3"/>
      <c r="AZ136" s="3"/>
      <c r="BA136" s="3"/>
      <c r="BB136" s="3" t="s">
        <v>2369</v>
      </c>
      <c r="BC136" s="3"/>
      <c r="BD136" s="3" t="s">
        <v>2371</v>
      </c>
      <c r="BE136" s="3" t="s">
        <v>2937</v>
      </c>
      <c r="BF136" s="3">
        <v>1</v>
      </c>
      <c r="BG136" s="3">
        <v>-6.9486999999999997</v>
      </c>
      <c r="BH136" s="3">
        <v>107.3831</v>
      </c>
      <c r="BI136" s="3">
        <v>3217122711120020</v>
      </c>
      <c r="BJ136" s="3">
        <v>39</v>
      </c>
      <c r="BK136" s="3">
        <v>137</v>
      </c>
      <c r="BL136" s="3">
        <v>45</v>
      </c>
      <c r="BM136" s="3">
        <v>1</v>
      </c>
      <c r="BN136" s="3">
        <v>1</v>
      </c>
    </row>
    <row r="137" spans="1:66" hidden="1" x14ac:dyDescent="0.3">
      <c r="A137" s="3">
        <v>131</v>
      </c>
      <c r="B137" s="3" t="s">
        <v>4611</v>
      </c>
      <c r="C137" s="3" t="s">
        <v>4235</v>
      </c>
      <c r="D137" s="3" t="s">
        <v>52</v>
      </c>
      <c r="E137" s="3">
        <v>125070261</v>
      </c>
      <c r="F137" s="3" t="s">
        <v>2377</v>
      </c>
      <c r="G137" s="157">
        <v>40611</v>
      </c>
      <c r="H137" s="3">
        <v>3217120903110000</v>
      </c>
      <c r="I137" s="3" t="s">
        <v>2353</v>
      </c>
      <c r="J137" s="3" t="s">
        <v>4612</v>
      </c>
      <c r="K137" s="3">
        <v>1</v>
      </c>
      <c r="L137" s="3">
        <v>7</v>
      </c>
      <c r="M137" s="3">
        <v>3</v>
      </c>
      <c r="N137" s="3" t="s">
        <v>4557</v>
      </c>
      <c r="O137" s="3" t="s">
        <v>2356</v>
      </c>
      <c r="P137" s="3">
        <v>40564</v>
      </c>
      <c r="Q137" s="3" t="s">
        <v>2357</v>
      </c>
      <c r="R137" s="3" t="s">
        <v>2358</v>
      </c>
      <c r="S137" s="3"/>
      <c r="T137" s="3">
        <v>81299070904</v>
      </c>
      <c r="U137" s="3"/>
      <c r="V137" s="3"/>
      <c r="W137" s="3" t="s">
        <v>2359</v>
      </c>
      <c r="X137" s="3"/>
      <c r="Y137" s="3" t="s">
        <v>4613</v>
      </c>
      <c r="Z137" s="3">
        <v>1988</v>
      </c>
      <c r="AA137" s="3" t="s">
        <v>2390</v>
      </c>
      <c r="AB137" s="3" t="s">
        <v>2362</v>
      </c>
      <c r="AC137" s="3" t="s">
        <v>2403</v>
      </c>
      <c r="AD137" s="3">
        <v>3217121804880010</v>
      </c>
      <c r="AE137" s="3" t="s">
        <v>4614</v>
      </c>
      <c r="AF137" s="3">
        <v>1985</v>
      </c>
      <c r="AG137" s="3" t="s">
        <v>2390</v>
      </c>
      <c r="AH137" s="3" t="s">
        <v>2365</v>
      </c>
      <c r="AI137" s="3" t="s">
        <v>2366</v>
      </c>
      <c r="AJ137" s="3">
        <v>3217124406850020</v>
      </c>
      <c r="AK137" s="3"/>
      <c r="AL137" s="3"/>
      <c r="AM137" s="3" t="s">
        <v>2367</v>
      </c>
      <c r="AN137" s="3"/>
      <c r="AO137" s="3"/>
      <c r="AP137" s="3"/>
      <c r="AQ137" s="3" t="s">
        <v>5146</v>
      </c>
      <c r="AR137" s="3"/>
      <c r="AS137" s="3"/>
      <c r="AT137" s="3" t="s">
        <v>2359</v>
      </c>
      <c r="AU137" s="3"/>
      <c r="AV137" s="3">
        <v>0</v>
      </c>
      <c r="AW137" s="3"/>
      <c r="AX137" s="3" t="s">
        <v>4615</v>
      </c>
      <c r="AY137" s="3"/>
      <c r="AZ137" s="3"/>
      <c r="BA137" s="3"/>
      <c r="BB137" s="3" t="s">
        <v>2369</v>
      </c>
      <c r="BC137" s="3" t="s">
        <v>2370</v>
      </c>
      <c r="BD137" s="3" t="s">
        <v>2371</v>
      </c>
      <c r="BE137" s="3" t="s">
        <v>2880</v>
      </c>
      <c r="BF137" s="3">
        <v>1</v>
      </c>
      <c r="BG137" s="3">
        <v>-6.9526000000000003</v>
      </c>
      <c r="BH137" s="3">
        <v>107.4027</v>
      </c>
      <c r="BI137" s="3">
        <v>3217120409120080</v>
      </c>
      <c r="BJ137" s="3">
        <v>50</v>
      </c>
      <c r="BK137" s="3">
        <v>149</v>
      </c>
      <c r="BL137" s="3">
        <v>58</v>
      </c>
      <c r="BM137" s="3">
        <v>1</v>
      </c>
      <c r="BN137" s="3">
        <v>2</v>
      </c>
    </row>
    <row r="138" spans="1:66" hidden="1" x14ac:dyDescent="0.3">
      <c r="A138" s="3">
        <v>132</v>
      </c>
      <c r="B138" s="3" t="s">
        <v>4616</v>
      </c>
      <c r="C138" s="3" t="s">
        <v>4364</v>
      </c>
      <c r="D138" s="3" t="s">
        <v>52</v>
      </c>
      <c r="E138" s="3">
        <v>115725896</v>
      </c>
      <c r="F138" s="3" t="s">
        <v>2377</v>
      </c>
      <c r="G138" s="157">
        <v>40621</v>
      </c>
      <c r="H138" s="3">
        <v>3217121903110000</v>
      </c>
      <c r="I138" s="3" t="s">
        <v>2353</v>
      </c>
      <c r="J138" s="3" t="s">
        <v>2544</v>
      </c>
      <c r="K138" s="3">
        <v>2</v>
      </c>
      <c r="L138" s="3">
        <v>8</v>
      </c>
      <c r="M138" s="3"/>
      <c r="N138" s="3" t="s">
        <v>4475</v>
      </c>
      <c r="O138" s="3" t="s">
        <v>2356</v>
      </c>
      <c r="P138" s="3">
        <v>40564</v>
      </c>
      <c r="Q138" s="3" t="s">
        <v>2357</v>
      </c>
      <c r="R138" s="3" t="s">
        <v>2358</v>
      </c>
      <c r="S138" s="3"/>
      <c r="T138" s="3">
        <v>83149071531</v>
      </c>
      <c r="U138" s="3"/>
      <c r="V138" s="3"/>
      <c r="W138" s="3" t="s">
        <v>2359</v>
      </c>
      <c r="X138" s="3"/>
      <c r="Y138" s="3" t="s">
        <v>4010</v>
      </c>
      <c r="Z138" s="3">
        <v>1982</v>
      </c>
      <c r="AA138" s="3" t="s">
        <v>2361</v>
      </c>
      <c r="AB138" s="3" t="s">
        <v>2362</v>
      </c>
      <c r="AC138" s="3" t="s">
        <v>2403</v>
      </c>
      <c r="AD138" s="3">
        <v>3217120809820010</v>
      </c>
      <c r="AE138" s="3" t="s">
        <v>3669</v>
      </c>
      <c r="AF138" s="3">
        <v>1981</v>
      </c>
      <c r="AG138" s="3" t="s">
        <v>2390</v>
      </c>
      <c r="AH138" s="3" t="s">
        <v>2365</v>
      </c>
      <c r="AI138" s="3" t="s">
        <v>2366</v>
      </c>
      <c r="AJ138" s="3">
        <v>3217127011810000</v>
      </c>
      <c r="AK138" s="3"/>
      <c r="AL138" s="3"/>
      <c r="AM138" s="3" t="s">
        <v>2367</v>
      </c>
      <c r="AN138" s="3"/>
      <c r="AO138" s="3"/>
      <c r="AP138" s="3"/>
      <c r="AQ138" s="3" t="s">
        <v>5151</v>
      </c>
      <c r="AR138" s="3"/>
      <c r="AS138" s="3"/>
      <c r="AT138" s="3" t="s">
        <v>2359</v>
      </c>
      <c r="AU138" s="3"/>
      <c r="AV138" s="3">
        <v>0</v>
      </c>
      <c r="AW138" s="3"/>
      <c r="AX138" s="3" t="s">
        <v>4617</v>
      </c>
      <c r="AY138" s="3"/>
      <c r="AZ138" s="3"/>
      <c r="BA138" s="3"/>
      <c r="BB138" s="3" t="s">
        <v>2369</v>
      </c>
      <c r="BC138" s="3" t="s">
        <v>2370</v>
      </c>
      <c r="BD138" s="3" t="s">
        <v>2371</v>
      </c>
      <c r="BE138" s="3" t="s">
        <v>2477</v>
      </c>
      <c r="BF138" s="3">
        <v>2</v>
      </c>
      <c r="BG138" s="3">
        <v>-6.9661</v>
      </c>
      <c r="BH138" s="3">
        <v>107.4057</v>
      </c>
      <c r="BI138" s="3">
        <v>3217121807120020</v>
      </c>
      <c r="BJ138" s="3">
        <v>47</v>
      </c>
      <c r="BK138" s="3">
        <v>138</v>
      </c>
      <c r="BL138" s="3">
        <v>58</v>
      </c>
      <c r="BM138" s="3">
        <v>1</v>
      </c>
      <c r="BN138" s="3">
        <v>3</v>
      </c>
    </row>
    <row r="139" spans="1:66" s="219" customFormat="1" hidden="1" x14ac:dyDescent="0.3">
      <c r="A139" s="54">
        <v>133</v>
      </c>
      <c r="B139" s="54" t="s">
        <v>1793</v>
      </c>
      <c r="C139" s="54" t="s">
        <v>1431</v>
      </c>
      <c r="D139" s="54" t="s">
        <v>52</v>
      </c>
      <c r="E139" s="54">
        <v>89543426</v>
      </c>
      <c r="F139" s="54" t="s">
        <v>2352</v>
      </c>
      <c r="G139" s="108">
        <v>39808</v>
      </c>
      <c r="H139" s="54">
        <v>3217112612080000</v>
      </c>
      <c r="I139" s="54" t="s">
        <v>2353</v>
      </c>
      <c r="J139" s="54" t="s">
        <v>3245</v>
      </c>
      <c r="K139" s="54">
        <v>4</v>
      </c>
      <c r="L139" s="54">
        <v>1</v>
      </c>
      <c r="M139" s="54"/>
      <c r="N139" s="54" t="s">
        <v>3105</v>
      </c>
      <c r="O139" s="54" t="s">
        <v>2426</v>
      </c>
      <c r="P139" s="54">
        <v>40562</v>
      </c>
      <c r="Q139" s="54" t="s">
        <v>2357</v>
      </c>
      <c r="R139" s="54" t="s">
        <v>2358</v>
      </c>
      <c r="S139" s="54"/>
      <c r="T139" s="54">
        <v>83829821410</v>
      </c>
      <c r="U139" s="54"/>
      <c r="V139" s="54"/>
      <c r="W139" s="54" t="s">
        <v>2359</v>
      </c>
      <c r="X139" s="54"/>
      <c r="Y139" s="54" t="s">
        <v>3252</v>
      </c>
      <c r="Z139" s="54">
        <v>1981</v>
      </c>
      <c r="AA139" s="54" t="s">
        <v>2390</v>
      </c>
      <c r="AB139" s="54" t="s">
        <v>2362</v>
      </c>
      <c r="AC139" s="54" t="s">
        <v>2363</v>
      </c>
      <c r="AD139" s="54">
        <v>3217110803810010</v>
      </c>
      <c r="AE139" s="54" t="s">
        <v>3253</v>
      </c>
      <c r="AF139" s="54">
        <v>1989</v>
      </c>
      <c r="AG139" s="54" t="s">
        <v>2402</v>
      </c>
      <c r="AH139" s="54" t="s">
        <v>2365</v>
      </c>
      <c r="AI139" s="54" t="s">
        <v>2366</v>
      </c>
      <c r="AJ139" s="54">
        <v>3217115409890010</v>
      </c>
      <c r="AK139" s="54"/>
      <c r="AL139" s="54"/>
      <c r="AM139" s="54"/>
      <c r="AN139" s="54"/>
      <c r="AO139" s="54"/>
      <c r="AP139" s="54"/>
      <c r="AQ139" s="54" t="s">
        <v>5147</v>
      </c>
      <c r="AR139" s="54"/>
      <c r="AS139" s="54"/>
      <c r="AT139" s="54" t="s">
        <v>2359</v>
      </c>
      <c r="AU139" s="54"/>
      <c r="AV139" s="54">
        <v>0</v>
      </c>
      <c r="AW139" s="54"/>
      <c r="AX139" s="54" t="s">
        <v>3254</v>
      </c>
      <c r="AY139" s="54"/>
      <c r="AZ139" s="54"/>
      <c r="BA139" s="54"/>
      <c r="BB139" s="54" t="s">
        <v>2369</v>
      </c>
      <c r="BC139" s="54" t="s">
        <v>2370</v>
      </c>
      <c r="BD139" s="54" t="s">
        <v>2371</v>
      </c>
      <c r="BE139" s="54"/>
      <c r="BF139" s="54">
        <v>1</v>
      </c>
      <c r="BG139" s="54">
        <v>-6.9668999999999999</v>
      </c>
      <c r="BH139" s="54">
        <v>107.4242</v>
      </c>
      <c r="BI139" s="54"/>
      <c r="BJ139" s="54">
        <v>41</v>
      </c>
      <c r="BK139" s="54">
        <v>114</v>
      </c>
      <c r="BL139" s="54">
        <v>58</v>
      </c>
      <c r="BM139" s="54">
        <v>1</v>
      </c>
      <c r="BN139" s="54">
        <v>1</v>
      </c>
    </row>
    <row r="140" spans="1:66" s="219" customFormat="1" hidden="1" x14ac:dyDescent="0.3">
      <c r="A140" s="54">
        <v>134</v>
      </c>
      <c r="B140" s="54" t="s">
        <v>57</v>
      </c>
      <c r="C140" s="54" t="s">
        <v>1457</v>
      </c>
      <c r="D140" s="54" t="s">
        <v>53</v>
      </c>
      <c r="E140" s="54">
        <v>77152148</v>
      </c>
      <c r="F140" s="54" t="s">
        <v>2446</v>
      </c>
      <c r="G140" s="108">
        <v>39427</v>
      </c>
      <c r="H140" s="54">
        <v>3217125112070000</v>
      </c>
      <c r="I140" s="54" t="s">
        <v>2353</v>
      </c>
      <c r="J140" s="54" t="s">
        <v>3171</v>
      </c>
      <c r="K140" s="54">
        <v>2</v>
      </c>
      <c r="L140" s="54">
        <v>4</v>
      </c>
      <c r="M140" s="54"/>
      <c r="N140" s="54" t="s">
        <v>2513</v>
      </c>
      <c r="O140" s="54" t="s">
        <v>2356</v>
      </c>
      <c r="P140" s="54">
        <v>40564</v>
      </c>
      <c r="Q140" s="54" t="s">
        <v>2357</v>
      </c>
      <c r="R140" s="54" t="s">
        <v>2358</v>
      </c>
      <c r="S140" s="54"/>
      <c r="T140" s="54">
        <v>82122934481</v>
      </c>
      <c r="U140" s="54"/>
      <c r="V140" s="54"/>
      <c r="W140" s="54" t="s">
        <v>2369</v>
      </c>
      <c r="X140" s="54" t="s">
        <v>3255</v>
      </c>
      <c r="Y140" s="54" t="s">
        <v>3256</v>
      </c>
      <c r="Z140" s="54">
        <v>1980</v>
      </c>
      <c r="AA140" s="54" t="s">
        <v>2361</v>
      </c>
      <c r="AB140" s="54" t="s">
        <v>2362</v>
      </c>
      <c r="AC140" s="54" t="s">
        <v>2363</v>
      </c>
      <c r="AD140" s="54">
        <v>3217122805800000</v>
      </c>
      <c r="AE140" s="54" t="s">
        <v>3257</v>
      </c>
      <c r="AF140" s="54">
        <v>0</v>
      </c>
      <c r="AG140" s="54" t="s">
        <v>2361</v>
      </c>
      <c r="AH140" s="54" t="s">
        <v>2365</v>
      </c>
      <c r="AI140" s="54" t="s">
        <v>2366</v>
      </c>
      <c r="AJ140" s="54">
        <v>3217124505820020</v>
      </c>
      <c r="AK140" s="54"/>
      <c r="AL140" s="54"/>
      <c r="AM140" s="54"/>
      <c r="AN140" s="54"/>
      <c r="AO140" s="54"/>
      <c r="AP140" s="54"/>
      <c r="AQ140" s="54" t="s">
        <v>5147</v>
      </c>
      <c r="AR140" s="54"/>
      <c r="AS140" s="54"/>
      <c r="AT140" s="54" t="s">
        <v>2359</v>
      </c>
      <c r="AU140" s="54"/>
      <c r="AV140" s="54">
        <v>0</v>
      </c>
      <c r="AW140" s="54"/>
      <c r="AX140" s="54" t="s">
        <v>3258</v>
      </c>
      <c r="AY140" s="54"/>
      <c r="AZ140" s="54"/>
      <c r="BA140" s="54"/>
      <c r="BB140" s="54" t="s">
        <v>2369</v>
      </c>
      <c r="BC140" s="54" t="s">
        <v>2443</v>
      </c>
      <c r="BD140" s="54" t="s">
        <v>2371</v>
      </c>
      <c r="BE140" s="54"/>
      <c r="BF140" s="54">
        <v>1</v>
      </c>
      <c r="BG140" s="54">
        <v>-6.9676999999999998</v>
      </c>
      <c r="BH140" s="54">
        <v>107.4117</v>
      </c>
      <c r="BI140" s="54">
        <v>3217122606120040</v>
      </c>
      <c r="BJ140" s="54">
        <v>44</v>
      </c>
      <c r="BK140" s="54">
        <v>147</v>
      </c>
      <c r="BL140" s="54">
        <v>58</v>
      </c>
      <c r="BM140" s="54">
        <v>2</v>
      </c>
      <c r="BN140" s="54">
        <v>1</v>
      </c>
    </row>
    <row r="141" spans="1:66" s="219" customFormat="1" hidden="1" x14ac:dyDescent="0.3">
      <c r="A141" s="54">
        <v>135</v>
      </c>
      <c r="B141" s="54" t="s">
        <v>2423</v>
      </c>
      <c r="C141" s="54" t="s">
        <v>2104</v>
      </c>
      <c r="D141" s="54" t="s">
        <v>53</v>
      </c>
      <c r="E141" s="54">
        <v>98946291</v>
      </c>
      <c r="F141" s="54" t="s">
        <v>2373</v>
      </c>
      <c r="G141" s="108">
        <v>39972</v>
      </c>
      <c r="H141" s="54">
        <v>3217114806090000</v>
      </c>
      <c r="I141" s="54" t="s">
        <v>2353</v>
      </c>
      <c r="J141" s="54" t="s">
        <v>2424</v>
      </c>
      <c r="K141" s="54">
        <v>2</v>
      </c>
      <c r="L141" s="54">
        <v>8</v>
      </c>
      <c r="M141" s="54" t="s">
        <v>2424</v>
      </c>
      <c r="N141" s="54" t="s">
        <v>2425</v>
      </c>
      <c r="O141" s="54" t="s">
        <v>2426</v>
      </c>
      <c r="P141" s="54">
        <v>40562</v>
      </c>
      <c r="Q141" s="54" t="s">
        <v>2357</v>
      </c>
      <c r="R141" s="54" t="s">
        <v>2358</v>
      </c>
      <c r="S141" s="54"/>
      <c r="T141" s="54">
        <v>85716190225</v>
      </c>
      <c r="U141" s="54"/>
      <c r="V141" s="54"/>
      <c r="W141" s="54" t="s">
        <v>2359</v>
      </c>
      <c r="X141" s="54"/>
      <c r="Y141" s="54" t="s">
        <v>2427</v>
      </c>
      <c r="Z141" s="54">
        <v>1978</v>
      </c>
      <c r="AA141" s="54" t="s">
        <v>2361</v>
      </c>
      <c r="AB141" s="54" t="s">
        <v>2362</v>
      </c>
      <c r="AC141" s="54" t="s">
        <v>2403</v>
      </c>
      <c r="AD141" s="54"/>
      <c r="AE141" s="54" t="s">
        <v>2428</v>
      </c>
      <c r="AF141" s="54">
        <v>1980</v>
      </c>
      <c r="AG141" s="54" t="s">
        <v>2367</v>
      </c>
      <c r="AH141" s="54" t="s">
        <v>2365</v>
      </c>
      <c r="AI141" s="54" t="s">
        <v>2366</v>
      </c>
      <c r="AJ141" s="54"/>
      <c r="AK141" s="54"/>
      <c r="AL141" s="54"/>
      <c r="AM141" s="54" t="s">
        <v>2367</v>
      </c>
      <c r="AN141" s="54"/>
      <c r="AO141" s="54"/>
      <c r="AP141" s="54"/>
      <c r="AQ141" s="54" t="s">
        <v>8177</v>
      </c>
      <c r="AR141" s="54"/>
      <c r="AS141" s="54"/>
      <c r="AT141" s="54" t="s">
        <v>2359</v>
      </c>
      <c r="AU141" s="54"/>
      <c r="AV141" s="54">
        <v>0</v>
      </c>
      <c r="AW141" s="54"/>
      <c r="AX141" s="54" t="s">
        <v>2429</v>
      </c>
      <c r="AY141" s="54"/>
      <c r="AZ141" s="54"/>
      <c r="BA141" s="54"/>
      <c r="BB141" s="54" t="s">
        <v>2369</v>
      </c>
      <c r="BC141" s="54" t="s">
        <v>2370</v>
      </c>
      <c r="BD141" s="54" t="s">
        <v>2371</v>
      </c>
      <c r="BE141" s="54" t="s">
        <v>2430</v>
      </c>
      <c r="BF141" s="54">
        <v>1</v>
      </c>
      <c r="BG141" s="54">
        <v>-6.9547999999999996</v>
      </c>
      <c r="BH141" s="54">
        <v>107.41589999999999</v>
      </c>
      <c r="BI141" s="54"/>
      <c r="BJ141" s="54">
        <v>42</v>
      </c>
      <c r="BK141" s="54">
        <v>139</v>
      </c>
      <c r="BL141" s="54">
        <v>0</v>
      </c>
      <c r="BM141" s="54">
        <v>0</v>
      </c>
      <c r="BN141" s="54">
        <v>0</v>
      </c>
    </row>
    <row r="142" spans="1:66" hidden="1" x14ac:dyDescent="0.3">
      <c r="A142" s="3">
        <v>136</v>
      </c>
      <c r="B142" s="3" t="s">
        <v>4618</v>
      </c>
      <c r="C142" s="3" t="s">
        <v>4365</v>
      </c>
      <c r="D142" s="3" t="s">
        <v>52</v>
      </c>
      <c r="E142" s="3">
        <v>108155364</v>
      </c>
      <c r="F142" s="3" t="s">
        <v>2446</v>
      </c>
      <c r="G142" s="157">
        <v>40262</v>
      </c>
      <c r="H142" s="3">
        <v>3217122503100000</v>
      </c>
      <c r="I142" s="3" t="s">
        <v>2353</v>
      </c>
      <c r="J142" s="3" t="s">
        <v>2805</v>
      </c>
      <c r="K142" s="3">
        <v>3</v>
      </c>
      <c r="L142" s="3">
        <v>7</v>
      </c>
      <c r="M142" s="3">
        <v>2</v>
      </c>
      <c r="N142" s="3" t="s">
        <v>4527</v>
      </c>
      <c r="O142" s="3" t="s">
        <v>2356</v>
      </c>
      <c r="P142" s="3">
        <v>40564</v>
      </c>
      <c r="Q142" s="3" t="s">
        <v>2357</v>
      </c>
      <c r="R142" s="3" t="s">
        <v>2358</v>
      </c>
      <c r="S142" s="3"/>
      <c r="T142" s="3">
        <v>83821519272</v>
      </c>
      <c r="U142" s="3"/>
      <c r="V142" s="3"/>
      <c r="W142" s="3" t="s">
        <v>2359</v>
      </c>
      <c r="X142" s="3"/>
      <c r="Y142" s="3" t="s">
        <v>4619</v>
      </c>
      <c r="Z142" s="3">
        <v>1973</v>
      </c>
      <c r="AA142" s="3" t="s">
        <v>2361</v>
      </c>
      <c r="AB142" s="3" t="s">
        <v>2362</v>
      </c>
      <c r="AC142" s="3" t="s">
        <v>2363</v>
      </c>
      <c r="AD142" s="3">
        <v>3217121011376010</v>
      </c>
      <c r="AE142" s="3" t="s">
        <v>4620</v>
      </c>
      <c r="AF142" s="3">
        <v>1982</v>
      </c>
      <c r="AG142" s="3" t="s">
        <v>2361</v>
      </c>
      <c r="AH142" s="3" t="s">
        <v>2365</v>
      </c>
      <c r="AI142" s="3" t="s">
        <v>2366</v>
      </c>
      <c r="AJ142" s="3">
        <v>3217124708820020</v>
      </c>
      <c r="AK142" s="3"/>
      <c r="AL142" s="3"/>
      <c r="AM142" s="3" t="s">
        <v>2367</v>
      </c>
      <c r="AN142" s="3"/>
      <c r="AO142" s="3"/>
      <c r="AP142" s="3"/>
      <c r="AQ142" s="3" t="s">
        <v>5151</v>
      </c>
      <c r="AR142" s="3"/>
      <c r="AS142" s="3"/>
      <c r="AT142" s="3" t="s">
        <v>2359</v>
      </c>
      <c r="AU142" s="3"/>
      <c r="AV142" s="3">
        <v>0</v>
      </c>
      <c r="AW142" s="3"/>
      <c r="AX142" s="3" t="s">
        <v>4042</v>
      </c>
      <c r="AY142" s="3"/>
      <c r="AZ142" s="3"/>
      <c r="BA142" s="3"/>
      <c r="BB142" s="3" t="s">
        <v>2359</v>
      </c>
      <c r="BC142" s="3"/>
      <c r="BD142" s="3" t="s">
        <v>2371</v>
      </c>
      <c r="BE142" s="3" t="s">
        <v>2413</v>
      </c>
      <c r="BF142" s="3">
        <v>1</v>
      </c>
      <c r="BG142" s="3">
        <v>-6.9580472240000004</v>
      </c>
      <c r="BH142" s="3">
        <v>107.378118</v>
      </c>
      <c r="BI142" s="3">
        <v>3217123110070100</v>
      </c>
      <c r="BJ142" s="3">
        <v>51</v>
      </c>
      <c r="BK142" s="3">
        <v>143</v>
      </c>
      <c r="BL142" s="3">
        <v>58</v>
      </c>
      <c r="BM142" s="3">
        <v>1</v>
      </c>
      <c r="BN142" s="3">
        <v>3</v>
      </c>
    </row>
    <row r="143" spans="1:66" s="219" customFormat="1" hidden="1" x14ac:dyDescent="0.3">
      <c r="A143" s="54">
        <v>137</v>
      </c>
      <c r="B143" s="54" t="s">
        <v>1730</v>
      </c>
      <c r="C143" s="54" t="s">
        <v>2224</v>
      </c>
      <c r="D143" s="54" t="s">
        <v>52</v>
      </c>
      <c r="E143" s="54">
        <v>98959561</v>
      </c>
      <c r="F143" s="54" t="s">
        <v>2377</v>
      </c>
      <c r="G143" s="108">
        <v>40101</v>
      </c>
      <c r="H143" s="54">
        <v>3217121510090000</v>
      </c>
      <c r="I143" s="54" t="s">
        <v>2353</v>
      </c>
      <c r="J143" s="54" t="s">
        <v>2648</v>
      </c>
      <c r="K143" s="54">
        <v>3</v>
      </c>
      <c r="L143" s="54">
        <v>10</v>
      </c>
      <c r="M143" s="54"/>
      <c r="N143" s="54" t="s">
        <v>2355</v>
      </c>
      <c r="O143" s="54" t="s">
        <v>2356</v>
      </c>
      <c r="P143" s="54">
        <v>40564</v>
      </c>
      <c r="Q143" s="54" t="s">
        <v>2357</v>
      </c>
      <c r="R143" s="54" t="s">
        <v>2358</v>
      </c>
      <c r="S143" s="54"/>
      <c r="T143" s="54">
        <v>83875754495</v>
      </c>
      <c r="U143" s="54"/>
      <c r="V143" s="54"/>
      <c r="W143" s="54" t="s">
        <v>2359</v>
      </c>
      <c r="X143" s="54"/>
      <c r="Y143" s="54" t="s">
        <v>2902</v>
      </c>
      <c r="Z143" s="54">
        <v>1982</v>
      </c>
      <c r="AA143" s="54" t="s">
        <v>2361</v>
      </c>
      <c r="AB143" s="54" t="s">
        <v>2362</v>
      </c>
      <c r="AC143" s="54" t="s">
        <v>2363</v>
      </c>
      <c r="AD143" s="54">
        <v>3217120609820010</v>
      </c>
      <c r="AE143" s="54" t="s">
        <v>2903</v>
      </c>
      <c r="AF143" s="54">
        <v>1980</v>
      </c>
      <c r="AG143" s="54" t="s">
        <v>2361</v>
      </c>
      <c r="AH143" s="54" t="s">
        <v>2365</v>
      </c>
      <c r="AI143" s="54" t="s">
        <v>2366</v>
      </c>
      <c r="AJ143" s="54">
        <v>3217124411800010</v>
      </c>
      <c r="AK143" s="54"/>
      <c r="AL143" s="54"/>
      <c r="AM143" s="54" t="s">
        <v>2367</v>
      </c>
      <c r="AN143" s="54"/>
      <c r="AO143" s="54"/>
      <c r="AP143" s="54"/>
      <c r="AQ143" s="54" t="s">
        <v>8178</v>
      </c>
      <c r="AR143" s="54"/>
      <c r="AS143" s="54"/>
      <c r="AT143" s="54" t="s">
        <v>2359</v>
      </c>
      <c r="AU143" s="54"/>
      <c r="AV143" s="54">
        <v>0</v>
      </c>
      <c r="AW143" s="54"/>
      <c r="AX143" s="54" t="s">
        <v>2904</v>
      </c>
      <c r="AY143" s="54"/>
      <c r="AZ143" s="54"/>
      <c r="BA143" s="54"/>
      <c r="BB143" s="54" t="s">
        <v>2369</v>
      </c>
      <c r="BC143" s="54" t="s">
        <v>2370</v>
      </c>
      <c r="BD143" s="54" t="s">
        <v>2371</v>
      </c>
      <c r="BE143" s="54" t="s">
        <v>2372</v>
      </c>
      <c r="BF143" s="54"/>
      <c r="BG143" s="54">
        <v>-6.9676999999999998</v>
      </c>
      <c r="BH143" s="54">
        <v>107.4117</v>
      </c>
      <c r="BI143" s="54"/>
      <c r="BJ143" s="54">
        <v>52</v>
      </c>
      <c r="BK143" s="54">
        <v>140</v>
      </c>
      <c r="BL143" s="54">
        <v>0</v>
      </c>
      <c r="BM143" s="54">
        <v>0</v>
      </c>
      <c r="BN143" s="54">
        <v>0</v>
      </c>
    </row>
    <row r="144" spans="1:66" hidden="1" x14ac:dyDescent="0.3">
      <c r="A144" s="3">
        <v>138</v>
      </c>
      <c r="B144" s="3" t="s">
        <v>4621</v>
      </c>
      <c r="C144" s="3" t="s">
        <v>4332</v>
      </c>
      <c r="D144" s="3" t="s">
        <v>53</v>
      </c>
      <c r="E144" s="3">
        <v>116860541</v>
      </c>
      <c r="F144" s="3" t="s">
        <v>2373</v>
      </c>
      <c r="G144" s="157">
        <v>40791</v>
      </c>
      <c r="H144" s="3">
        <v>3217124509110000</v>
      </c>
      <c r="I144" s="3" t="s">
        <v>2353</v>
      </c>
      <c r="J144" s="3" t="s">
        <v>4622</v>
      </c>
      <c r="K144" s="3">
        <v>2</v>
      </c>
      <c r="L144" s="3">
        <v>5</v>
      </c>
      <c r="M144" s="3"/>
      <c r="N144" s="3" t="s">
        <v>4475</v>
      </c>
      <c r="O144" s="3" t="s">
        <v>2356</v>
      </c>
      <c r="P144" s="3">
        <v>40764</v>
      </c>
      <c r="Q144" s="3" t="s">
        <v>2357</v>
      </c>
      <c r="R144" s="3" t="s">
        <v>2358</v>
      </c>
      <c r="S144" s="3"/>
      <c r="T144" s="3">
        <v>83824364978</v>
      </c>
      <c r="U144" s="3"/>
      <c r="V144" s="3"/>
      <c r="W144" s="3" t="s">
        <v>2359</v>
      </c>
      <c r="X144" s="3"/>
      <c r="Y144" s="3" t="s">
        <v>4623</v>
      </c>
      <c r="Z144" s="3">
        <v>1980</v>
      </c>
      <c r="AA144" s="3" t="s">
        <v>2361</v>
      </c>
      <c r="AB144" s="3" t="s">
        <v>2362</v>
      </c>
      <c r="AC144" s="3" t="s">
        <v>2363</v>
      </c>
      <c r="AD144" s="3">
        <v>3217121404800010</v>
      </c>
      <c r="AE144" s="3" t="s">
        <v>4624</v>
      </c>
      <c r="AF144" s="3">
        <v>1992</v>
      </c>
      <c r="AG144" s="3" t="s">
        <v>2361</v>
      </c>
      <c r="AH144" s="3" t="s">
        <v>2365</v>
      </c>
      <c r="AI144" s="3" t="s">
        <v>2366</v>
      </c>
      <c r="AJ144" s="3">
        <v>3217125008920000</v>
      </c>
      <c r="AK144" s="3"/>
      <c r="AL144" s="3"/>
      <c r="AM144" s="3" t="s">
        <v>2367</v>
      </c>
      <c r="AN144" s="3"/>
      <c r="AO144" s="3"/>
      <c r="AP144" s="3"/>
      <c r="AQ144" s="3" t="s">
        <v>5152</v>
      </c>
      <c r="AR144" s="3"/>
      <c r="AS144" s="3"/>
      <c r="AT144" s="3" t="s">
        <v>2359</v>
      </c>
      <c r="AU144" s="3"/>
      <c r="AV144" s="3">
        <v>0</v>
      </c>
      <c r="AW144" s="3"/>
      <c r="AX144" s="3" t="s">
        <v>4047</v>
      </c>
      <c r="AY144" s="3"/>
      <c r="AZ144" s="3"/>
      <c r="BA144" s="3"/>
      <c r="BB144" s="3" t="s">
        <v>2369</v>
      </c>
      <c r="BC144" s="3" t="s">
        <v>2370</v>
      </c>
      <c r="BD144" s="3" t="s">
        <v>2371</v>
      </c>
      <c r="BE144" s="3" t="s">
        <v>2553</v>
      </c>
      <c r="BF144" s="3">
        <v>1</v>
      </c>
      <c r="BG144" s="3">
        <v>-7.0068000000000001</v>
      </c>
      <c r="BH144" s="3">
        <v>107.2349</v>
      </c>
      <c r="BI144" s="3">
        <v>3217121208120010</v>
      </c>
      <c r="BJ144" s="3">
        <v>38</v>
      </c>
      <c r="BK144" s="3">
        <v>136</v>
      </c>
      <c r="BL144" s="3">
        <v>48</v>
      </c>
      <c r="BM144" s="3">
        <v>2</v>
      </c>
      <c r="BN144" s="3">
        <v>2</v>
      </c>
    </row>
    <row r="145" spans="1:66" s="219" customFormat="1" hidden="1" x14ac:dyDescent="0.3">
      <c r="A145" s="54">
        <v>139</v>
      </c>
      <c r="B145" s="54" t="s">
        <v>1344</v>
      </c>
      <c r="C145" s="54" t="s">
        <v>1398</v>
      </c>
      <c r="D145" s="54" t="s">
        <v>52</v>
      </c>
      <c r="E145" s="54">
        <v>94556444</v>
      </c>
      <c r="F145" s="54" t="s">
        <v>2373</v>
      </c>
      <c r="G145" s="108">
        <v>40062</v>
      </c>
      <c r="H145" s="54">
        <v>3217120609090000</v>
      </c>
      <c r="I145" s="54" t="s">
        <v>2353</v>
      </c>
      <c r="J145" s="54" t="s">
        <v>2699</v>
      </c>
      <c r="K145" s="54">
        <v>3</v>
      </c>
      <c r="L145" s="54">
        <v>10</v>
      </c>
      <c r="M145" s="54"/>
      <c r="N145" s="54" t="s">
        <v>2513</v>
      </c>
      <c r="O145" s="54" t="s">
        <v>2356</v>
      </c>
      <c r="P145" s="54">
        <v>40764</v>
      </c>
      <c r="Q145" s="54" t="s">
        <v>2357</v>
      </c>
      <c r="R145" s="54" t="s">
        <v>2358</v>
      </c>
      <c r="S145" s="54"/>
      <c r="T145" s="54">
        <v>83821643077</v>
      </c>
      <c r="U145" s="54"/>
      <c r="V145" s="54"/>
      <c r="W145" s="54" t="s">
        <v>2359</v>
      </c>
      <c r="X145" s="54"/>
      <c r="Y145" s="54" t="s">
        <v>3091</v>
      </c>
      <c r="Z145" s="54">
        <v>1980</v>
      </c>
      <c r="AA145" s="54" t="s">
        <v>2402</v>
      </c>
      <c r="AB145" s="54" t="s">
        <v>2362</v>
      </c>
      <c r="AC145" s="54" t="s">
        <v>2363</v>
      </c>
      <c r="AD145" s="54">
        <v>3217120612800010</v>
      </c>
      <c r="AE145" s="54" t="s">
        <v>3092</v>
      </c>
      <c r="AF145" s="54">
        <v>1990</v>
      </c>
      <c r="AG145" s="54" t="s">
        <v>2402</v>
      </c>
      <c r="AH145" s="54" t="s">
        <v>2365</v>
      </c>
      <c r="AI145" s="54" t="s">
        <v>2366</v>
      </c>
      <c r="AJ145" s="54">
        <v>3217126801900000</v>
      </c>
      <c r="AK145" s="54"/>
      <c r="AL145" s="54"/>
      <c r="AM145" s="54"/>
      <c r="AN145" s="54"/>
      <c r="AO145" s="54"/>
      <c r="AP145" s="54"/>
      <c r="AQ145" s="54" t="s">
        <v>5147</v>
      </c>
      <c r="AR145" s="54"/>
      <c r="AS145" s="54"/>
      <c r="AT145" s="54" t="s">
        <v>2369</v>
      </c>
      <c r="AU145" s="54" t="s">
        <v>3093</v>
      </c>
      <c r="AV145" s="54">
        <v>0</v>
      </c>
      <c r="AW145" s="54"/>
      <c r="AX145" s="54"/>
      <c r="AY145" s="54" t="s">
        <v>2460</v>
      </c>
      <c r="AZ145" s="54">
        <v>411601002857509</v>
      </c>
      <c r="BA145" s="54" t="s">
        <v>3094</v>
      </c>
      <c r="BB145" s="54" t="s">
        <v>2369</v>
      </c>
      <c r="BC145" s="54"/>
      <c r="BD145" s="54" t="s">
        <v>2371</v>
      </c>
      <c r="BE145" s="54" t="s">
        <v>3095</v>
      </c>
      <c r="BF145" s="54">
        <v>1</v>
      </c>
      <c r="BG145" s="54">
        <v>-7.0068000000000001</v>
      </c>
      <c r="BH145" s="54">
        <v>107.2349</v>
      </c>
      <c r="BI145" s="54">
        <v>3217121105090040</v>
      </c>
      <c r="BJ145" s="54">
        <v>40</v>
      </c>
      <c r="BK145" s="54">
        <v>139</v>
      </c>
      <c r="BL145" s="54">
        <v>58</v>
      </c>
      <c r="BM145" s="54">
        <v>2</v>
      </c>
      <c r="BN145" s="54">
        <v>2</v>
      </c>
    </row>
    <row r="146" spans="1:66" hidden="1" x14ac:dyDescent="0.3">
      <c r="A146" s="3">
        <v>140</v>
      </c>
      <c r="B146" s="3" t="s">
        <v>3907</v>
      </c>
      <c r="C146" s="3" t="s">
        <v>4366</v>
      </c>
      <c r="D146" s="3" t="s">
        <v>52</v>
      </c>
      <c r="E146" s="3">
        <v>106456032</v>
      </c>
      <c r="F146" s="3" t="s">
        <v>2468</v>
      </c>
      <c r="G146" s="157">
        <v>40448</v>
      </c>
      <c r="H146" s="3">
        <v>3217122709100000</v>
      </c>
      <c r="I146" s="3" t="s">
        <v>2353</v>
      </c>
      <c r="J146" s="3" t="s">
        <v>2831</v>
      </c>
      <c r="K146" s="3">
        <v>2</v>
      </c>
      <c r="L146" s="3">
        <v>4</v>
      </c>
      <c r="M146" s="3"/>
      <c r="N146" s="3" t="s">
        <v>4475</v>
      </c>
      <c r="O146" s="3" t="s">
        <v>2356</v>
      </c>
      <c r="P146" s="3">
        <v>40564</v>
      </c>
      <c r="Q146" s="3" t="s">
        <v>2357</v>
      </c>
      <c r="R146" s="3" t="s">
        <v>2358</v>
      </c>
      <c r="S146" s="3"/>
      <c r="T146" s="3">
        <v>87715650210</v>
      </c>
      <c r="U146" s="3"/>
      <c r="V146" s="3"/>
      <c r="W146" s="3" t="s">
        <v>2359</v>
      </c>
      <c r="X146" s="3"/>
      <c r="Y146" s="3" t="s">
        <v>4181</v>
      </c>
      <c r="Z146" s="3">
        <v>1983</v>
      </c>
      <c r="AA146" s="3" t="s">
        <v>2361</v>
      </c>
      <c r="AB146" s="3" t="s">
        <v>2362</v>
      </c>
      <c r="AC146" s="3" t="s">
        <v>2363</v>
      </c>
      <c r="AD146" s="3">
        <v>3217121604830010</v>
      </c>
      <c r="AE146" s="3" t="s">
        <v>4182</v>
      </c>
      <c r="AF146" s="3">
        <v>1977</v>
      </c>
      <c r="AG146" s="3" t="s">
        <v>2361</v>
      </c>
      <c r="AH146" s="3" t="s">
        <v>2365</v>
      </c>
      <c r="AI146" s="3" t="s">
        <v>2366</v>
      </c>
      <c r="AJ146" s="3">
        <v>3217125111770010</v>
      </c>
      <c r="AK146" s="3"/>
      <c r="AL146" s="3"/>
      <c r="AM146" s="3" t="s">
        <v>2367</v>
      </c>
      <c r="AN146" s="3"/>
      <c r="AO146" s="3"/>
      <c r="AP146" s="3"/>
      <c r="AQ146" s="3" t="s">
        <v>5151</v>
      </c>
      <c r="AR146" s="3"/>
      <c r="AS146" s="3"/>
      <c r="AT146" s="3" t="s">
        <v>2359</v>
      </c>
      <c r="AU146" s="3"/>
      <c r="AV146" s="3">
        <v>0</v>
      </c>
      <c r="AW146" s="3"/>
      <c r="AX146" s="3" t="s">
        <v>4625</v>
      </c>
      <c r="AY146" s="3"/>
      <c r="AZ146" s="3"/>
      <c r="BA146" s="3"/>
      <c r="BB146" s="3" t="s">
        <v>2369</v>
      </c>
      <c r="BC146" s="3" t="s">
        <v>2370</v>
      </c>
      <c r="BD146" s="3" t="s">
        <v>2371</v>
      </c>
      <c r="BE146" s="3" t="s">
        <v>2372</v>
      </c>
      <c r="BF146" s="3">
        <v>1</v>
      </c>
      <c r="BG146" s="3">
        <v>-6.9676999999999998</v>
      </c>
      <c r="BH146" s="3">
        <v>107.4117</v>
      </c>
      <c r="BI146" s="3">
        <v>3217121707190000</v>
      </c>
      <c r="BJ146" s="3">
        <v>55</v>
      </c>
      <c r="BK146" s="3">
        <v>139</v>
      </c>
      <c r="BL146" s="3">
        <v>62</v>
      </c>
      <c r="BM146" s="3">
        <v>1</v>
      </c>
      <c r="BN146" s="3">
        <v>2</v>
      </c>
    </row>
    <row r="147" spans="1:66" s="219" customFormat="1" hidden="1" x14ac:dyDescent="0.3">
      <c r="A147" s="54">
        <v>141</v>
      </c>
      <c r="B147" s="54" t="s">
        <v>1746</v>
      </c>
      <c r="C147" s="54" t="s">
        <v>2257</v>
      </c>
      <c r="D147" s="54" t="s">
        <v>52</v>
      </c>
      <c r="E147" s="54">
        <v>93034182</v>
      </c>
      <c r="F147" s="54" t="s">
        <v>2446</v>
      </c>
      <c r="G147" s="108">
        <v>40133</v>
      </c>
      <c r="H147" s="54">
        <v>3217121611090000</v>
      </c>
      <c r="I147" s="54" t="s">
        <v>2353</v>
      </c>
      <c r="J147" s="54" t="s">
        <v>2550</v>
      </c>
      <c r="K147" s="54">
        <v>2</v>
      </c>
      <c r="L147" s="54">
        <v>11</v>
      </c>
      <c r="M147" s="54"/>
      <c r="N147" s="54" t="s">
        <v>2513</v>
      </c>
      <c r="O147" s="54" t="s">
        <v>2356</v>
      </c>
      <c r="P147" s="54"/>
      <c r="Q147" s="54" t="s">
        <v>2357</v>
      </c>
      <c r="R147" s="54" t="s">
        <v>2358</v>
      </c>
      <c r="S147" s="54"/>
      <c r="T147" s="54">
        <v>8579720628</v>
      </c>
      <c r="U147" s="54"/>
      <c r="V147" s="54"/>
      <c r="W147" s="54" t="s">
        <v>2359</v>
      </c>
      <c r="X147" s="54"/>
      <c r="Y147" s="54" t="s">
        <v>3020</v>
      </c>
      <c r="Z147" s="54">
        <v>1984</v>
      </c>
      <c r="AA147" s="54" t="s">
        <v>2390</v>
      </c>
      <c r="AB147" s="54" t="s">
        <v>2362</v>
      </c>
      <c r="AC147" s="54" t="s">
        <v>2363</v>
      </c>
      <c r="AD147" s="54">
        <v>3217122509840000</v>
      </c>
      <c r="AE147" s="54" t="s">
        <v>3021</v>
      </c>
      <c r="AF147" s="54">
        <v>1984</v>
      </c>
      <c r="AG147" s="54" t="s">
        <v>2402</v>
      </c>
      <c r="AH147" s="54" t="s">
        <v>2365</v>
      </c>
      <c r="AI147" s="54" t="s">
        <v>2366</v>
      </c>
      <c r="AJ147" s="54">
        <v>3217124903840010</v>
      </c>
      <c r="AK147" s="54"/>
      <c r="AL147" s="54"/>
      <c r="AM147" s="54" t="s">
        <v>2367</v>
      </c>
      <c r="AN147" s="54"/>
      <c r="AO147" s="54"/>
      <c r="AP147" s="54"/>
      <c r="AQ147" s="54" t="s">
        <v>8182</v>
      </c>
      <c r="AR147" s="54"/>
      <c r="AS147" s="54"/>
      <c r="AT147" s="54" t="s">
        <v>2359</v>
      </c>
      <c r="AU147" s="54"/>
      <c r="AV147" s="54">
        <v>0</v>
      </c>
      <c r="AW147" s="54"/>
      <c r="AX147" s="54" t="s">
        <v>3022</v>
      </c>
      <c r="AY147" s="54"/>
      <c r="AZ147" s="54"/>
      <c r="BA147" s="54"/>
      <c r="BB147" s="54" t="s">
        <v>2369</v>
      </c>
      <c r="BC147" s="54" t="s">
        <v>2370</v>
      </c>
      <c r="BD147" s="54" t="s">
        <v>2371</v>
      </c>
      <c r="BE147" s="54" t="s">
        <v>2553</v>
      </c>
      <c r="BF147" s="54">
        <v>1</v>
      </c>
      <c r="BG147" s="54">
        <v>-7.0068000000000001</v>
      </c>
      <c r="BH147" s="54">
        <v>107.2349</v>
      </c>
      <c r="BI147" s="54">
        <v>3217123011090060</v>
      </c>
      <c r="BJ147" s="54">
        <v>45</v>
      </c>
      <c r="BK147" s="54">
        <v>139</v>
      </c>
      <c r="BL147" s="54">
        <v>56</v>
      </c>
      <c r="BM147" s="54">
        <v>2</v>
      </c>
      <c r="BN147" s="54">
        <v>2</v>
      </c>
    </row>
    <row r="148" spans="1:66" x14ac:dyDescent="0.3">
      <c r="A148" s="3">
        <v>142</v>
      </c>
      <c r="B148" s="3" t="s">
        <v>3937</v>
      </c>
      <c r="C148" s="3" t="s">
        <v>4395</v>
      </c>
      <c r="D148" s="3" t="s">
        <v>52</v>
      </c>
      <c r="E148" s="3">
        <v>3110885801</v>
      </c>
      <c r="F148" s="3" t="s">
        <v>2352</v>
      </c>
      <c r="G148" s="157">
        <v>40574</v>
      </c>
      <c r="H148" s="3">
        <v>3204293101110000</v>
      </c>
      <c r="I148" s="3" t="s">
        <v>2353</v>
      </c>
      <c r="J148" s="3" t="s">
        <v>2585</v>
      </c>
      <c r="K148" s="3">
        <v>2</v>
      </c>
      <c r="L148" s="3">
        <v>7</v>
      </c>
      <c r="M148" s="3"/>
      <c r="N148" s="3" t="s">
        <v>4475</v>
      </c>
      <c r="O148" s="3" t="s">
        <v>2356</v>
      </c>
      <c r="P148" s="3">
        <v>40762</v>
      </c>
      <c r="Q148" s="3" t="s">
        <v>2357</v>
      </c>
      <c r="R148" s="3" t="s">
        <v>2358</v>
      </c>
      <c r="S148" s="3"/>
      <c r="T148" s="3"/>
      <c r="U148" s="3"/>
      <c r="V148" s="3"/>
      <c r="W148" s="3" t="s">
        <v>2359</v>
      </c>
      <c r="X148" s="3"/>
      <c r="Y148" s="3" t="s">
        <v>4626</v>
      </c>
      <c r="Z148" s="3">
        <v>1984</v>
      </c>
      <c r="AA148" s="3" t="s">
        <v>2390</v>
      </c>
      <c r="AB148" s="3" t="s">
        <v>2362</v>
      </c>
      <c r="AC148" s="3" t="s">
        <v>2403</v>
      </c>
      <c r="AD148" s="3">
        <v>3217124701840010</v>
      </c>
      <c r="AE148" s="3" t="s">
        <v>4627</v>
      </c>
      <c r="AF148" s="3">
        <v>1984</v>
      </c>
      <c r="AG148" s="3" t="s">
        <v>2402</v>
      </c>
      <c r="AH148" s="3" t="s">
        <v>2365</v>
      </c>
      <c r="AI148" s="3" t="s">
        <v>2366</v>
      </c>
      <c r="AJ148" s="3">
        <v>3217124701840010</v>
      </c>
      <c r="AK148" s="3"/>
      <c r="AL148" s="3"/>
      <c r="AM148" s="3"/>
      <c r="AN148" s="3"/>
      <c r="AO148" s="3"/>
      <c r="AP148" s="3"/>
      <c r="AQ148" s="3" t="s">
        <v>5148</v>
      </c>
      <c r="AR148" s="3" t="s">
        <v>4628</v>
      </c>
      <c r="AS148" s="3" t="s">
        <v>4629</v>
      </c>
      <c r="AT148" s="3" t="s">
        <v>2359</v>
      </c>
      <c r="AU148" s="3"/>
      <c r="AV148" s="3">
        <v>1</v>
      </c>
      <c r="AW148" s="3"/>
      <c r="AX148" s="3" t="s">
        <v>4630</v>
      </c>
      <c r="AY148" s="3"/>
      <c r="AZ148" s="3"/>
      <c r="BA148" s="3"/>
      <c r="BB148" s="3" t="s">
        <v>2369</v>
      </c>
      <c r="BC148" s="3" t="s">
        <v>2370</v>
      </c>
      <c r="BD148" s="3" t="s">
        <v>2371</v>
      </c>
      <c r="BE148" s="3" t="s">
        <v>4497</v>
      </c>
      <c r="BF148" s="3">
        <v>1</v>
      </c>
      <c r="BG148" s="3">
        <v>-6.9625000000000004</v>
      </c>
      <c r="BH148" s="3">
        <v>107.4346</v>
      </c>
      <c r="BI148" s="3">
        <v>3204290610120120</v>
      </c>
      <c r="BJ148" s="3">
        <v>40</v>
      </c>
      <c r="BK148" s="3">
        <v>142</v>
      </c>
      <c r="BL148" s="3">
        <v>55</v>
      </c>
      <c r="BM148" s="3">
        <v>1</v>
      </c>
      <c r="BN148" s="3">
        <v>2</v>
      </c>
    </row>
    <row r="149" spans="1:66" s="219" customFormat="1" hidden="1" x14ac:dyDescent="0.3">
      <c r="A149" s="54">
        <v>143</v>
      </c>
      <c r="B149" s="54" t="s">
        <v>1627</v>
      </c>
      <c r="C149" s="54" t="s">
        <v>4631</v>
      </c>
      <c r="D149" s="54" t="s">
        <v>52</v>
      </c>
      <c r="E149" s="54">
        <v>97907326</v>
      </c>
      <c r="F149" s="54" t="s">
        <v>2373</v>
      </c>
      <c r="G149" s="108">
        <v>39905</v>
      </c>
      <c r="H149" s="54">
        <v>3217110204090000</v>
      </c>
      <c r="I149" s="54" t="s">
        <v>2353</v>
      </c>
      <c r="J149" s="54" t="s">
        <v>2967</v>
      </c>
      <c r="K149" s="54">
        <v>1</v>
      </c>
      <c r="L149" s="54">
        <v>15</v>
      </c>
      <c r="M149" s="54" t="s">
        <v>2967</v>
      </c>
      <c r="N149" s="54" t="s">
        <v>2425</v>
      </c>
      <c r="O149" s="54" t="s">
        <v>2426</v>
      </c>
      <c r="P149" s="54">
        <v>40562</v>
      </c>
      <c r="Q149" s="54" t="s">
        <v>2357</v>
      </c>
      <c r="R149" s="54" t="s">
        <v>2358</v>
      </c>
      <c r="S149" s="54"/>
      <c r="T149" s="54">
        <v>81324079765</v>
      </c>
      <c r="U149" s="54"/>
      <c r="V149" s="54"/>
      <c r="W149" s="54" t="s">
        <v>2359</v>
      </c>
      <c r="X149" s="54"/>
      <c r="Y149" s="54" t="s">
        <v>3259</v>
      </c>
      <c r="Z149" s="54">
        <v>1987</v>
      </c>
      <c r="AA149" s="54" t="s">
        <v>2390</v>
      </c>
      <c r="AB149" s="54" t="s">
        <v>3260</v>
      </c>
      <c r="AC149" s="54" t="s">
        <v>2375</v>
      </c>
      <c r="AD149" s="54"/>
      <c r="AE149" s="54" t="s">
        <v>3261</v>
      </c>
      <c r="AF149" s="54">
        <v>1989</v>
      </c>
      <c r="AG149" s="54" t="s">
        <v>2390</v>
      </c>
      <c r="AH149" s="54" t="s">
        <v>2365</v>
      </c>
      <c r="AI149" s="54" t="s">
        <v>2366</v>
      </c>
      <c r="AJ149" s="54"/>
      <c r="AK149" s="54"/>
      <c r="AL149" s="54"/>
      <c r="AM149" s="54"/>
      <c r="AN149" s="54"/>
      <c r="AO149" s="54"/>
      <c r="AP149" s="54"/>
      <c r="AQ149" s="54" t="s">
        <v>5147</v>
      </c>
      <c r="AR149" s="54"/>
      <c r="AS149" s="54"/>
      <c r="AT149" s="54" t="s">
        <v>2359</v>
      </c>
      <c r="AU149" s="54"/>
      <c r="AV149" s="54">
        <v>0</v>
      </c>
      <c r="AW149" s="54"/>
      <c r="AX149" s="54"/>
      <c r="AY149" s="54"/>
      <c r="AZ149" s="54"/>
      <c r="BA149" s="54"/>
      <c r="BB149" s="54" t="s">
        <v>2359</v>
      </c>
      <c r="BC149" s="54"/>
      <c r="BD149" s="54" t="s">
        <v>2371</v>
      </c>
      <c r="BE149" s="54" t="s">
        <v>4632</v>
      </c>
      <c r="BF149" s="54">
        <v>1</v>
      </c>
      <c r="BG149" s="54">
        <v>-6.9547999999999996</v>
      </c>
      <c r="BH149" s="54">
        <v>107.41589999999999</v>
      </c>
      <c r="BI149" s="54"/>
      <c r="BJ149" s="54">
        <v>18</v>
      </c>
      <c r="BK149" s="54">
        <v>110</v>
      </c>
      <c r="BL149" s="54">
        <v>0</v>
      </c>
      <c r="BM149" s="54">
        <v>1</v>
      </c>
      <c r="BN149" s="54">
        <v>1</v>
      </c>
    </row>
    <row r="150" spans="1:66" hidden="1" x14ac:dyDescent="0.3">
      <c r="A150" s="3">
        <v>144</v>
      </c>
      <c r="B150" s="3" t="s">
        <v>4223</v>
      </c>
      <c r="C150" s="3" t="s">
        <v>4237</v>
      </c>
      <c r="D150" s="3" t="s">
        <v>52</v>
      </c>
      <c r="E150" s="3">
        <v>117261637</v>
      </c>
      <c r="F150" s="3" t="s">
        <v>2377</v>
      </c>
      <c r="G150" s="157">
        <v>40689</v>
      </c>
      <c r="H150" s="3">
        <v>3217122605110000</v>
      </c>
      <c r="I150" s="3" t="s">
        <v>2353</v>
      </c>
      <c r="J150" s="3" t="s">
        <v>2707</v>
      </c>
      <c r="K150" s="3">
        <v>2</v>
      </c>
      <c r="L150" s="3">
        <v>5</v>
      </c>
      <c r="M150" s="3"/>
      <c r="N150" s="3" t="s">
        <v>4475</v>
      </c>
      <c r="O150" s="3" t="s">
        <v>2356</v>
      </c>
      <c r="P150" s="3">
        <v>40564</v>
      </c>
      <c r="Q150" s="3" t="s">
        <v>2357</v>
      </c>
      <c r="R150" s="3" t="s">
        <v>2358</v>
      </c>
      <c r="S150" s="3"/>
      <c r="T150" s="3">
        <v>82129240739</v>
      </c>
      <c r="U150" s="3"/>
      <c r="V150" s="3"/>
      <c r="W150" s="3" t="s">
        <v>2359</v>
      </c>
      <c r="X150" s="3"/>
      <c r="Y150" s="3" t="s">
        <v>4197</v>
      </c>
      <c r="Z150" s="3">
        <v>1967</v>
      </c>
      <c r="AA150" s="3" t="s">
        <v>3723</v>
      </c>
      <c r="AB150" s="3" t="s">
        <v>2493</v>
      </c>
      <c r="AC150" s="3" t="s">
        <v>2363</v>
      </c>
      <c r="AD150" s="3">
        <v>3217122503670000</v>
      </c>
      <c r="AE150" s="3" t="s">
        <v>4198</v>
      </c>
      <c r="AF150" s="3">
        <v>1972</v>
      </c>
      <c r="AG150" s="3" t="s">
        <v>2361</v>
      </c>
      <c r="AH150" s="3" t="s">
        <v>2365</v>
      </c>
      <c r="AI150" s="3" t="s">
        <v>2366</v>
      </c>
      <c r="AJ150" s="3">
        <v>3217124101720030</v>
      </c>
      <c r="AK150" s="3"/>
      <c r="AL150" s="3"/>
      <c r="AM150" s="3" t="s">
        <v>2367</v>
      </c>
      <c r="AN150" s="3"/>
      <c r="AO150" s="3"/>
      <c r="AP150" s="3"/>
      <c r="AQ150" s="3" t="s">
        <v>5146</v>
      </c>
      <c r="AR150" s="3"/>
      <c r="AS150" s="3"/>
      <c r="AT150" s="3" t="s">
        <v>2359</v>
      </c>
      <c r="AU150" s="3"/>
      <c r="AV150" s="3">
        <v>0</v>
      </c>
      <c r="AW150" s="3"/>
      <c r="AX150" s="3" t="s">
        <v>4196</v>
      </c>
      <c r="AY150" s="3"/>
      <c r="AZ150" s="3"/>
      <c r="BA150" s="3"/>
      <c r="BB150" s="3" t="s">
        <v>2369</v>
      </c>
      <c r="BC150" s="3" t="s">
        <v>2370</v>
      </c>
      <c r="BD150" s="3" t="s">
        <v>2371</v>
      </c>
      <c r="BE150" s="3" t="s">
        <v>2372</v>
      </c>
      <c r="BF150" s="3">
        <v>3</v>
      </c>
      <c r="BG150" s="3">
        <v>-6.9676999999999998</v>
      </c>
      <c r="BH150" s="3">
        <v>107.4117</v>
      </c>
      <c r="BI150" s="3"/>
      <c r="BJ150" s="3">
        <v>42</v>
      </c>
      <c r="BK150" s="3">
        <v>138</v>
      </c>
      <c r="BL150" s="3">
        <v>61</v>
      </c>
      <c r="BM150" s="3">
        <v>1</v>
      </c>
      <c r="BN150" s="3">
        <v>2</v>
      </c>
    </row>
    <row r="151" spans="1:66" hidden="1" x14ac:dyDescent="0.3">
      <c r="A151" s="3">
        <v>145</v>
      </c>
      <c r="B151" s="3" t="s">
        <v>3792</v>
      </c>
      <c r="C151" s="3" t="s">
        <v>4236</v>
      </c>
      <c r="D151" s="3" t="s">
        <v>52</v>
      </c>
      <c r="E151" s="3">
        <v>101536870</v>
      </c>
      <c r="F151" s="3" t="s">
        <v>2352</v>
      </c>
      <c r="G151" s="157">
        <v>40269</v>
      </c>
      <c r="H151" s="3">
        <v>3217110104100000</v>
      </c>
      <c r="I151" s="3" t="s">
        <v>2353</v>
      </c>
      <c r="J151" s="3" t="s">
        <v>4579</v>
      </c>
      <c r="K151" s="3">
        <v>3</v>
      </c>
      <c r="L151" s="3">
        <v>9</v>
      </c>
      <c r="M151" s="3"/>
      <c r="N151" s="3" t="s">
        <v>3581</v>
      </c>
      <c r="O151" s="3" t="s">
        <v>2426</v>
      </c>
      <c r="P151" s="3">
        <v>40562</v>
      </c>
      <c r="Q151" s="3" t="s">
        <v>2357</v>
      </c>
      <c r="R151" s="3" t="s">
        <v>2358</v>
      </c>
      <c r="S151" s="3"/>
      <c r="T151" s="3">
        <v>83820342848</v>
      </c>
      <c r="U151" s="3"/>
      <c r="V151" s="3"/>
      <c r="W151" s="3" t="s">
        <v>2359</v>
      </c>
      <c r="X151" s="3"/>
      <c r="Y151" s="3" t="s">
        <v>4095</v>
      </c>
      <c r="Z151" s="3">
        <v>1977</v>
      </c>
      <c r="AA151" s="3" t="s">
        <v>2361</v>
      </c>
      <c r="AB151" s="3" t="s">
        <v>2362</v>
      </c>
      <c r="AC151" s="3" t="s">
        <v>2403</v>
      </c>
      <c r="AD151" s="3">
        <v>3217110903770000</v>
      </c>
      <c r="AE151" s="3" t="s">
        <v>3030</v>
      </c>
      <c r="AF151" s="3">
        <v>1991</v>
      </c>
      <c r="AG151" s="3" t="s">
        <v>2361</v>
      </c>
      <c r="AH151" s="3" t="s">
        <v>2365</v>
      </c>
      <c r="AI151" s="3" t="s">
        <v>2366</v>
      </c>
      <c r="AJ151" s="3">
        <v>3217115707910010</v>
      </c>
      <c r="AK151" s="3"/>
      <c r="AL151" s="3"/>
      <c r="AM151" s="3" t="s">
        <v>2367</v>
      </c>
      <c r="AN151" s="3"/>
      <c r="AO151" s="3"/>
      <c r="AP151" s="3"/>
      <c r="AQ151" s="3" t="s">
        <v>5146</v>
      </c>
      <c r="AR151" s="3"/>
      <c r="AS151" s="3"/>
      <c r="AT151" s="3" t="s">
        <v>2359</v>
      </c>
      <c r="AU151" s="3"/>
      <c r="AV151" s="3">
        <v>0</v>
      </c>
      <c r="AW151" s="3"/>
      <c r="AX151" s="3" t="s">
        <v>4094</v>
      </c>
      <c r="AY151" s="3"/>
      <c r="AZ151" s="3"/>
      <c r="BA151" s="3"/>
      <c r="BB151" s="3" t="s">
        <v>2369</v>
      </c>
      <c r="BC151" s="3" t="s">
        <v>2370</v>
      </c>
      <c r="BD151" s="3" t="s">
        <v>2371</v>
      </c>
      <c r="BE151" s="3" t="s">
        <v>2691</v>
      </c>
      <c r="BF151" s="3">
        <v>1</v>
      </c>
      <c r="BG151" s="3">
        <v>-6.9743000000000004</v>
      </c>
      <c r="BH151" s="3">
        <v>107.43559999999999</v>
      </c>
      <c r="BI151" s="3">
        <v>3217111905080050</v>
      </c>
      <c r="BJ151" s="3">
        <v>30</v>
      </c>
      <c r="BK151" s="3">
        <v>130</v>
      </c>
      <c r="BL151" s="3">
        <v>54</v>
      </c>
      <c r="BM151" s="3">
        <v>10</v>
      </c>
      <c r="BN151" s="3">
        <v>1</v>
      </c>
    </row>
    <row r="152" spans="1:66" s="219" customFormat="1" hidden="1" x14ac:dyDescent="0.3">
      <c r="A152" s="54">
        <v>146</v>
      </c>
      <c r="B152" s="54" t="s">
        <v>3096</v>
      </c>
      <c r="C152" s="54" t="s">
        <v>2285</v>
      </c>
      <c r="D152" s="54" t="s">
        <v>52</v>
      </c>
      <c r="E152" s="54">
        <v>82002187</v>
      </c>
      <c r="F152" s="54" t="s">
        <v>2446</v>
      </c>
      <c r="G152" s="108">
        <v>39633</v>
      </c>
      <c r="H152" s="54">
        <v>3217110407080000</v>
      </c>
      <c r="I152" s="54" t="s">
        <v>2353</v>
      </c>
      <c r="J152" s="54" t="s">
        <v>3097</v>
      </c>
      <c r="K152" s="54">
        <v>2</v>
      </c>
      <c r="L152" s="54">
        <v>8</v>
      </c>
      <c r="M152" s="54" t="s">
        <v>2424</v>
      </c>
      <c r="N152" s="54" t="s">
        <v>2425</v>
      </c>
      <c r="O152" s="54" t="s">
        <v>2426</v>
      </c>
      <c r="P152" s="54">
        <v>40562</v>
      </c>
      <c r="Q152" s="54" t="s">
        <v>2357</v>
      </c>
      <c r="R152" s="54" t="s">
        <v>2358</v>
      </c>
      <c r="S152" s="54"/>
      <c r="T152" s="54">
        <v>83821414054</v>
      </c>
      <c r="U152" s="54"/>
      <c r="V152" s="54"/>
      <c r="W152" s="54" t="s">
        <v>2359</v>
      </c>
      <c r="X152" s="54"/>
      <c r="Y152" s="54" t="s">
        <v>3098</v>
      </c>
      <c r="Z152" s="54">
        <v>1983</v>
      </c>
      <c r="AA152" s="54" t="s">
        <v>2402</v>
      </c>
      <c r="AB152" s="54" t="s">
        <v>2388</v>
      </c>
      <c r="AC152" s="54" t="s">
        <v>2403</v>
      </c>
      <c r="AD152" s="54"/>
      <c r="AE152" s="54" t="s">
        <v>3099</v>
      </c>
      <c r="AF152" s="54">
        <v>1986</v>
      </c>
      <c r="AG152" s="54" t="s">
        <v>2390</v>
      </c>
      <c r="AH152" s="54" t="s">
        <v>2365</v>
      </c>
      <c r="AI152" s="54" t="s">
        <v>2366</v>
      </c>
      <c r="AJ152" s="54"/>
      <c r="AK152" s="54"/>
      <c r="AL152" s="54"/>
      <c r="AM152" s="54"/>
      <c r="AN152" s="54"/>
      <c r="AO152" s="54"/>
      <c r="AP152" s="54"/>
      <c r="AQ152" s="54" t="s">
        <v>5147</v>
      </c>
      <c r="AR152" s="54"/>
      <c r="AS152" s="54"/>
      <c r="AT152" s="54" t="s">
        <v>2359</v>
      </c>
      <c r="AU152" s="54"/>
      <c r="AV152" s="54">
        <v>0</v>
      </c>
      <c r="AW152" s="54"/>
      <c r="AX152" s="54" t="s">
        <v>3100</v>
      </c>
      <c r="AY152" s="54"/>
      <c r="AZ152" s="54"/>
      <c r="BA152" s="54"/>
      <c r="BB152" s="54" t="s">
        <v>2369</v>
      </c>
      <c r="BC152" s="54" t="s">
        <v>2370</v>
      </c>
      <c r="BD152" s="54" t="s">
        <v>2371</v>
      </c>
      <c r="BE152" s="54"/>
      <c r="BF152" s="54">
        <v>1</v>
      </c>
      <c r="BG152" s="54">
        <v>-6.9514541999999997</v>
      </c>
      <c r="BH152" s="54">
        <v>107.4179645</v>
      </c>
      <c r="BI152" s="54"/>
      <c r="BJ152" s="54">
        <v>34</v>
      </c>
      <c r="BK152" s="54">
        <v>144</v>
      </c>
      <c r="BL152" s="54">
        <v>0</v>
      </c>
      <c r="BM152" s="54">
        <v>1</v>
      </c>
      <c r="BN152" s="54">
        <v>1</v>
      </c>
    </row>
    <row r="153" spans="1:66" s="219" customFormat="1" hidden="1" x14ac:dyDescent="0.3">
      <c r="A153" s="54">
        <v>147</v>
      </c>
      <c r="B153" s="54" t="s">
        <v>1360</v>
      </c>
      <c r="C153" s="54" t="s">
        <v>1466</v>
      </c>
      <c r="D153" s="54" t="s">
        <v>52</v>
      </c>
      <c r="E153" s="54">
        <v>96477274</v>
      </c>
      <c r="F153" s="54" t="s">
        <v>2446</v>
      </c>
      <c r="G153" s="108">
        <v>39818</v>
      </c>
      <c r="H153" s="54">
        <v>3215131501090000</v>
      </c>
      <c r="I153" s="54" t="s">
        <v>2353</v>
      </c>
      <c r="J153" s="54" t="s">
        <v>2530</v>
      </c>
      <c r="K153" s="54">
        <v>2</v>
      </c>
      <c r="L153" s="54">
        <v>8</v>
      </c>
      <c r="M153" s="54" t="s">
        <v>2530</v>
      </c>
      <c r="N153" s="54" t="s">
        <v>2425</v>
      </c>
      <c r="O153" s="54" t="s">
        <v>2426</v>
      </c>
      <c r="P153" s="54">
        <v>40562</v>
      </c>
      <c r="Q153" s="54" t="s">
        <v>2357</v>
      </c>
      <c r="R153" s="54" t="s">
        <v>2358</v>
      </c>
      <c r="S153" s="54"/>
      <c r="T153" s="54">
        <v>81222918353</v>
      </c>
      <c r="U153" s="54"/>
      <c r="V153" s="54"/>
      <c r="W153" s="54" t="s">
        <v>2359</v>
      </c>
      <c r="X153" s="54"/>
      <c r="Y153" s="54" t="s">
        <v>3367</v>
      </c>
      <c r="Z153" s="54">
        <v>1972</v>
      </c>
      <c r="AA153" s="54" t="s">
        <v>2402</v>
      </c>
      <c r="AB153" s="54" t="s">
        <v>2362</v>
      </c>
      <c r="AC153" s="54" t="s">
        <v>2403</v>
      </c>
      <c r="AD153" s="54"/>
      <c r="AE153" s="54" t="s">
        <v>3368</v>
      </c>
      <c r="AF153" s="54">
        <v>1984</v>
      </c>
      <c r="AG153" s="54" t="s">
        <v>2402</v>
      </c>
      <c r="AH153" s="54" t="s">
        <v>2365</v>
      </c>
      <c r="AI153" s="54" t="s">
        <v>2366</v>
      </c>
      <c r="AJ153" s="54"/>
      <c r="AK153" s="54"/>
      <c r="AL153" s="54"/>
      <c r="AM153" s="54" t="s">
        <v>2367</v>
      </c>
      <c r="AN153" s="54"/>
      <c r="AO153" s="54"/>
      <c r="AP153" s="54"/>
      <c r="AQ153" s="54" t="s">
        <v>5147</v>
      </c>
      <c r="AR153" s="54"/>
      <c r="AS153" s="54"/>
      <c r="AT153" s="54" t="s">
        <v>2359</v>
      </c>
      <c r="AU153" s="54"/>
      <c r="AV153" s="54">
        <v>0</v>
      </c>
      <c r="AW153" s="54"/>
      <c r="AX153" s="54"/>
      <c r="AY153" s="54"/>
      <c r="AZ153" s="54"/>
      <c r="BA153" s="54"/>
      <c r="BB153" s="54" t="s">
        <v>2369</v>
      </c>
      <c r="BC153" s="54" t="s">
        <v>2370</v>
      </c>
      <c r="BD153" s="54" t="s">
        <v>2371</v>
      </c>
      <c r="BE153" s="54"/>
      <c r="BF153" s="54">
        <v>3</v>
      </c>
      <c r="BG153" s="54">
        <v>-6.9547999999999996</v>
      </c>
      <c r="BH153" s="54">
        <v>107.41589999999999</v>
      </c>
      <c r="BI153" s="54"/>
      <c r="BJ153" s="54">
        <v>44</v>
      </c>
      <c r="BK153" s="54">
        <v>143</v>
      </c>
      <c r="BL153" s="54">
        <v>58</v>
      </c>
      <c r="BM153" s="54">
        <v>0</v>
      </c>
      <c r="BN153" s="54">
        <v>3</v>
      </c>
    </row>
    <row r="154" spans="1:66" x14ac:dyDescent="0.3">
      <c r="A154" s="3">
        <v>148</v>
      </c>
      <c r="B154" s="3" t="s">
        <v>3938</v>
      </c>
      <c r="C154" s="3" t="s">
        <v>4396</v>
      </c>
      <c r="D154" s="3" t="s">
        <v>52</v>
      </c>
      <c r="E154" s="3">
        <v>118077803</v>
      </c>
      <c r="F154" s="3" t="s">
        <v>4169</v>
      </c>
      <c r="G154" s="157">
        <v>40642</v>
      </c>
      <c r="H154" s="3">
        <v>3201110904110000</v>
      </c>
      <c r="I154" s="3" t="s">
        <v>2353</v>
      </c>
      <c r="J154" s="3" t="s">
        <v>4633</v>
      </c>
      <c r="K154" s="3">
        <v>3</v>
      </c>
      <c r="L154" s="3">
        <v>1</v>
      </c>
      <c r="M154" s="3" t="s">
        <v>4633</v>
      </c>
      <c r="N154" s="3" t="s">
        <v>4634</v>
      </c>
      <c r="O154" s="3" t="s">
        <v>4635</v>
      </c>
      <c r="P154" s="3">
        <v>16340</v>
      </c>
      <c r="Q154" s="3" t="s">
        <v>2357</v>
      </c>
      <c r="R154" s="3" t="s">
        <v>2358</v>
      </c>
      <c r="S154" s="3"/>
      <c r="T154" s="3"/>
      <c r="U154" s="3"/>
      <c r="V154" s="3"/>
      <c r="W154" s="3" t="s">
        <v>2359</v>
      </c>
      <c r="X154" s="3"/>
      <c r="Y154" s="3" t="s">
        <v>3432</v>
      </c>
      <c r="Z154" s="3">
        <v>1984</v>
      </c>
      <c r="AA154" s="3" t="s">
        <v>2402</v>
      </c>
      <c r="AB154" s="3" t="s">
        <v>2388</v>
      </c>
      <c r="AC154" s="3" t="s">
        <v>2403</v>
      </c>
      <c r="AD154" s="3">
        <v>3201111309840000</v>
      </c>
      <c r="AE154" s="3" t="s">
        <v>4202</v>
      </c>
      <c r="AF154" s="3">
        <v>1985</v>
      </c>
      <c r="AG154" s="3" t="s">
        <v>2361</v>
      </c>
      <c r="AH154" s="3" t="s">
        <v>2365</v>
      </c>
      <c r="AI154" s="3" t="s">
        <v>2366</v>
      </c>
      <c r="AJ154" s="3">
        <v>3201115003850000</v>
      </c>
      <c r="AK154" s="3" t="s">
        <v>3432</v>
      </c>
      <c r="AL154" s="3">
        <v>1984</v>
      </c>
      <c r="AM154" s="3" t="s">
        <v>2367</v>
      </c>
      <c r="AN154" s="3" t="s">
        <v>2365</v>
      </c>
      <c r="AO154" s="3"/>
      <c r="AP154" s="3"/>
      <c r="AQ154" s="3" t="s">
        <v>5148</v>
      </c>
      <c r="AR154" s="3"/>
      <c r="AS154" s="3"/>
      <c r="AT154" s="3" t="s">
        <v>2359</v>
      </c>
      <c r="AU154" s="3"/>
      <c r="AV154" s="3">
        <v>1</v>
      </c>
      <c r="AW154" s="3"/>
      <c r="AX154" s="3">
        <v>6390509470</v>
      </c>
      <c r="AY154" s="3"/>
      <c r="AZ154" s="3"/>
      <c r="BA154" s="3"/>
      <c r="BB154" s="3" t="s">
        <v>2369</v>
      </c>
      <c r="BC154" s="3" t="s">
        <v>2370</v>
      </c>
      <c r="BD154" s="3" t="s">
        <v>2371</v>
      </c>
      <c r="BE154" s="3" t="s">
        <v>4203</v>
      </c>
      <c r="BF154" s="3">
        <v>1</v>
      </c>
      <c r="BG154" s="3">
        <v>-6.4013</v>
      </c>
      <c r="BH154" s="3">
        <v>106.65179999999999</v>
      </c>
      <c r="BI154" s="3">
        <v>3201112709110000</v>
      </c>
      <c r="BJ154" s="3">
        <v>55</v>
      </c>
      <c r="BK154" s="3">
        <v>142</v>
      </c>
      <c r="BL154" s="3">
        <v>62</v>
      </c>
      <c r="BM154" s="3">
        <v>1</v>
      </c>
      <c r="BN154" s="3">
        <v>2</v>
      </c>
    </row>
    <row r="155" spans="1:66" s="219" customFormat="1" hidden="1" x14ac:dyDescent="0.3">
      <c r="A155" s="54">
        <v>149</v>
      </c>
      <c r="B155" s="54" t="s">
        <v>1822</v>
      </c>
      <c r="C155" s="54" t="s">
        <v>1467</v>
      </c>
      <c r="D155" s="54" t="s">
        <v>53</v>
      </c>
      <c r="E155" s="54">
        <v>92615342</v>
      </c>
      <c r="F155" s="54" t="s">
        <v>2377</v>
      </c>
      <c r="G155" s="108">
        <v>39840</v>
      </c>
      <c r="H155" s="54">
        <v>3217126701090000</v>
      </c>
      <c r="I155" s="54" t="s">
        <v>2353</v>
      </c>
      <c r="J155" s="54" t="s">
        <v>2858</v>
      </c>
      <c r="K155" s="54">
        <v>4</v>
      </c>
      <c r="L155" s="54">
        <v>1</v>
      </c>
      <c r="M155" s="54" t="s">
        <v>2859</v>
      </c>
      <c r="N155" s="54" t="s">
        <v>2399</v>
      </c>
      <c r="O155" s="54" t="s">
        <v>2356</v>
      </c>
      <c r="P155" s="54">
        <v>40564</v>
      </c>
      <c r="Q155" s="54" t="s">
        <v>2357</v>
      </c>
      <c r="R155" s="54" t="s">
        <v>2358</v>
      </c>
      <c r="S155" s="54"/>
      <c r="T155" s="54">
        <v>81915412870</v>
      </c>
      <c r="U155" s="54"/>
      <c r="V155" s="54"/>
      <c r="W155" s="54" t="s">
        <v>2359</v>
      </c>
      <c r="X155" s="54"/>
      <c r="Y155" s="54" t="s">
        <v>3369</v>
      </c>
      <c r="Z155" s="54">
        <v>1983</v>
      </c>
      <c r="AA155" s="54" t="s">
        <v>2402</v>
      </c>
      <c r="AB155" s="54" t="s">
        <v>2388</v>
      </c>
      <c r="AC155" s="54" t="s">
        <v>2375</v>
      </c>
      <c r="AD155" s="54">
        <v>3217121205830560</v>
      </c>
      <c r="AE155" s="54" t="s">
        <v>3370</v>
      </c>
      <c r="AF155" s="54">
        <v>1987</v>
      </c>
      <c r="AG155" s="54" t="s">
        <v>2402</v>
      </c>
      <c r="AH155" s="54" t="s">
        <v>2365</v>
      </c>
      <c r="AI155" s="54" t="s">
        <v>2366</v>
      </c>
      <c r="AJ155" s="54">
        <v>3217125204870000</v>
      </c>
      <c r="AK155" s="54"/>
      <c r="AL155" s="54"/>
      <c r="AM155" s="54" t="s">
        <v>2367</v>
      </c>
      <c r="AN155" s="54"/>
      <c r="AO155" s="54"/>
      <c r="AP155" s="54"/>
      <c r="AQ155" s="54" t="s">
        <v>5147</v>
      </c>
      <c r="AR155" s="54"/>
      <c r="AS155" s="54"/>
      <c r="AT155" s="54" t="s">
        <v>2359</v>
      </c>
      <c r="AU155" s="54"/>
      <c r="AV155" s="54">
        <v>0</v>
      </c>
      <c r="AW155" s="54"/>
      <c r="AX155" s="54"/>
      <c r="AY155" s="54"/>
      <c r="AZ155" s="54"/>
      <c r="BA155" s="54"/>
      <c r="BB155" s="54" t="s">
        <v>2369</v>
      </c>
      <c r="BC155" s="54" t="s">
        <v>2370</v>
      </c>
      <c r="BD155" s="54" t="s">
        <v>2371</v>
      </c>
      <c r="BE155" s="54"/>
      <c r="BF155" s="54">
        <v>2</v>
      </c>
      <c r="BG155" s="54">
        <v>-6.9546999999999999</v>
      </c>
      <c r="BH155" s="54">
        <v>107.39</v>
      </c>
      <c r="BI155" s="54"/>
      <c r="BJ155" s="54">
        <v>36</v>
      </c>
      <c r="BK155" s="54">
        <v>132</v>
      </c>
      <c r="BL155" s="54">
        <v>55</v>
      </c>
      <c r="BM155" s="54">
        <v>1</v>
      </c>
      <c r="BN155" s="54">
        <v>1</v>
      </c>
    </row>
    <row r="156" spans="1:66" s="219" customFormat="1" hidden="1" x14ac:dyDescent="0.3">
      <c r="A156" s="54">
        <v>150</v>
      </c>
      <c r="B156" s="54" t="s">
        <v>1848</v>
      </c>
      <c r="C156" s="54" t="s">
        <v>1497</v>
      </c>
      <c r="D156" s="54" t="s">
        <v>52</v>
      </c>
      <c r="E156" s="54">
        <v>86089090</v>
      </c>
      <c r="F156" s="54" t="s">
        <v>2446</v>
      </c>
      <c r="G156" s="108">
        <v>39786</v>
      </c>
      <c r="H156" s="54">
        <v>3217110412080000</v>
      </c>
      <c r="I156" s="54" t="s">
        <v>2353</v>
      </c>
      <c r="J156" s="54" t="s">
        <v>3112</v>
      </c>
      <c r="K156" s="54">
        <v>4</v>
      </c>
      <c r="L156" s="54">
        <v>14</v>
      </c>
      <c r="M156" s="54" t="s">
        <v>2582</v>
      </c>
      <c r="N156" s="54" t="s">
        <v>2425</v>
      </c>
      <c r="O156" s="54" t="s">
        <v>2426</v>
      </c>
      <c r="P156" s="54">
        <v>40562</v>
      </c>
      <c r="Q156" s="54" t="s">
        <v>2357</v>
      </c>
      <c r="R156" s="54" t="s">
        <v>2358</v>
      </c>
      <c r="S156" s="54"/>
      <c r="T156" s="54">
        <v>83100557218</v>
      </c>
      <c r="U156" s="54"/>
      <c r="V156" s="54"/>
      <c r="W156" s="54" t="s">
        <v>2359</v>
      </c>
      <c r="X156" s="54"/>
      <c r="Y156" s="54" t="s">
        <v>2746</v>
      </c>
      <c r="Z156" s="54">
        <v>1967</v>
      </c>
      <c r="AA156" s="54" t="s">
        <v>2361</v>
      </c>
      <c r="AB156" s="54" t="s">
        <v>2362</v>
      </c>
      <c r="AC156" s="54" t="s">
        <v>2403</v>
      </c>
      <c r="AD156" s="54"/>
      <c r="AE156" s="54" t="s">
        <v>3488</v>
      </c>
      <c r="AF156" s="54">
        <v>1972</v>
      </c>
      <c r="AG156" s="54" t="s">
        <v>2361</v>
      </c>
      <c r="AH156" s="54" t="s">
        <v>2365</v>
      </c>
      <c r="AI156" s="54" t="s">
        <v>2366</v>
      </c>
      <c r="AJ156" s="54"/>
      <c r="AK156" s="54"/>
      <c r="AL156" s="54"/>
      <c r="AM156" s="54"/>
      <c r="AN156" s="54"/>
      <c r="AO156" s="54"/>
      <c r="AP156" s="54"/>
      <c r="AQ156" s="54" t="s">
        <v>5147</v>
      </c>
      <c r="AR156" s="54"/>
      <c r="AS156" s="54"/>
      <c r="AT156" s="54" t="s">
        <v>2359</v>
      </c>
      <c r="AU156" s="54"/>
      <c r="AV156" s="54">
        <v>0</v>
      </c>
      <c r="AW156" s="54"/>
      <c r="AX156" s="54"/>
      <c r="AY156" s="54"/>
      <c r="AZ156" s="54"/>
      <c r="BA156" s="54"/>
      <c r="BB156" s="54" t="s">
        <v>2369</v>
      </c>
      <c r="BC156" s="54" t="s">
        <v>2370</v>
      </c>
      <c r="BD156" s="54" t="s">
        <v>2371</v>
      </c>
      <c r="BE156" s="54"/>
      <c r="BF156" s="54">
        <v>1</v>
      </c>
      <c r="BG156" s="54">
        <v>-6.9514541999999997</v>
      </c>
      <c r="BH156" s="54">
        <v>107.4179645</v>
      </c>
      <c r="BI156" s="54"/>
      <c r="BJ156" s="54">
        <v>133</v>
      </c>
      <c r="BK156" s="54">
        <v>135</v>
      </c>
      <c r="BL156" s="54">
        <v>59</v>
      </c>
      <c r="BM156" s="54">
        <v>3</v>
      </c>
      <c r="BN156" s="54">
        <v>1</v>
      </c>
    </row>
    <row r="157" spans="1:66" s="219" customFormat="1" hidden="1" x14ac:dyDescent="0.3">
      <c r="A157" s="54">
        <v>151</v>
      </c>
      <c r="B157" s="54" t="s">
        <v>2577</v>
      </c>
      <c r="C157" s="54" t="s">
        <v>2138</v>
      </c>
      <c r="D157" s="54" t="s">
        <v>53</v>
      </c>
      <c r="E157" s="54">
        <v>108266531</v>
      </c>
      <c r="F157" s="54" t="s">
        <v>2446</v>
      </c>
      <c r="G157" s="108">
        <v>40325</v>
      </c>
      <c r="H157" s="54">
        <v>3217116705100000</v>
      </c>
      <c r="I157" s="54" t="s">
        <v>2353</v>
      </c>
      <c r="J157" s="54" t="s">
        <v>2424</v>
      </c>
      <c r="K157" s="54">
        <v>4</v>
      </c>
      <c r="L157" s="54">
        <v>14</v>
      </c>
      <c r="M157" s="54" t="s">
        <v>2424</v>
      </c>
      <c r="N157" s="54" t="s">
        <v>2425</v>
      </c>
      <c r="O157" s="54" t="s">
        <v>2426</v>
      </c>
      <c r="P157" s="54">
        <v>40562</v>
      </c>
      <c r="Q157" s="54" t="s">
        <v>2357</v>
      </c>
      <c r="R157" s="54" t="s">
        <v>2358</v>
      </c>
      <c r="S157" s="54"/>
      <c r="T157" s="54">
        <v>81927277280</v>
      </c>
      <c r="U157" s="54"/>
      <c r="V157" s="54"/>
      <c r="W157" s="54" t="s">
        <v>2359</v>
      </c>
      <c r="X157" s="54"/>
      <c r="Y157" s="54" t="s">
        <v>2578</v>
      </c>
      <c r="Z157" s="54">
        <v>1965</v>
      </c>
      <c r="AA157" s="54" t="s">
        <v>2390</v>
      </c>
      <c r="AB157" s="54" t="s">
        <v>2362</v>
      </c>
      <c r="AC157" s="54" t="s">
        <v>2403</v>
      </c>
      <c r="AD157" s="54"/>
      <c r="AE157" s="54" t="s">
        <v>2579</v>
      </c>
      <c r="AF157" s="54">
        <v>1975</v>
      </c>
      <c r="AG157" s="54" t="s">
        <v>2361</v>
      </c>
      <c r="AH157" s="54" t="s">
        <v>2365</v>
      </c>
      <c r="AI157" s="54" t="s">
        <v>2366</v>
      </c>
      <c r="AJ157" s="54"/>
      <c r="AK157" s="54"/>
      <c r="AL157" s="54"/>
      <c r="AM157" s="54" t="s">
        <v>2367</v>
      </c>
      <c r="AN157" s="54"/>
      <c r="AO157" s="54"/>
      <c r="AP157" s="54"/>
      <c r="AQ157" s="54" t="s">
        <v>8181</v>
      </c>
      <c r="AR157" s="54"/>
      <c r="AS157" s="54"/>
      <c r="AT157" s="54" t="s">
        <v>2359</v>
      </c>
      <c r="AU157" s="54"/>
      <c r="AV157" s="54">
        <v>0</v>
      </c>
      <c r="AW157" s="54"/>
      <c r="AX157" s="54" t="s">
        <v>2580</v>
      </c>
      <c r="AY157" s="54"/>
      <c r="AZ157" s="54"/>
      <c r="BA157" s="54"/>
      <c r="BB157" s="54" t="s">
        <v>2369</v>
      </c>
      <c r="BC157" s="54" t="s">
        <v>2370</v>
      </c>
      <c r="BD157" s="54" t="s">
        <v>2371</v>
      </c>
      <c r="BE157" s="54" t="s">
        <v>2430</v>
      </c>
      <c r="BF157" s="54">
        <v>3</v>
      </c>
      <c r="BG157" s="54">
        <v>-6.9514541999999997</v>
      </c>
      <c r="BH157" s="54">
        <v>107.4179645</v>
      </c>
      <c r="BI157" s="54"/>
      <c r="BJ157" s="54">
        <v>49</v>
      </c>
      <c r="BK157" s="54">
        <v>132</v>
      </c>
      <c r="BL157" s="54">
        <v>0</v>
      </c>
      <c r="BM157" s="54">
        <v>0</v>
      </c>
      <c r="BN157" s="54">
        <v>0</v>
      </c>
    </row>
    <row r="158" spans="1:66" hidden="1" x14ac:dyDescent="0.3">
      <c r="A158" s="3">
        <v>152</v>
      </c>
      <c r="B158" s="3" t="s">
        <v>4636</v>
      </c>
      <c r="C158" s="3" t="s">
        <v>4238</v>
      </c>
      <c r="D158" s="3" t="s">
        <v>53</v>
      </c>
      <c r="E158" s="3">
        <v>102899619</v>
      </c>
      <c r="F158" s="3" t="s">
        <v>2373</v>
      </c>
      <c r="G158" s="157">
        <v>40431</v>
      </c>
      <c r="H158" s="3">
        <v>3217120234530000</v>
      </c>
      <c r="I158" s="3" t="s">
        <v>2353</v>
      </c>
      <c r="J158" s="3" t="s">
        <v>2574</v>
      </c>
      <c r="K158" s="3">
        <v>1</v>
      </c>
      <c r="L158" s="3">
        <v>3</v>
      </c>
      <c r="M158" s="3"/>
      <c r="N158" s="3" t="s">
        <v>2395</v>
      </c>
      <c r="O158" s="3" t="s">
        <v>2356</v>
      </c>
      <c r="P158" s="3">
        <v>40764</v>
      </c>
      <c r="Q158" s="3" t="s">
        <v>2357</v>
      </c>
      <c r="R158" s="3" t="s">
        <v>2358</v>
      </c>
      <c r="S158" s="3"/>
      <c r="T158" s="3">
        <v>8815141094</v>
      </c>
      <c r="U158" s="3"/>
      <c r="V158" s="3"/>
      <c r="W158" s="3" t="s">
        <v>2359</v>
      </c>
      <c r="X158" s="3"/>
      <c r="Y158" s="3" t="s">
        <v>4637</v>
      </c>
      <c r="Z158" s="3">
        <v>0</v>
      </c>
      <c r="AA158" s="3" t="s">
        <v>2367</v>
      </c>
      <c r="AB158" s="3" t="s">
        <v>2362</v>
      </c>
      <c r="AC158" s="3" t="s">
        <v>2363</v>
      </c>
      <c r="AD158" s="3"/>
      <c r="AE158" s="3" t="s">
        <v>4638</v>
      </c>
      <c r="AF158" s="3">
        <v>0</v>
      </c>
      <c r="AG158" s="3" t="s">
        <v>2361</v>
      </c>
      <c r="AH158" s="3" t="s">
        <v>2365</v>
      </c>
      <c r="AI158" s="3" t="s">
        <v>2366</v>
      </c>
      <c r="AJ158" s="3"/>
      <c r="AK158" s="3"/>
      <c r="AL158" s="3"/>
      <c r="AM158" s="3" t="s">
        <v>2367</v>
      </c>
      <c r="AN158" s="3"/>
      <c r="AO158" s="3"/>
      <c r="AP158" s="3"/>
      <c r="AQ158" s="3" t="s">
        <v>5146</v>
      </c>
      <c r="AR158" s="3"/>
      <c r="AS158" s="3"/>
      <c r="AT158" s="3" t="s">
        <v>2359</v>
      </c>
      <c r="AU158" s="3"/>
      <c r="AV158" s="3">
        <v>0</v>
      </c>
      <c r="AW158" s="3"/>
      <c r="AX158" s="3"/>
      <c r="AY158" s="3"/>
      <c r="AZ158" s="3"/>
      <c r="BA158" s="3"/>
      <c r="BB158" s="3" t="s">
        <v>2369</v>
      </c>
      <c r="BC158" s="3" t="s">
        <v>2370</v>
      </c>
      <c r="BD158" s="3" t="s">
        <v>2371</v>
      </c>
      <c r="BE158" s="3" t="s">
        <v>2553</v>
      </c>
      <c r="BF158" s="3">
        <v>1</v>
      </c>
      <c r="BG158" s="3">
        <v>-7.0068000000000001</v>
      </c>
      <c r="BH158" s="3">
        <v>107.2349</v>
      </c>
      <c r="BI158" s="3">
        <v>3217122208130000</v>
      </c>
      <c r="BJ158" s="3">
        <v>45</v>
      </c>
      <c r="BK158" s="3">
        <v>139</v>
      </c>
      <c r="BL158" s="3">
        <v>57</v>
      </c>
      <c r="BM158" s="3">
        <v>1</v>
      </c>
      <c r="BN158" s="3">
        <v>1</v>
      </c>
    </row>
    <row r="159" spans="1:66" s="219" customFormat="1" hidden="1" x14ac:dyDescent="0.3">
      <c r="A159" s="54">
        <v>153</v>
      </c>
      <c r="B159" s="54" t="s">
        <v>1345</v>
      </c>
      <c r="C159" s="54" t="s">
        <v>1399</v>
      </c>
      <c r="D159" s="54" t="s">
        <v>53</v>
      </c>
      <c r="E159" s="54">
        <v>83014758</v>
      </c>
      <c r="F159" s="54" t="s">
        <v>2446</v>
      </c>
      <c r="G159" s="108">
        <v>39694</v>
      </c>
      <c r="H159" s="54">
        <v>3217114309080000</v>
      </c>
      <c r="I159" s="54" t="s">
        <v>2353</v>
      </c>
      <c r="J159" s="54" t="s">
        <v>2593</v>
      </c>
      <c r="K159" s="54">
        <v>2</v>
      </c>
      <c r="L159" s="54">
        <v>13</v>
      </c>
      <c r="M159" s="54" t="s">
        <v>2593</v>
      </c>
      <c r="N159" s="54" t="s">
        <v>2425</v>
      </c>
      <c r="O159" s="54" t="s">
        <v>2426</v>
      </c>
      <c r="P159" s="54">
        <v>40562</v>
      </c>
      <c r="Q159" s="54" t="s">
        <v>2357</v>
      </c>
      <c r="R159" s="54" t="s">
        <v>2358</v>
      </c>
      <c r="S159" s="54"/>
      <c r="T159" s="54">
        <v>83829031275</v>
      </c>
      <c r="U159" s="54"/>
      <c r="V159" s="54"/>
      <c r="W159" s="54" t="s">
        <v>2359</v>
      </c>
      <c r="X159" s="54"/>
      <c r="Y159" s="54" t="s">
        <v>3101</v>
      </c>
      <c r="Z159" s="54">
        <v>1970</v>
      </c>
      <c r="AA159" s="54" t="s">
        <v>2402</v>
      </c>
      <c r="AB159" s="54" t="s">
        <v>2362</v>
      </c>
      <c r="AC159" s="54" t="s">
        <v>2403</v>
      </c>
      <c r="AD159" s="54"/>
      <c r="AE159" s="54" t="s">
        <v>3102</v>
      </c>
      <c r="AF159" s="54">
        <v>1978</v>
      </c>
      <c r="AG159" s="54" t="s">
        <v>2402</v>
      </c>
      <c r="AH159" s="54" t="s">
        <v>2365</v>
      </c>
      <c r="AI159" s="54" t="s">
        <v>2366</v>
      </c>
      <c r="AJ159" s="54">
        <v>3217115807780000</v>
      </c>
      <c r="AK159" s="54"/>
      <c r="AL159" s="54"/>
      <c r="AM159" s="54"/>
      <c r="AN159" s="54"/>
      <c r="AO159" s="54"/>
      <c r="AP159" s="54"/>
      <c r="AQ159" s="54" t="s">
        <v>5147</v>
      </c>
      <c r="AR159" s="54"/>
      <c r="AS159" s="54"/>
      <c r="AT159" s="54" t="s">
        <v>2359</v>
      </c>
      <c r="AU159" s="54"/>
      <c r="AV159" s="54">
        <v>0</v>
      </c>
      <c r="AW159" s="54"/>
      <c r="AX159" s="54" t="s">
        <v>3103</v>
      </c>
      <c r="AY159" s="54"/>
      <c r="AZ159" s="54"/>
      <c r="BA159" s="54"/>
      <c r="BB159" s="54" t="s">
        <v>2369</v>
      </c>
      <c r="BC159" s="54" t="s">
        <v>2370</v>
      </c>
      <c r="BD159" s="54" t="s">
        <v>2371</v>
      </c>
      <c r="BE159" s="54" t="s">
        <v>2430</v>
      </c>
      <c r="BF159" s="54">
        <v>4</v>
      </c>
      <c r="BG159" s="54">
        <v>-6.9514541999999997</v>
      </c>
      <c r="BH159" s="54">
        <v>107.4179645</v>
      </c>
      <c r="BI159" s="54">
        <v>3217110612050070</v>
      </c>
      <c r="BJ159" s="54">
        <v>17</v>
      </c>
      <c r="BK159" s="54">
        <v>115</v>
      </c>
      <c r="BL159" s="54">
        <v>56</v>
      </c>
      <c r="BM159" s="54">
        <v>2</v>
      </c>
      <c r="BN159" s="54">
        <v>1</v>
      </c>
    </row>
    <row r="160" spans="1:66" s="219" customFormat="1" hidden="1" x14ac:dyDescent="0.3">
      <c r="A160" s="54">
        <v>154</v>
      </c>
      <c r="B160" s="54" t="s">
        <v>1379</v>
      </c>
      <c r="C160" s="54" t="s">
        <v>1553</v>
      </c>
      <c r="D160" s="54" t="s">
        <v>53</v>
      </c>
      <c r="E160" s="54">
        <v>94724689</v>
      </c>
      <c r="F160" s="54" t="s">
        <v>2446</v>
      </c>
      <c r="G160" s="108">
        <v>40048</v>
      </c>
      <c r="H160" s="54">
        <v>3217126308090000</v>
      </c>
      <c r="I160" s="54" t="s">
        <v>2353</v>
      </c>
      <c r="J160" s="54" t="s">
        <v>3702</v>
      </c>
      <c r="K160" s="54">
        <v>1</v>
      </c>
      <c r="L160" s="54">
        <v>13</v>
      </c>
      <c r="M160" s="54"/>
      <c r="N160" s="54" t="s">
        <v>2513</v>
      </c>
      <c r="O160" s="54" t="s">
        <v>2356</v>
      </c>
      <c r="P160" s="54">
        <v>40563</v>
      </c>
      <c r="Q160" s="54" t="s">
        <v>2357</v>
      </c>
      <c r="R160" s="54" t="s">
        <v>2358</v>
      </c>
      <c r="S160" s="54"/>
      <c r="T160" s="54">
        <v>83837306294</v>
      </c>
      <c r="U160" s="54"/>
      <c r="V160" s="54"/>
      <c r="W160" s="54" t="s">
        <v>2359</v>
      </c>
      <c r="X160" s="54"/>
      <c r="Y160" s="54" t="s">
        <v>3703</v>
      </c>
      <c r="Z160" s="54">
        <v>1972</v>
      </c>
      <c r="AA160" s="54" t="s">
        <v>2402</v>
      </c>
      <c r="AB160" s="54" t="s">
        <v>2472</v>
      </c>
      <c r="AC160" s="54" t="s">
        <v>2403</v>
      </c>
      <c r="AD160" s="54"/>
      <c r="AE160" s="54" t="s">
        <v>3704</v>
      </c>
      <c r="AF160" s="54">
        <v>1983</v>
      </c>
      <c r="AG160" s="54" t="s">
        <v>2361</v>
      </c>
      <c r="AH160" s="54" t="s">
        <v>2365</v>
      </c>
      <c r="AI160" s="54" t="s">
        <v>2366</v>
      </c>
      <c r="AJ160" s="54"/>
      <c r="AK160" s="54"/>
      <c r="AL160" s="54"/>
      <c r="AM160" s="54"/>
      <c r="AN160" s="54"/>
      <c r="AO160" s="54"/>
      <c r="AP160" s="54"/>
      <c r="AQ160" s="54" t="s">
        <v>5147</v>
      </c>
      <c r="AR160" s="54"/>
      <c r="AS160" s="54"/>
      <c r="AT160" s="54" t="s">
        <v>2359</v>
      </c>
      <c r="AU160" s="54"/>
      <c r="AV160" s="54">
        <v>0</v>
      </c>
      <c r="AW160" s="54"/>
      <c r="AX160" s="54"/>
      <c r="AY160" s="54"/>
      <c r="AZ160" s="54"/>
      <c r="BA160" s="54"/>
      <c r="BB160" s="54" t="s">
        <v>2369</v>
      </c>
      <c r="BC160" s="54" t="s">
        <v>2370</v>
      </c>
      <c r="BD160" s="54" t="s">
        <v>2371</v>
      </c>
      <c r="BE160" s="54"/>
      <c r="BF160" s="54">
        <v>2</v>
      </c>
      <c r="BG160" s="54">
        <v>-6.9718999999999998</v>
      </c>
      <c r="BH160" s="54">
        <v>107.4145</v>
      </c>
      <c r="BI160" s="54">
        <v>3217121507130000</v>
      </c>
      <c r="BJ160" s="54">
        <v>41</v>
      </c>
      <c r="BK160" s="54">
        <v>142</v>
      </c>
      <c r="BL160" s="54">
        <v>54</v>
      </c>
      <c r="BM160" s="54">
        <v>1</v>
      </c>
      <c r="BN160" s="54">
        <v>2</v>
      </c>
    </row>
    <row r="161" spans="1:66" hidden="1" x14ac:dyDescent="0.3">
      <c r="A161" s="3">
        <v>155</v>
      </c>
      <c r="B161" s="3" t="s">
        <v>3908</v>
      </c>
      <c r="C161" s="3" t="s">
        <v>4300</v>
      </c>
      <c r="D161" s="3" t="s">
        <v>52</v>
      </c>
      <c r="E161" s="3">
        <v>3100848165</v>
      </c>
      <c r="F161" s="3" t="s">
        <v>2352</v>
      </c>
      <c r="G161" s="157">
        <v>40431</v>
      </c>
      <c r="H161" s="3">
        <v>3217111009100000</v>
      </c>
      <c r="I161" s="3" t="s">
        <v>2353</v>
      </c>
      <c r="J161" s="3" t="s">
        <v>3134</v>
      </c>
      <c r="K161" s="3">
        <v>2</v>
      </c>
      <c r="L161" s="3">
        <v>7</v>
      </c>
      <c r="M161" s="3"/>
      <c r="N161" s="3" t="s">
        <v>4508</v>
      </c>
      <c r="O161" s="3" t="s">
        <v>2426</v>
      </c>
      <c r="P161" s="3">
        <v>40562</v>
      </c>
      <c r="Q161" s="3" t="s">
        <v>2357</v>
      </c>
      <c r="R161" s="3" t="s">
        <v>2358</v>
      </c>
      <c r="S161" s="3"/>
      <c r="T161" s="3"/>
      <c r="U161" s="3"/>
      <c r="V161" s="3"/>
      <c r="W161" s="3" t="s">
        <v>2359</v>
      </c>
      <c r="X161" s="3"/>
      <c r="Y161" s="3" t="s">
        <v>4639</v>
      </c>
      <c r="Z161" s="3">
        <v>1971</v>
      </c>
      <c r="AA161" s="3" t="s">
        <v>2387</v>
      </c>
      <c r="AB161" s="3" t="s">
        <v>2388</v>
      </c>
      <c r="AC161" s="3" t="s">
        <v>2363</v>
      </c>
      <c r="AD161" s="3">
        <v>3217111205710000</v>
      </c>
      <c r="AE161" s="3" t="s">
        <v>2861</v>
      </c>
      <c r="AF161" s="3">
        <v>1981</v>
      </c>
      <c r="AG161" s="3" t="s">
        <v>2390</v>
      </c>
      <c r="AH161" s="3" t="s">
        <v>2365</v>
      </c>
      <c r="AI161" s="3" t="s">
        <v>2366</v>
      </c>
      <c r="AJ161" s="3">
        <v>3217114101810090</v>
      </c>
      <c r="AK161" s="3"/>
      <c r="AL161" s="3"/>
      <c r="AM161" s="3"/>
      <c r="AN161" s="3"/>
      <c r="AO161" s="3"/>
      <c r="AP161" s="3"/>
      <c r="AQ161" s="3" t="s">
        <v>5150</v>
      </c>
      <c r="AR161" s="3"/>
      <c r="AS161" s="3"/>
      <c r="AT161" s="3" t="s">
        <v>2359</v>
      </c>
      <c r="AU161" s="3"/>
      <c r="AV161" s="3">
        <v>1</v>
      </c>
      <c r="AW161" s="3"/>
      <c r="AX161" s="3" t="s">
        <v>4061</v>
      </c>
      <c r="AY161" s="3"/>
      <c r="AZ161" s="3"/>
      <c r="BA161" s="3"/>
      <c r="BB161" s="3" t="s">
        <v>2369</v>
      </c>
      <c r="BC161" s="3" t="s">
        <v>2370</v>
      </c>
      <c r="BD161" s="3" t="s">
        <v>2371</v>
      </c>
      <c r="BE161" s="3"/>
      <c r="BF161" s="3">
        <v>1</v>
      </c>
      <c r="BG161" s="3">
        <v>-6.9625000000000004</v>
      </c>
      <c r="BH161" s="3">
        <v>107.4346</v>
      </c>
      <c r="BI161" s="3">
        <v>3217111901070010</v>
      </c>
      <c r="BJ161" s="3">
        <v>45</v>
      </c>
      <c r="BK161" s="3">
        <v>142</v>
      </c>
      <c r="BL161" s="3">
        <v>58</v>
      </c>
      <c r="BM161" s="3">
        <v>2</v>
      </c>
      <c r="BN161" s="3">
        <v>1</v>
      </c>
    </row>
    <row r="162" spans="1:66" s="219" customFormat="1" hidden="1" x14ac:dyDescent="0.3">
      <c r="A162" s="54">
        <v>156</v>
      </c>
      <c r="B162" s="54" t="s">
        <v>1694</v>
      </c>
      <c r="C162" s="54" t="s">
        <v>2164</v>
      </c>
      <c r="D162" s="54" t="s">
        <v>53</v>
      </c>
      <c r="E162" s="54">
        <v>92821237</v>
      </c>
      <c r="F162" s="54" t="s">
        <v>2373</v>
      </c>
      <c r="G162" s="108">
        <v>40049</v>
      </c>
      <c r="H162" s="54">
        <v>3217116408090000</v>
      </c>
      <c r="I162" s="54" t="s">
        <v>2353</v>
      </c>
      <c r="J162" s="54" t="s">
        <v>2673</v>
      </c>
      <c r="K162" s="54">
        <v>3</v>
      </c>
      <c r="L162" s="54">
        <v>1</v>
      </c>
      <c r="M162" s="54"/>
      <c r="N162" s="54" t="s">
        <v>2566</v>
      </c>
      <c r="O162" s="54" t="s">
        <v>2426</v>
      </c>
      <c r="P162" s="54">
        <v>40562</v>
      </c>
      <c r="Q162" s="54" t="s">
        <v>2357</v>
      </c>
      <c r="R162" s="54" t="s">
        <v>2358</v>
      </c>
      <c r="S162" s="54"/>
      <c r="T162" s="54">
        <v>83829474187</v>
      </c>
      <c r="U162" s="54"/>
      <c r="V162" s="54"/>
      <c r="W162" s="54" t="s">
        <v>2359</v>
      </c>
      <c r="X162" s="54"/>
      <c r="Y162" s="54" t="s">
        <v>2674</v>
      </c>
      <c r="Z162" s="54">
        <v>1987</v>
      </c>
      <c r="AA162" s="54" t="s">
        <v>2390</v>
      </c>
      <c r="AB162" s="54" t="s">
        <v>2362</v>
      </c>
      <c r="AC162" s="54" t="s">
        <v>2363</v>
      </c>
      <c r="AD162" s="54">
        <v>3217110809870010</v>
      </c>
      <c r="AE162" s="54" t="s">
        <v>2675</v>
      </c>
      <c r="AF162" s="54">
        <v>1989</v>
      </c>
      <c r="AG162" s="54" t="s">
        <v>2390</v>
      </c>
      <c r="AH162" s="54" t="s">
        <v>2365</v>
      </c>
      <c r="AI162" s="54" t="s">
        <v>2366</v>
      </c>
      <c r="AJ162" s="54">
        <v>3217114808890020</v>
      </c>
      <c r="AK162" s="54"/>
      <c r="AL162" s="54"/>
      <c r="AM162" s="54"/>
      <c r="AN162" s="54"/>
      <c r="AO162" s="54"/>
      <c r="AP162" s="54"/>
      <c r="AQ162" s="54" t="s">
        <v>8180</v>
      </c>
      <c r="AR162" s="54"/>
      <c r="AS162" s="54"/>
      <c r="AT162" s="54" t="s">
        <v>2359</v>
      </c>
      <c r="AU162" s="54"/>
      <c r="AV162" s="54">
        <v>0</v>
      </c>
      <c r="AW162" s="54"/>
      <c r="AX162" s="54"/>
      <c r="AY162" s="54"/>
      <c r="AZ162" s="54"/>
      <c r="BA162" s="54"/>
      <c r="BB162" s="54" t="s">
        <v>2369</v>
      </c>
      <c r="BC162" s="54" t="s">
        <v>2370</v>
      </c>
      <c r="BD162" s="54" t="s">
        <v>2371</v>
      </c>
      <c r="BE162" s="54" t="s">
        <v>4593</v>
      </c>
      <c r="BF162" s="54">
        <v>1</v>
      </c>
      <c r="BG162" s="54">
        <v>-6.9668999999999999</v>
      </c>
      <c r="BH162" s="54">
        <v>107.4242</v>
      </c>
      <c r="BI162" s="54"/>
      <c r="BJ162" s="54">
        <v>48</v>
      </c>
      <c r="BK162" s="54">
        <v>142</v>
      </c>
      <c r="BL162" s="54">
        <v>0</v>
      </c>
      <c r="BM162" s="54">
        <v>0</v>
      </c>
      <c r="BN162" s="54">
        <v>0</v>
      </c>
    </row>
    <row r="163" spans="1:66" s="219" customFormat="1" hidden="1" x14ac:dyDescent="0.3">
      <c r="A163" s="54">
        <v>157</v>
      </c>
      <c r="B163" s="54" t="s">
        <v>3705</v>
      </c>
      <c r="C163" s="54" t="s">
        <v>1554</v>
      </c>
      <c r="D163" s="54" t="s">
        <v>53</v>
      </c>
      <c r="E163" s="54">
        <v>3092025624</v>
      </c>
      <c r="F163" s="54" t="s">
        <v>2373</v>
      </c>
      <c r="G163" s="108">
        <v>40073</v>
      </c>
      <c r="H163" s="54">
        <v>3217125709090000</v>
      </c>
      <c r="I163" s="54" t="s">
        <v>2353</v>
      </c>
      <c r="J163" s="54" t="s">
        <v>3706</v>
      </c>
      <c r="K163" s="54">
        <v>1</v>
      </c>
      <c r="L163" s="54">
        <v>9</v>
      </c>
      <c r="M163" s="54"/>
      <c r="N163" s="54" t="s">
        <v>2409</v>
      </c>
      <c r="O163" s="54" t="s">
        <v>2356</v>
      </c>
      <c r="P163" s="54"/>
      <c r="Q163" s="54" t="s">
        <v>2357</v>
      </c>
      <c r="R163" s="54" t="s">
        <v>2374</v>
      </c>
      <c r="S163" s="54"/>
      <c r="T163" s="54"/>
      <c r="U163" s="54"/>
      <c r="V163" s="54"/>
      <c r="W163" s="54" t="s">
        <v>2359</v>
      </c>
      <c r="X163" s="54"/>
      <c r="Y163" s="54"/>
      <c r="Z163" s="54">
        <v>1970</v>
      </c>
      <c r="AA163" s="54" t="s">
        <v>2402</v>
      </c>
      <c r="AB163" s="54" t="s">
        <v>2362</v>
      </c>
      <c r="AC163" s="54" t="s">
        <v>2375</v>
      </c>
      <c r="AD163" s="54"/>
      <c r="AE163" s="54" t="s">
        <v>3707</v>
      </c>
      <c r="AF163" s="54">
        <v>1973</v>
      </c>
      <c r="AG163" s="54" t="s">
        <v>2402</v>
      </c>
      <c r="AH163" s="54" t="s">
        <v>2365</v>
      </c>
      <c r="AI163" s="54" t="s">
        <v>2366</v>
      </c>
      <c r="AJ163" s="54"/>
      <c r="AK163" s="54"/>
      <c r="AL163" s="54"/>
      <c r="AM163" s="54"/>
      <c r="AN163" s="54"/>
      <c r="AO163" s="54"/>
      <c r="AP163" s="54"/>
      <c r="AQ163" s="54" t="s">
        <v>5147</v>
      </c>
      <c r="AR163" s="54"/>
      <c r="AS163" s="54"/>
      <c r="AT163" s="54" t="s">
        <v>2359</v>
      </c>
      <c r="AU163" s="54"/>
      <c r="AV163" s="54">
        <v>0</v>
      </c>
      <c r="AW163" s="54"/>
      <c r="AX163" s="54" t="s">
        <v>3708</v>
      </c>
      <c r="AY163" s="54"/>
      <c r="AZ163" s="54"/>
      <c r="BA163" s="54"/>
      <c r="BB163" s="54" t="s">
        <v>2359</v>
      </c>
      <c r="BC163" s="54"/>
      <c r="BD163" s="54" t="s">
        <v>2371</v>
      </c>
      <c r="BE163" s="54"/>
      <c r="BF163" s="54">
        <v>1</v>
      </c>
      <c r="BG163" s="54">
        <v>-6.9625000000000004</v>
      </c>
      <c r="BH163" s="54">
        <v>107.4346</v>
      </c>
      <c r="BI163" s="54">
        <v>3217121108200000</v>
      </c>
      <c r="BJ163" s="54">
        <v>45</v>
      </c>
      <c r="BK163" s="54">
        <v>143</v>
      </c>
      <c r="BL163" s="54">
        <v>56</v>
      </c>
      <c r="BM163" s="54">
        <v>1</v>
      </c>
      <c r="BN163" s="54">
        <v>1</v>
      </c>
    </row>
    <row r="164" spans="1:66" s="219" customFormat="1" hidden="1" x14ac:dyDescent="0.3">
      <c r="A164" s="54">
        <v>158</v>
      </c>
      <c r="B164" s="54" t="s">
        <v>1768</v>
      </c>
      <c r="C164" s="54" t="s">
        <v>1400</v>
      </c>
      <c r="D164" s="54" t="s">
        <v>52</v>
      </c>
      <c r="E164" s="54">
        <v>86838818</v>
      </c>
      <c r="F164" s="54" t="s">
        <v>2352</v>
      </c>
      <c r="G164" s="108">
        <v>39644</v>
      </c>
      <c r="H164" s="54">
        <v>3217111507080000</v>
      </c>
      <c r="I164" s="54" t="s">
        <v>2353</v>
      </c>
      <c r="J164" s="54" t="s">
        <v>3104</v>
      </c>
      <c r="K164" s="54">
        <v>5</v>
      </c>
      <c r="L164" s="54">
        <v>2</v>
      </c>
      <c r="M164" s="54"/>
      <c r="N164" s="54" t="s">
        <v>3105</v>
      </c>
      <c r="O164" s="54" t="s">
        <v>2426</v>
      </c>
      <c r="P164" s="54">
        <v>40562</v>
      </c>
      <c r="Q164" s="54" t="s">
        <v>2357</v>
      </c>
      <c r="R164" s="54" t="s">
        <v>2358</v>
      </c>
      <c r="S164" s="54"/>
      <c r="T164" s="54">
        <v>87821835529</v>
      </c>
      <c r="U164" s="54"/>
      <c r="V164" s="54"/>
      <c r="W164" s="54" t="s">
        <v>2369</v>
      </c>
      <c r="X164" s="54" t="s">
        <v>3106</v>
      </c>
      <c r="Y164" s="54" t="s">
        <v>3107</v>
      </c>
      <c r="Z164" s="54">
        <v>1979</v>
      </c>
      <c r="AA164" s="54" t="s">
        <v>2361</v>
      </c>
      <c r="AB164" s="54" t="s">
        <v>2362</v>
      </c>
      <c r="AC164" s="54" t="s">
        <v>2363</v>
      </c>
      <c r="AD164" s="54"/>
      <c r="AE164" s="54" t="s">
        <v>3108</v>
      </c>
      <c r="AF164" s="54">
        <v>1981</v>
      </c>
      <c r="AG164" s="54" t="s">
        <v>2361</v>
      </c>
      <c r="AH164" s="54" t="s">
        <v>2365</v>
      </c>
      <c r="AI164" s="54" t="s">
        <v>2366</v>
      </c>
      <c r="AJ164" s="54">
        <v>3217115502810010</v>
      </c>
      <c r="AK164" s="54"/>
      <c r="AL164" s="54"/>
      <c r="AM164" s="54"/>
      <c r="AN164" s="54"/>
      <c r="AO164" s="54"/>
      <c r="AP164" s="54"/>
      <c r="AQ164" s="54" t="s">
        <v>5147</v>
      </c>
      <c r="AR164" s="54"/>
      <c r="AS164" s="54"/>
      <c r="AT164" s="54" t="s">
        <v>2359</v>
      </c>
      <c r="AU164" s="54"/>
      <c r="AV164" s="54">
        <v>0</v>
      </c>
      <c r="AW164" s="54"/>
      <c r="AX164" s="54"/>
      <c r="AY164" s="54"/>
      <c r="AZ164" s="54"/>
      <c r="BA164" s="54"/>
      <c r="BB164" s="54" t="s">
        <v>2369</v>
      </c>
      <c r="BC164" s="54" t="s">
        <v>2443</v>
      </c>
      <c r="BD164" s="54" t="s">
        <v>2371</v>
      </c>
      <c r="BE164" s="54" t="s">
        <v>3109</v>
      </c>
      <c r="BF164" s="54">
        <v>1</v>
      </c>
      <c r="BG164" s="54">
        <v>-6.9668999999999999</v>
      </c>
      <c r="BH164" s="54">
        <v>107.4242</v>
      </c>
      <c r="BI164" s="54">
        <v>3217110207080000</v>
      </c>
      <c r="BJ164" s="54">
        <v>39</v>
      </c>
      <c r="BK164" s="54">
        <v>143</v>
      </c>
      <c r="BL164" s="54">
        <v>58</v>
      </c>
      <c r="BM164" s="54">
        <v>2</v>
      </c>
      <c r="BN164" s="54">
        <v>1</v>
      </c>
    </row>
    <row r="165" spans="1:66" x14ac:dyDescent="0.3">
      <c r="A165" s="3">
        <v>159</v>
      </c>
      <c r="B165" s="3" t="s">
        <v>4640</v>
      </c>
      <c r="C165" s="3" t="s">
        <v>4397</v>
      </c>
      <c r="D165" s="3" t="s">
        <v>52</v>
      </c>
      <c r="E165" s="3">
        <v>106453446</v>
      </c>
      <c r="F165" s="3" t="s">
        <v>2373</v>
      </c>
      <c r="G165" s="157">
        <v>40377</v>
      </c>
      <c r="H165" s="3">
        <v>3217111807100000</v>
      </c>
      <c r="I165" s="3" t="s">
        <v>2353</v>
      </c>
      <c r="J165" s="3" t="s">
        <v>2424</v>
      </c>
      <c r="K165" s="3">
        <v>2</v>
      </c>
      <c r="L165" s="3">
        <v>8</v>
      </c>
      <c r="M165" s="3"/>
      <c r="N165" s="3" t="s">
        <v>2425</v>
      </c>
      <c r="O165" s="3" t="s">
        <v>2426</v>
      </c>
      <c r="P165" s="3">
        <v>40562</v>
      </c>
      <c r="Q165" s="3" t="s">
        <v>2357</v>
      </c>
      <c r="R165" s="3" t="s">
        <v>2358</v>
      </c>
      <c r="S165" s="3"/>
      <c r="T165" s="3">
        <v>8978656992</v>
      </c>
      <c r="U165" s="3"/>
      <c r="V165" s="3"/>
      <c r="W165" s="3" t="s">
        <v>2369</v>
      </c>
      <c r="X165" s="3">
        <v>122000105768992</v>
      </c>
      <c r="Y165" s="3" t="s">
        <v>4641</v>
      </c>
      <c r="Z165" s="3">
        <v>1967</v>
      </c>
      <c r="AA165" s="3" t="s">
        <v>2402</v>
      </c>
      <c r="AB165" s="3" t="s">
        <v>2493</v>
      </c>
      <c r="AC165" s="3" t="s">
        <v>2363</v>
      </c>
      <c r="AD165" s="3"/>
      <c r="AE165" s="3" t="s">
        <v>4642</v>
      </c>
      <c r="AF165" s="3">
        <v>1974</v>
      </c>
      <c r="AG165" s="3" t="s">
        <v>2361</v>
      </c>
      <c r="AH165" s="3" t="s">
        <v>2365</v>
      </c>
      <c r="AI165" s="3" t="s">
        <v>2366</v>
      </c>
      <c r="AJ165" s="3"/>
      <c r="AK165" s="3"/>
      <c r="AL165" s="3"/>
      <c r="AM165" s="3" t="s">
        <v>2367</v>
      </c>
      <c r="AN165" s="3"/>
      <c r="AO165" s="3"/>
      <c r="AP165" s="3"/>
      <c r="AQ165" s="3" t="s">
        <v>5148</v>
      </c>
      <c r="AR165" s="3"/>
      <c r="AS165" s="3"/>
      <c r="AT165" s="3" t="s">
        <v>2359</v>
      </c>
      <c r="AU165" s="3"/>
      <c r="AV165" s="3">
        <v>0</v>
      </c>
      <c r="AW165" s="3"/>
      <c r="AX165" s="3" t="s">
        <v>4106</v>
      </c>
      <c r="AY165" s="3"/>
      <c r="AZ165" s="3"/>
      <c r="BA165" s="3"/>
      <c r="BB165" s="3" t="s">
        <v>2369</v>
      </c>
      <c r="BC165" s="3" t="s">
        <v>2443</v>
      </c>
      <c r="BD165" s="3" t="s">
        <v>2371</v>
      </c>
      <c r="BE165" s="3" t="s">
        <v>2430</v>
      </c>
      <c r="BF165" s="3">
        <v>5</v>
      </c>
      <c r="BG165" s="3">
        <v>-6.9514541999999997</v>
      </c>
      <c r="BH165" s="3">
        <v>107.4179645</v>
      </c>
      <c r="BI165" s="3"/>
      <c r="BJ165" s="3">
        <v>54</v>
      </c>
      <c r="BK165" s="3">
        <v>144</v>
      </c>
      <c r="BL165" s="3">
        <v>57</v>
      </c>
      <c r="BM165" s="3">
        <v>1</v>
      </c>
      <c r="BN165" s="3">
        <v>2</v>
      </c>
    </row>
    <row r="166" spans="1:66" s="219" customFormat="1" hidden="1" x14ac:dyDescent="0.3">
      <c r="A166" s="54">
        <v>160</v>
      </c>
      <c r="B166" s="54" t="s">
        <v>2581</v>
      </c>
      <c r="C166" s="54" t="s">
        <v>2139</v>
      </c>
      <c r="D166" s="54" t="s">
        <v>53</v>
      </c>
      <c r="E166" s="54">
        <v>106351518</v>
      </c>
      <c r="F166" s="54" t="s">
        <v>2373</v>
      </c>
      <c r="G166" s="108">
        <v>40532</v>
      </c>
      <c r="H166" s="54">
        <v>3217112012100000</v>
      </c>
      <c r="I166" s="54" t="s">
        <v>2353</v>
      </c>
      <c r="J166" s="54" t="s">
        <v>2582</v>
      </c>
      <c r="K166" s="54">
        <v>1</v>
      </c>
      <c r="L166" s="54">
        <v>14</v>
      </c>
      <c r="M166" s="54" t="s">
        <v>2582</v>
      </c>
      <c r="N166" s="54" t="s">
        <v>2425</v>
      </c>
      <c r="O166" s="54" t="s">
        <v>2426</v>
      </c>
      <c r="P166" s="54">
        <v>40562</v>
      </c>
      <c r="Q166" s="54" t="s">
        <v>2357</v>
      </c>
      <c r="R166" s="54" t="s">
        <v>2358</v>
      </c>
      <c r="S166" s="54"/>
      <c r="T166" s="54">
        <v>859159712006</v>
      </c>
      <c r="U166" s="54"/>
      <c r="V166" s="54"/>
      <c r="W166" s="54" t="s">
        <v>2359</v>
      </c>
      <c r="X166" s="54"/>
      <c r="Y166" s="54" t="s">
        <v>2583</v>
      </c>
      <c r="Z166" s="54">
        <v>1967</v>
      </c>
      <c r="AA166" s="54" t="s">
        <v>2390</v>
      </c>
      <c r="AB166" s="54" t="s">
        <v>2362</v>
      </c>
      <c r="AC166" s="54" t="s">
        <v>2403</v>
      </c>
      <c r="AD166" s="54"/>
      <c r="AE166" s="54" t="s">
        <v>2584</v>
      </c>
      <c r="AF166" s="54">
        <v>1972</v>
      </c>
      <c r="AG166" s="54" t="s">
        <v>2361</v>
      </c>
      <c r="AH166" s="54" t="s">
        <v>2365</v>
      </c>
      <c r="AI166" s="54" t="s">
        <v>2366</v>
      </c>
      <c r="AJ166" s="54"/>
      <c r="AK166" s="54"/>
      <c r="AL166" s="54"/>
      <c r="AM166" s="54" t="s">
        <v>2367</v>
      </c>
      <c r="AN166" s="54"/>
      <c r="AO166" s="54"/>
      <c r="AP166" s="54"/>
      <c r="AQ166" s="54" t="s">
        <v>8181</v>
      </c>
      <c r="AR166" s="54"/>
      <c r="AS166" s="54"/>
      <c r="AT166" s="54" t="s">
        <v>2359</v>
      </c>
      <c r="AU166" s="54"/>
      <c r="AV166" s="54">
        <v>0</v>
      </c>
      <c r="AW166" s="54"/>
      <c r="AX166" s="54"/>
      <c r="AY166" s="54"/>
      <c r="AZ166" s="54"/>
      <c r="BA166" s="54"/>
      <c r="BB166" s="54" t="s">
        <v>2369</v>
      </c>
      <c r="BC166" s="54" t="s">
        <v>2370</v>
      </c>
      <c r="BD166" s="54" t="s">
        <v>2371</v>
      </c>
      <c r="BE166" s="54" t="s">
        <v>2430</v>
      </c>
      <c r="BF166" s="54">
        <v>1</v>
      </c>
      <c r="BG166" s="54">
        <v>-6.9514541999999997</v>
      </c>
      <c r="BH166" s="54">
        <v>107.4179645</v>
      </c>
      <c r="BI166" s="54"/>
      <c r="BJ166" s="54">
        <v>50</v>
      </c>
      <c r="BK166" s="54">
        <v>142</v>
      </c>
      <c r="BL166" s="54">
        <v>0</v>
      </c>
      <c r="BM166" s="54">
        <v>0</v>
      </c>
      <c r="BN166" s="54">
        <v>0</v>
      </c>
    </row>
    <row r="167" spans="1:66" s="219" customFormat="1" hidden="1" x14ac:dyDescent="0.3">
      <c r="A167" s="54">
        <v>161</v>
      </c>
      <c r="B167" s="54" t="s">
        <v>2431</v>
      </c>
      <c r="C167" s="54" t="s">
        <v>2105</v>
      </c>
      <c r="D167" s="54" t="s">
        <v>53</v>
      </c>
      <c r="E167" s="54">
        <v>95634045</v>
      </c>
      <c r="F167" s="54" t="s">
        <v>2432</v>
      </c>
      <c r="G167" s="108">
        <v>39938</v>
      </c>
      <c r="H167" s="54">
        <v>3217124505090000</v>
      </c>
      <c r="I167" s="54" t="s">
        <v>2353</v>
      </c>
      <c r="J167" s="54" t="s">
        <v>2418</v>
      </c>
      <c r="K167" s="54">
        <v>4</v>
      </c>
      <c r="L167" s="54">
        <v>5</v>
      </c>
      <c r="M167" s="54"/>
      <c r="N167" s="54" t="s">
        <v>2409</v>
      </c>
      <c r="O167" s="54" t="s">
        <v>2356</v>
      </c>
      <c r="P167" s="54">
        <v>40564</v>
      </c>
      <c r="Q167" s="54" t="s">
        <v>2357</v>
      </c>
      <c r="R167" s="54" t="s">
        <v>2358</v>
      </c>
      <c r="S167" s="54"/>
      <c r="T167" s="54">
        <v>83829921343</v>
      </c>
      <c r="U167" s="54"/>
      <c r="V167" s="54"/>
      <c r="W167" s="54" t="s">
        <v>2359</v>
      </c>
      <c r="X167" s="54"/>
      <c r="Y167" s="54" t="s">
        <v>2433</v>
      </c>
      <c r="Z167" s="54">
        <v>1965</v>
      </c>
      <c r="AA167" s="54" t="s">
        <v>2361</v>
      </c>
      <c r="AB167" s="54" t="s">
        <v>2362</v>
      </c>
      <c r="AC167" s="54" t="s">
        <v>2363</v>
      </c>
      <c r="AD167" s="54">
        <v>3217120111650000</v>
      </c>
      <c r="AE167" s="54" t="s">
        <v>2434</v>
      </c>
      <c r="AF167" s="54">
        <v>1973</v>
      </c>
      <c r="AG167" s="54" t="s">
        <v>2361</v>
      </c>
      <c r="AH167" s="54" t="s">
        <v>2365</v>
      </c>
      <c r="AI167" s="54" t="s">
        <v>2366</v>
      </c>
      <c r="AJ167" s="54">
        <v>3217124112730010</v>
      </c>
      <c r="AK167" s="54"/>
      <c r="AL167" s="54"/>
      <c r="AM167" s="54" t="s">
        <v>2367</v>
      </c>
      <c r="AN167" s="54"/>
      <c r="AO167" s="54"/>
      <c r="AP167" s="54"/>
      <c r="AQ167" s="54" t="s">
        <v>8177</v>
      </c>
      <c r="AR167" s="54"/>
      <c r="AS167" s="54"/>
      <c r="AT167" s="54" t="s">
        <v>2359</v>
      </c>
      <c r="AU167" s="54"/>
      <c r="AV167" s="54">
        <v>0</v>
      </c>
      <c r="AW167" s="54"/>
      <c r="AX167" s="54" t="s">
        <v>2435</v>
      </c>
      <c r="AY167" s="54"/>
      <c r="AZ167" s="54"/>
      <c r="BA167" s="54"/>
      <c r="BB167" s="54" t="s">
        <v>2369</v>
      </c>
      <c r="BC167" s="54" t="s">
        <v>2370</v>
      </c>
      <c r="BD167" s="54" t="s">
        <v>2371</v>
      </c>
      <c r="BE167" s="54" t="s">
        <v>2422</v>
      </c>
      <c r="BF167" s="54">
        <v>1</v>
      </c>
      <c r="BG167" s="54">
        <v>-6.9554</v>
      </c>
      <c r="BH167" s="54">
        <v>107.39319999999999</v>
      </c>
      <c r="BI167" s="54"/>
      <c r="BJ167" s="54">
        <v>49</v>
      </c>
      <c r="BK167" s="54">
        <v>138</v>
      </c>
      <c r="BL167" s="54">
        <v>0</v>
      </c>
      <c r="BM167" s="54">
        <v>0</v>
      </c>
      <c r="BN167" s="54">
        <v>0</v>
      </c>
    </row>
    <row r="168" spans="1:66" s="219" customFormat="1" hidden="1" x14ac:dyDescent="0.3">
      <c r="A168" s="54">
        <v>162</v>
      </c>
      <c r="B168" s="54" t="s">
        <v>1346</v>
      </c>
      <c r="C168" s="54" t="s">
        <v>1401</v>
      </c>
      <c r="D168" s="54" t="s">
        <v>53</v>
      </c>
      <c r="E168" s="54">
        <v>91983928</v>
      </c>
      <c r="F168" s="54" t="s">
        <v>2446</v>
      </c>
      <c r="G168" s="108">
        <v>39996</v>
      </c>
      <c r="H168" s="54">
        <v>3217084207090000</v>
      </c>
      <c r="I168" s="54" t="s">
        <v>2353</v>
      </c>
      <c r="J168" s="54" t="s">
        <v>2418</v>
      </c>
      <c r="K168" s="54">
        <v>1</v>
      </c>
      <c r="L168" s="54">
        <v>5</v>
      </c>
      <c r="M168" s="54"/>
      <c r="N168" s="54" t="s">
        <v>2409</v>
      </c>
      <c r="O168" s="54" t="s">
        <v>2356</v>
      </c>
      <c r="P168" s="54">
        <v>40564</v>
      </c>
      <c r="Q168" s="54" t="s">
        <v>2357</v>
      </c>
      <c r="R168" s="54" t="s">
        <v>2358</v>
      </c>
      <c r="S168" s="54"/>
      <c r="T168" s="54">
        <v>85721697836</v>
      </c>
      <c r="U168" s="54"/>
      <c r="V168" s="54"/>
      <c r="W168" s="54" t="s">
        <v>2359</v>
      </c>
      <c r="X168" s="54"/>
      <c r="Y168" s="54" t="s">
        <v>3110</v>
      </c>
      <c r="Z168" s="54">
        <v>1980</v>
      </c>
      <c r="AA168" s="54" t="s">
        <v>2402</v>
      </c>
      <c r="AB168" s="54" t="s">
        <v>2362</v>
      </c>
      <c r="AC168" s="54" t="s">
        <v>2403</v>
      </c>
      <c r="AD168" s="54"/>
      <c r="AE168" s="54" t="s">
        <v>4643</v>
      </c>
      <c r="AF168" s="54">
        <v>1982</v>
      </c>
      <c r="AG168" s="54" t="s">
        <v>2402</v>
      </c>
      <c r="AH168" s="54" t="s">
        <v>2365</v>
      </c>
      <c r="AI168" s="54" t="s">
        <v>2366</v>
      </c>
      <c r="AJ168" s="54"/>
      <c r="AK168" s="54"/>
      <c r="AL168" s="54"/>
      <c r="AM168" s="54"/>
      <c r="AN168" s="54"/>
      <c r="AO168" s="54"/>
      <c r="AP168" s="54"/>
      <c r="AQ168" s="54" t="s">
        <v>5147</v>
      </c>
      <c r="AR168" s="54"/>
      <c r="AS168" s="54"/>
      <c r="AT168" s="54" t="s">
        <v>2359</v>
      </c>
      <c r="AU168" s="54"/>
      <c r="AV168" s="54">
        <v>0</v>
      </c>
      <c r="AW168" s="54"/>
      <c r="AX168" s="54"/>
      <c r="AY168" s="54"/>
      <c r="AZ168" s="54"/>
      <c r="BA168" s="54"/>
      <c r="BB168" s="54" t="s">
        <v>2369</v>
      </c>
      <c r="BC168" s="54" t="s">
        <v>2370</v>
      </c>
      <c r="BD168" s="54" t="s">
        <v>2371</v>
      </c>
      <c r="BE168" s="54" t="s">
        <v>3111</v>
      </c>
      <c r="BF168" s="54"/>
      <c r="BG168" s="54">
        <v>-6.9554</v>
      </c>
      <c r="BH168" s="54">
        <v>107.39319999999999</v>
      </c>
      <c r="BI168" s="54"/>
      <c r="BJ168" s="54">
        <v>19</v>
      </c>
      <c r="BK168" s="54">
        <v>109</v>
      </c>
      <c r="BL168" s="54">
        <v>55</v>
      </c>
      <c r="BM168" s="54">
        <v>1</v>
      </c>
      <c r="BN168" s="54">
        <v>1</v>
      </c>
    </row>
    <row r="169" spans="1:66" hidden="1" x14ac:dyDescent="0.3">
      <c r="A169" s="3">
        <v>163</v>
      </c>
      <c r="B169" s="3" t="s">
        <v>3909</v>
      </c>
      <c r="C169" s="3" t="s">
        <v>4367</v>
      </c>
      <c r="D169" s="3" t="s">
        <v>53</v>
      </c>
      <c r="E169" s="3">
        <v>3113541021</v>
      </c>
      <c r="F169" s="3" t="s">
        <v>2377</v>
      </c>
      <c r="G169" s="157">
        <v>40707</v>
      </c>
      <c r="H169" s="3">
        <v>3217125306110000</v>
      </c>
      <c r="I169" s="3" t="s">
        <v>2353</v>
      </c>
      <c r="J169" s="3" t="s">
        <v>4644</v>
      </c>
      <c r="K169" s="3">
        <v>1</v>
      </c>
      <c r="L169" s="3">
        <v>1</v>
      </c>
      <c r="M169" s="3"/>
      <c r="N169" s="3" t="s">
        <v>4475</v>
      </c>
      <c r="O169" s="3" t="s">
        <v>2356</v>
      </c>
      <c r="P169" s="3">
        <v>40563</v>
      </c>
      <c r="Q169" s="3" t="s">
        <v>2357</v>
      </c>
      <c r="R169" s="3" t="s">
        <v>2358</v>
      </c>
      <c r="S169" s="3"/>
      <c r="T169" s="3"/>
      <c r="U169" s="3"/>
      <c r="V169" s="3"/>
      <c r="W169" s="3" t="s">
        <v>2359</v>
      </c>
      <c r="X169" s="3"/>
      <c r="Y169" s="3" t="s">
        <v>4645</v>
      </c>
      <c r="Z169" s="3">
        <v>1985</v>
      </c>
      <c r="AA169" s="3" t="s">
        <v>2390</v>
      </c>
      <c r="AB169" s="3" t="s">
        <v>2362</v>
      </c>
      <c r="AC169" s="3" t="s">
        <v>2403</v>
      </c>
      <c r="AD169" s="3">
        <v>3217122707850020</v>
      </c>
      <c r="AE169" s="3" t="s">
        <v>4646</v>
      </c>
      <c r="AF169" s="3">
        <v>1990</v>
      </c>
      <c r="AG169" s="3" t="s">
        <v>2402</v>
      </c>
      <c r="AH169" s="3" t="s">
        <v>2365</v>
      </c>
      <c r="AI169" s="3" t="s">
        <v>2366</v>
      </c>
      <c r="AJ169" s="3">
        <v>3217124202900020</v>
      </c>
      <c r="AK169" s="3"/>
      <c r="AL169" s="3"/>
      <c r="AM169" s="3"/>
      <c r="AN169" s="3"/>
      <c r="AO169" s="3"/>
      <c r="AP169" s="3"/>
      <c r="AQ169" s="3" t="s">
        <v>5151</v>
      </c>
      <c r="AR169" s="3" t="s">
        <v>4021</v>
      </c>
      <c r="AS169" s="3" t="s">
        <v>4647</v>
      </c>
      <c r="AT169" s="3" t="s">
        <v>2359</v>
      </c>
      <c r="AU169" s="3"/>
      <c r="AV169" s="3">
        <v>1</v>
      </c>
      <c r="AW169" s="3"/>
      <c r="AX169" s="3" t="s">
        <v>4648</v>
      </c>
      <c r="AY169" s="3"/>
      <c r="AZ169" s="3"/>
      <c r="BA169" s="3"/>
      <c r="BB169" s="3" t="s">
        <v>2369</v>
      </c>
      <c r="BC169" s="3" t="s">
        <v>2370</v>
      </c>
      <c r="BD169" s="3" t="s">
        <v>2371</v>
      </c>
      <c r="BE169" s="3" t="s">
        <v>4497</v>
      </c>
      <c r="BF169" s="3">
        <v>1</v>
      </c>
      <c r="BG169" s="3">
        <v>-6.9625000000000004</v>
      </c>
      <c r="BH169" s="3">
        <v>107.4346</v>
      </c>
      <c r="BI169" s="3">
        <v>3217121108090020</v>
      </c>
      <c r="BJ169" s="3">
        <v>43</v>
      </c>
      <c r="BK169" s="3">
        <v>142</v>
      </c>
      <c r="BL169" s="3">
        <v>55</v>
      </c>
      <c r="BM169" s="3">
        <v>2</v>
      </c>
      <c r="BN169" s="3">
        <v>2</v>
      </c>
    </row>
    <row r="170" spans="1:66" s="219" customFormat="1" hidden="1" x14ac:dyDescent="0.3">
      <c r="A170" s="54">
        <v>164</v>
      </c>
      <c r="B170" s="54" t="s">
        <v>1901</v>
      </c>
      <c r="C170" s="54" t="s">
        <v>1555</v>
      </c>
      <c r="D170" s="54" t="s">
        <v>52</v>
      </c>
      <c r="E170" s="54">
        <v>74839989</v>
      </c>
      <c r="F170" s="54" t="s">
        <v>2446</v>
      </c>
      <c r="G170" s="108">
        <v>39312</v>
      </c>
      <c r="H170" s="54">
        <v>1111111111111110</v>
      </c>
      <c r="I170" s="54" t="s">
        <v>2353</v>
      </c>
      <c r="J170" s="54" t="s">
        <v>3165</v>
      </c>
      <c r="K170" s="54">
        <v>3</v>
      </c>
      <c r="L170" s="54">
        <v>9</v>
      </c>
      <c r="M170" s="54"/>
      <c r="N170" s="54" t="s">
        <v>2425</v>
      </c>
      <c r="O170" s="54" t="s">
        <v>2426</v>
      </c>
      <c r="P170" s="54">
        <v>40562</v>
      </c>
      <c r="Q170" s="54" t="s">
        <v>2357</v>
      </c>
      <c r="R170" s="54" t="s">
        <v>2358</v>
      </c>
      <c r="S170" s="54"/>
      <c r="T170" s="54"/>
      <c r="U170" s="54"/>
      <c r="V170" s="54"/>
      <c r="W170" s="54" t="s">
        <v>2359</v>
      </c>
      <c r="X170" s="54"/>
      <c r="Y170" s="54" t="s">
        <v>3709</v>
      </c>
      <c r="Z170" s="54">
        <v>1967</v>
      </c>
      <c r="AA170" s="54" t="s">
        <v>2361</v>
      </c>
      <c r="AB170" s="54" t="s">
        <v>2362</v>
      </c>
      <c r="AC170" s="54" t="s">
        <v>2403</v>
      </c>
      <c r="AD170" s="54"/>
      <c r="AE170" s="54" t="s">
        <v>3710</v>
      </c>
      <c r="AF170" s="54">
        <v>1976</v>
      </c>
      <c r="AG170" s="54" t="s">
        <v>2361</v>
      </c>
      <c r="AH170" s="54" t="s">
        <v>2365</v>
      </c>
      <c r="AI170" s="54" t="s">
        <v>2366</v>
      </c>
      <c r="AJ170" s="54"/>
      <c r="AK170" s="54"/>
      <c r="AL170" s="54"/>
      <c r="AM170" s="54"/>
      <c r="AN170" s="54"/>
      <c r="AO170" s="54"/>
      <c r="AP170" s="54"/>
      <c r="AQ170" s="54" t="s">
        <v>5147</v>
      </c>
      <c r="AR170" s="54"/>
      <c r="AS170" s="54"/>
      <c r="AT170" s="54" t="s">
        <v>2369</v>
      </c>
      <c r="AU170" s="54" t="s">
        <v>3711</v>
      </c>
      <c r="AV170" s="54">
        <v>0</v>
      </c>
      <c r="AW170" s="54" t="s">
        <v>3712</v>
      </c>
      <c r="AX170" s="54"/>
      <c r="AY170" s="54" t="s">
        <v>2460</v>
      </c>
      <c r="AZ170" s="54">
        <v>367101003950505</v>
      </c>
      <c r="BA170" s="54" t="s">
        <v>3713</v>
      </c>
      <c r="BB170" s="54" t="s">
        <v>2369</v>
      </c>
      <c r="BC170" s="54"/>
      <c r="BD170" s="54" t="s">
        <v>2371</v>
      </c>
      <c r="BE170" s="54"/>
      <c r="BF170" s="54">
        <v>1</v>
      </c>
      <c r="BG170" s="54">
        <v>-6.9743000000000004</v>
      </c>
      <c r="BH170" s="54">
        <v>107.43559999999999</v>
      </c>
      <c r="BI170" s="54"/>
      <c r="BJ170" s="54">
        <v>41</v>
      </c>
      <c r="BK170" s="54">
        <v>138</v>
      </c>
      <c r="BL170" s="54">
        <v>56</v>
      </c>
      <c r="BM170" s="54">
        <v>1</v>
      </c>
      <c r="BN170" s="54">
        <v>1</v>
      </c>
    </row>
    <row r="171" spans="1:66" x14ac:dyDescent="0.3">
      <c r="A171" s="3">
        <v>165</v>
      </c>
      <c r="B171" s="3" t="s">
        <v>4649</v>
      </c>
      <c r="C171" s="3" t="s">
        <v>4398</v>
      </c>
      <c r="D171" s="3" t="s">
        <v>52</v>
      </c>
      <c r="E171" s="3">
        <v>102463417</v>
      </c>
      <c r="F171" s="3" t="s">
        <v>2373</v>
      </c>
      <c r="G171" s="157">
        <v>40426</v>
      </c>
      <c r="H171" s="3">
        <v>3217120509100000</v>
      </c>
      <c r="I171" s="3" t="s">
        <v>2353</v>
      </c>
      <c r="J171" s="3" t="s">
        <v>2663</v>
      </c>
      <c r="K171" s="3">
        <v>1</v>
      </c>
      <c r="L171" s="3">
        <v>1</v>
      </c>
      <c r="M171" s="3" t="s">
        <v>2664</v>
      </c>
      <c r="N171" s="3" t="s">
        <v>2409</v>
      </c>
      <c r="O171" s="3" t="s">
        <v>2356</v>
      </c>
      <c r="P171" s="3">
        <v>40564</v>
      </c>
      <c r="Q171" s="3" t="s">
        <v>2357</v>
      </c>
      <c r="R171" s="3" t="s">
        <v>2358</v>
      </c>
      <c r="S171" s="3"/>
      <c r="T171" s="3">
        <v>83807283534</v>
      </c>
      <c r="U171" s="3"/>
      <c r="V171" s="3"/>
      <c r="W171" s="3" t="s">
        <v>2359</v>
      </c>
      <c r="X171" s="3"/>
      <c r="Y171" s="3" t="s">
        <v>4650</v>
      </c>
      <c r="Z171" s="3">
        <v>1982</v>
      </c>
      <c r="AA171" s="3" t="s">
        <v>2361</v>
      </c>
      <c r="AB171" s="3" t="s">
        <v>2474</v>
      </c>
      <c r="AC171" s="3" t="s">
        <v>2403</v>
      </c>
      <c r="AD171" s="3">
        <v>3217121309820000</v>
      </c>
      <c r="AE171" s="3" t="s">
        <v>4651</v>
      </c>
      <c r="AF171" s="3">
        <v>1990</v>
      </c>
      <c r="AG171" s="3" t="s">
        <v>2361</v>
      </c>
      <c r="AH171" s="3" t="s">
        <v>2365</v>
      </c>
      <c r="AI171" s="3" t="s">
        <v>2366</v>
      </c>
      <c r="AJ171" s="3">
        <v>3217125603900000</v>
      </c>
      <c r="AK171" s="3"/>
      <c r="AL171" s="3"/>
      <c r="AM171" s="3" t="s">
        <v>2367</v>
      </c>
      <c r="AN171" s="3"/>
      <c r="AO171" s="3"/>
      <c r="AP171" s="3"/>
      <c r="AQ171" s="3" t="s">
        <v>5148</v>
      </c>
      <c r="AR171" s="3"/>
      <c r="AS171" s="3"/>
      <c r="AT171" s="3" t="s">
        <v>2359</v>
      </c>
      <c r="AU171" s="3"/>
      <c r="AV171" s="3">
        <v>0</v>
      </c>
      <c r="AW171" s="3"/>
      <c r="AX171" s="3" t="s">
        <v>4652</v>
      </c>
      <c r="AY171" s="3"/>
      <c r="AZ171" s="3"/>
      <c r="BA171" s="3"/>
      <c r="BB171" s="3" t="s">
        <v>2369</v>
      </c>
      <c r="BC171" s="3" t="s">
        <v>2370</v>
      </c>
      <c r="BD171" s="3" t="s">
        <v>2371</v>
      </c>
      <c r="BE171" s="3" t="s">
        <v>2406</v>
      </c>
      <c r="BF171" s="3">
        <v>1</v>
      </c>
      <c r="BG171" s="3">
        <v>-6.9436377980000001</v>
      </c>
      <c r="BH171" s="3">
        <v>107.3678398</v>
      </c>
      <c r="BI171" s="3">
        <v>3217121702120030</v>
      </c>
      <c r="BJ171" s="3">
        <v>41</v>
      </c>
      <c r="BK171" s="3">
        <v>139</v>
      </c>
      <c r="BL171" s="3">
        <v>54</v>
      </c>
      <c r="BM171" s="3">
        <v>1</v>
      </c>
      <c r="BN171" s="3">
        <v>3</v>
      </c>
    </row>
    <row r="172" spans="1:66" s="219" customFormat="1" hidden="1" x14ac:dyDescent="0.3">
      <c r="A172" s="54">
        <v>166</v>
      </c>
      <c r="B172" s="54" t="s">
        <v>1769</v>
      </c>
      <c r="C172" s="54" t="s">
        <v>1402</v>
      </c>
      <c r="D172" s="54" t="s">
        <v>53</v>
      </c>
      <c r="E172" s="54">
        <v>87127981</v>
      </c>
      <c r="F172" s="54" t="s">
        <v>2446</v>
      </c>
      <c r="G172" s="108">
        <v>39511</v>
      </c>
      <c r="H172" s="54">
        <v>3217114403080000</v>
      </c>
      <c r="I172" s="54" t="s">
        <v>2353</v>
      </c>
      <c r="J172" s="54" t="s">
        <v>3112</v>
      </c>
      <c r="K172" s="54">
        <v>4</v>
      </c>
      <c r="L172" s="54">
        <v>6</v>
      </c>
      <c r="M172" s="54" t="s">
        <v>2656</v>
      </c>
      <c r="N172" s="54" t="s">
        <v>2425</v>
      </c>
      <c r="O172" s="54" t="s">
        <v>2426</v>
      </c>
      <c r="P172" s="54">
        <v>40562</v>
      </c>
      <c r="Q172" s="54" t="s">
        <v>2357</v>
      </c>
      <c r="R172" s="54" t="s">
        <v>2358</v>
      </c>
      <c r="S172" s="54"/>
      <c r="T172" s="54">
        <v>83841868477</v>
      </c>
      <c r="U172" s="54"/>
      <c r="V172" s="54"/>
      <c r="W172" s="54" t="s">
        <v>2359</v>
      </c>
      <c r="X172" s="54"/>
      <c r="Y172" s="54" t="s">
        <v>3113</v>
      </c>
      <c r="Z172" s="54">
        <v>1975</v>
      </c>
      <c r="AA172" s="54" t="s">
        <v>2402</v>
      </c>
      <c r="AB172" s="54" t="s">
        <v>2362</v>
      </c>
      <c r="AC172" s="54" t="s">
        <v>2403</v>
      </c>
      <c r="AD172" s="54"/>
      <c r="AE172" s="54" t="s">
        <v>3114</v>
      </c>
      <c r="AF172" s="54">
        <v>1978</v>
      </c>
      <c r="AG172" s="54" t="s">
        <v>2402</v>
      </c>
      <c r="AH172" s="54" t="s">
        <v>2365</v>
      </c>
      <c r="AI172" s="54" t="s">
        <v>2366</v>
      </c>
      <c r="AJ172" s="54">
        <v>3217116412820010</v>
      </c>
      <c r="AK172" s="54"/>
      <c r="AL172" s="54"/>
      <c r="AM172" s="54"/>
      <c r="AN172" s="54"/>
      <c r="AO172" s="54"/>
      <c r="AP172" s="54"/>
      <c r="AQ172" s="54" t="s">
        <v>5147</v>
      </c>
      <c r="AR172" s="54"/>
      <c r="AS172" s="54"/>
      <c r="AT172" s="54" t="s">
        <v>2359</v>
      </c>
      <c r="AU172" s="54"/>
      <c r="AV172" s="54">
        <v>0</v>
      </c>
      <c r="AW172" s="54"/>
      <c r="AX172" s="54" t="s">
        <v>3115</v>
      </c>
      <c r="AY172" s="54"/>
      <c r="AZ172" s="54"/>
      <c r="BA172" s="54"/>
      <c r="BB172" s="54" t="s">
        <v>2369</v>
      </c>
      <c r="BC172" s="54" t="s">
        <v>2370</v>
      </c>
      <c r="BD172" s="54" t="s">
        <v>2371</v>
      </c>
      <c r="BE172" s="54" t="s">
        <v>2430</v>
      </c>
      <c r="BF172" s="54">
        <v>5</v>
      </c>
      <c r="BG172" s="54">
        <v>-6.9547999999999996</v>
      </c>
      <c r="BH172" s="54">
        <v>107.41589999999999</v>
      </c>
      <c r="BI172" s="54">
        <v>3217110605200000</v>
      </c>
      <c r="BJ172" s="54">
        <v>40</v>
      </c>
      <c r="BK172" s="54">
        <v>135</v>
      </c>
      <c r="BL172" s="54">
        <v>55</v>
      </c>
      <c r="BM172" s="54">
        <v>2</v>
      </c>
      <c r="BN172" s="54">
        <v>1</v>
      </c>
    </row>
    <row r="173" spans="1:66" hidden="1" x14ac:dyDescent="0.3">
      <c r="A173" s="3">
        <v>167</v>
      </c>
      <c r="B173" s="3" t="s">
        <v>4653</v>
      </c>
      <c r="C173" s="3" t="s">
        <v>4301</v>
      </c>
      <c r="D173" s="3" t="s">
        <v>53</v>
      </c>
      <c r="E173" s="3">
        <v>107834523</v>
      </c>
      <c r="F173" s="3" t="s">
        <v>2373</v>
      </c>
      <c r="G173" s="157">
        <v>40302</v>
      </c>
      <c r="H173" s="3">
        <v>3217120711999000</v>
      </c>
      <c r="I173" s="3" t="s">
        <v>2353</v>
      </c>
      <c r="J173" s="3" t="s">
        <v>2574</v>
      </c>
      <c r="K173" s="3">
        <v>1</v>
      </c>
      <c r="L173" s="3">
        <v>3</v>
      </c>
      <c r="M173" s="3"/>
      <c r="N173" s="3" t="s">
        <v>2395</v>
      </c>
      <c r="O173" s="3" t="s">
        <v>2356</v>
      </c>
      <c r="P173" s="3">
        <v>40674</v>
      </c>
      <c r="Q173" s="3" t="s">
        <v>2357</v>
      </c>
      <c r="R173" s="3" t="s">
        <v>2358</v>
      </c>
      <c r="S173" s="3"/>
      <c r="T173" s="3">
        <v>83107788262</v>
      </c>
      <c r="U173" s="3"/>
      <c r="V173" s="3"/>
      <c r="W173" s="3" t="s">
        <v>2359</v>
      </c>
      <c r="X173" s="3"/>
      <c r="Y173" s="3" t="s">
        <v>4654</v>
      </c>
      <c r="Z173" s="3">
        <v>0</v>
      </c>
      <c r="AA173" s="3" t="s">
        <v>2367</v>
      </c>
      <c r="AB173" s="3" t="s">
        <v>2362</v>
      </c>
      <c r="AC173" s="3" t="s">
        <v>2363</v>
      </c>
      <c r="AD173" s="3"/>
      <c r="AE173" s="3" t="s">
        <v>4655</v>
      </c>
      <c r="AF173" s="3">
        <v>0</v>
      </c>
      <c r="AG173" s="3" t="s">
        <v>2367</v>
      </c>
      <c r="AH173" s="3" t="s">
        <v>2365</v>
      </c>
      <c r="AI173" s="3" t="s">
        <v>2366</v>
      </c>
      <c r="AJ173" s="3"/>
      <c r="AK173" s="3"/>
      <c r="AL173" s="3"/>
      <c r="AM173" s="3" t="s">
        <v>2367</v>
      </c>
      <c r="AN173" s="3"/>
      <c r="AO173" s="3"/>
      <c r="AP173" s="3"/>
      <c r="AQ173" s="3" t="s">
        <v>5150</v>
      </c>
      <c r="AR173" s="3"/>
      <c r="AS173" s="3"/>
      <c r="AT173" s="3" t="s">
        <v>2359</v>
      </c>
      <c r="AU173" s="3"/>
      <c r="AV173" s="3">
        <v>0</v>
      </c>
      <c r="AW173" s="3"/>
      <c r="AX173" s="3" t="s">
        <v>4053</v>
      </c>
      <c r="AY173" s="3"/>
      <c r="AZ173" s="3"/>
      <c r="BA173" s="3"/>
      <c r="BB173" s="3" t="s">
        <v>2369</v>
      </c>
      <c r="BC173" s="3" t="s">
        <v>2370</v>
      </c>
      <c r="BD173" s="3" t="s">
        <v>2371</v>
      </c>
      <c r="BE173" s="3" t="s">
        <v>2553</v>
      </c>
      <c r="BF173" s="3">
        <v>1</v>
      </c>
      <c r="BG173" s="3">
        <v>-7.0068000000000001</v>
      </c>
      <c r="BH173" s="3">
        <v>107.2349</v>
      </c>
      <c r="BI173" s="3">
        <v>3217122205180000</v>
      </c>
      <c r="BJ173" s="3">
        <v>48</v>
      </c>
      <c r="BK173" s="3">
        <v>142</v>
      </c>
      <c r="BL173" s="3">
        <v>56</v>
      </c>
      <c r="BM173" s="3">
        <v>1</v>
      </c>
      <c r="BN173" s="3">
        <v>3</v>
      </c>
    </row>
    <row r="174" spans="1:66" s="219" customFormat="1" hidden="1" x14ac:dyDescent="0.3">
      <c r="A174" s="54">
        <v>168</v>
      </c>
      <c r="B174" s="54" t="s">
        <v>1794</v>
      </c>
      <c r="C174" s="54" t="s">
        <v>1432</v>
      </c>
      <c r="D174" s="54" t="s">
        <v>53</v>
      </c>
      <c r="E174" s="54">
        <v>92782468</v>
      </c>
      <c r="F174" s="54" t="s">
        <v>2373</v>
      </c>
      <c r="G174" s="108">
        <v>39854</v>
      </c>
      <c r="H174" s="54">
        <v>3217124210090000</v>
      </c>
      <c r="I174" s="54" t="s">
        <v>2353</v>
      </c>
      <c r="J174" s="54" t="s">
        <v>3262</v>
      </c>
      <c r="K174" s="54">
        <v>3</v>
      </c>
      <c r="L174" s="54">
        <v>1</v>
      </c>
      <c r="M174" s="54"/>
      <c r="N174" s="54" t="s">
        <v>2395</v>
      </c>
      <c r="O174" s="54" t="s">
        <v>2356</v>
      </c>
      <c r="P174" s="54">
        <v>40564</v>
      </c>
      <c r="Q174" s="54" t="s">
        <v>2357</v>
      </c>
      <c r="R174" s="54" t="s">
        <v>3263</v>
      </c>
      <c r="S174" s="54"/>
      <c r="T174" s="54">
        <v>83821205964</v>
      </c>
      <c r="U174" s="54"/>
      <c r="V174" s="54"/>
      <c r="W174" s="54" t="s">
        <v>2369</v>
      </c>
      <c r="X174" s="54" t="s">
        <v>3264</v>
      </c>
      <c r="Y174" s="54" t="s">
        <v>3265</v>
      </c>
      <c r="Z174" s="54">
        <v>1985</v>
      </c>
      <c r="AA174" s="54" t="s">
        <v>2402</v>
      </c>
      <c r="AB174" s="54" t="s">
        <v>2362</v>
      </c>
      <c r="AC174" s="54" t="s">
        <v>2403</v>
      </c>
      <c r="AD174" s="54">
        <v>3217121010850030</v>
      </c>
      <c r="AE174" s="54" t="s">
        <v>3266</v>
      </c>
      <c r="AF174" s="54">
        <v>1989</v>
      </c>
      <c r="AG174" s="54" t="s">
        <v>2390</v>
      </c>
      <c r="AH174" s="54" t="s">
        <v>2493</v>
      </c>
      <c r="AI174" s="54" t="s">
        <v>2363</v>
      </c>
      <c r="AJ174" s="54">
        <v>3217124907890000</v>
      </c>
      <c r="AK174" s="54"/>
      <c r="AL174" s="54"/>
      <c r="AM174" s="54"/>
      <c r="AN174" s="54"/>
      <c r="AO174" s="54"/>
      <c r="AP174" s="54"/>
      <c r="AQ174" s="54" t="s">
        <v>5147</v>
      </c>
      <c r="AR174" s="54"/>
      <c r="AS174" s="54"/>
      <c r="AT174" s="54" t="s">
        <v>2359</v>
      </c>
      <c r="AU174" s="54"/>
      <c r="AV174" s="54">
        <v>0</v>
      </c>
      <c r="AW174" s="54"/>
      <c r="AX174" s="54"/>
      <c r="AY174" s="54"/>
      <c r="AZ174" s="54"/>
      <c r="BA174" s="54"/>
      <c r="BB174" s="54" t="s">
        <v>2369</v>
      </c>
      <c r="BC174" s="54" t="s">
        <v>2443</v>
      </c>
      <c r="BD174" s="54" t="s">
        <v>2371</v>
      </c>
      <c r="BE174" s="54"/>
      <c r="BF174" s="54">
        <v>2</v>
      </c>
      <c r="BG174" s="54">
        <v>-6.9661</v>
      </c>
      <c r="BH174" s="54">
        <v>107.4057</v>
      </c>
      <c r="BI174" s="54">
        <v>3217122809120040</v>
      </c>
      <c r="BJ174" s="54">
        <v>40</v>
      </c>
      <c r="BK174" s="54">
        <v>148</v>
      </c>
      <c r="BL174" s="54">
        <v>55</v>
      </c>
      <c r="BM174" s="54">
        <v>2</v>
      </c>
      <c r="BN174" s="54">
        <v>1</v>
      </c>
    </row>
    <row r="175" spans="1:66" s="219" customFormat="1" hidden="1" x14ac:dyDescent="0.3">
      <c r="A175" s="54">
        <v>169</v>
      </c>
      <c r="B175" s="54" t="s">
        <v>1849</v>
      </c>
      <c r="C175" s="54" t="s">
        <v>1498</v>
      </c>
      <c r="D175" s="54" t="s">
        <v>53</v>
      </c>
      <c r="E175" s="54">
        <v>3093962104</v>
      </c>
      <c r="F175" s="54" t="s">
        <v>2446</v>
      </c>
      <c r="G175" s="108">
        <v>39874</v>
      </c>
      <c r="H175" s="54">
        <v>3273144203090000</v>
      </c>
      <c r="I175" s="54" t="s">
        <v>2353</v>
      </c>
      <c r="J175" s="54" t="s">
        <v>3489</v>
      </c>
      <c r="K175" s="54">
        <v>2</v>
      </c>
      <c r="L175" s="54">
        <v>5</v>
      </c>
      <c r="M175" s="54"/>
      <c r="N175" s="54" t="s">
        <v>2425</v>
      </c>
      <c r="O175" s="54" t="s">
        <v>2426</v>
      </c>
      <c r="P175" s="54">
        <v>40562</v>
      </c>
      <c r="Q175" s="54" t="s">
        <v>2357</v>
      </c>
      <c r="R175" s="54" t="s">
        <v>2358</v>
      </c>
      <c r="S175" s="54"/>
      <c r="T175" s="54">
        <v>83895004682</v>
      </c>
      <c r="U175" s="54"/>
      <c r="V175" s="54"/>
      <c r="W175" s="54" t="s">
        <v>2359</v>
      </c>
      <c r="X175" s="54"/>
      <c r="Y175" s="54" t="s">
        <v>3490</v>
      </c>
      <c r="Z175" s="54">
        <v>1982</v>
      </c>
      <c r="AA175" s="54" t="s">
        <v>2402</v>
      </c>
      <c r="AB175" s="54" t="s">
        <v>2362</v>
      </c>
      <c r="AC175" s="54" t="s">
        <v>2363</v>
      </c>
      <c r="AD175" s="54">
        <v>3217111211820000</v>
      </c>
      <c r="AE175" s="54" t="s">
        <v>3491</v>
      </c>
      <c r="AF175" s="54">
        <v>1990</v>
      </c>
      <c r="AG175" s="54" t="s">
        <v>2402</v>
      </c>
      <c r="AH175" s="54" t="s">
        <v>2365</v>
      </c>
      <c r="AI175" s="54" t="s">
        <v>2366</v>
      </c>
      <c r="AJ175" s="54">
        <v>3273147101900000</v>
      </c>
      <c r="AK175" s="54"/>
      <c r="AL175" s="54"/>
      <c r="AM175" s="54"/>
      <c r="AN175" s="54"/>
      <c r="AO175" s="54"/>
      <c r="AP175" s="54"/>
      <c r="AQ175" s="54" t="s">
        <v>5147</v>
      </c>
      <c r="AR175" s="54"/>
      <c r="AS175" s="54"/>
      <c r="AT175" s="54" t="s">
        <v>2359</v>
      </c>
      <c r="AU175" s="54"/>
      <c r="AV175" s="54">
        <v>0</v>
      </c>
      <c r="AW175" s="54"/>
      <c r="AX175" s="54" t="s">
        <v>3492</v>
      </c>
      <c r="AY175" s="54"/>
      <c r="AZ175" s="54"/>
      <c r="BA175" s="54"/>
      <c r="BB175" s="54" t="s">
        <v>2369</v>
      </c>
      <c r="BC175" s="54" t="s">
        <v>2370</v>
      </c>
      <c r="BD175" s="54" t="s">
        <v>2371</v>
      </c>
      <c r="BE175" s="54"/>
      <c r="BF175" s="54">
        <v>2</v>
      </c>
      <c r="BG175" s="54">
        <v>-6.9625000000000004</v>
      </c>
      <c r="BH175" s="54">
        <v>107.4346</v>
      </c>
      <c r="BI175" s="54">
        <v>3217112211160000</v>
      </c>
      <c r="BJ175" s="54">
        <v>42</v>
      </c>
      <c r="BK175" s="54">
        <v>138</v>
      </c>
      <c r="BL175" s="54">
        <v>57</v>
      </c>
      <c r="BM175" s="54">
        <v>2</v>
      </c>
      <c r="BN175" s="54">
        <v>1</v>
      </c>
    </row>
    <row r="176" spans="1:66" hidden="1" x14ac:dyDescent="0.3">
      <c r="A176" s="3">
        <v>170</v>
      </c>
      <c r="B176" s="3" t="s">
        <v>4656</v>
      </c>
      <c r="C176" s="3" t="s">
        <v>4368</v>
      </c>
      <c r="D176" s="3" t="s">
        <v>53</v>
      </c>
      <c r="E176" s="3">
        <v>101603997</v>
      </c>
      <c r="F176" s="3" t="s">
        <v>2373</v>
      </c>
      <c r="G176" s="157">
        <v>40494</v>
      </c>
      <c r="H176" s="3">
        <v>3217115211100000</v>
      </c>
      <c r="I176" s="3" t="s">
        <v>2353</v>
      </c>
      <c r="J176" s="3" t="s">
        <v>2424</v>
      </c>
      <c r="K176" s="3">
        <v>3</v>
      </c>
      <c r="L176" s="3">
        <v>14</v>
      </c>
      <c r="M176" s="3"/>
      <c r="N176" s="3" t="s">
        <v>2425</v>
      </c>
      <c r="O176" s="3" t="s">
        <v>2426</v>
      </c>
      <c r="P176" s="3">
        <v>40562</v>
      </c>
      <c r="Q176" s="3" t="s">
        <v>2357</v>
      </c>
      <c r="R176" s="3" t="s">
        <v>2358</v>
      </c>
      <c r="S176" s="3"/>
      <c r="T176" s="3">
        <v>82117520493</v>
      </c>
      <c r="U176" s="3"/>
      <c r="V176" s="3"/>
      <c r="W176" s="3" t="s">
        <v>2359</v>
      </c>
      <c r="X176" s="3"/>
      <c r="Y176" s="3" t="s">
        <v>4657</v>
      </c>
      <c r="Z176" s="3">
        <v>1980</v>
      </c>
      <c r="AA176" s="3" t="s">
        <v>2402</v>
      </c>
      <c r="AB176" s="3" t="s">
        <v>2362</v>
      </c>
      <c r="AC176" s="3" t="s">
        <v>2403</v>
      </c>
      <c r="AD176" s="3"/>
      <c r="AE176" s="3" t="s">
        <v>4658</v>
      </c>
      <c r="AF176" s="3">
        <v>1982</v>
      </c>
      <c r="AG176" s="3" t="s">
        <v>2390</v>
      </c>
      <c r="AH176" s="3" t="s">
        <v>2365</v>
      </c>
      <c r="AI176" s="3" t="s">
        <v>2366</v>
      </c>
      <c r="AJ176" s="3"/>
      <c r="AK176" s="3"/>
      <c r="AL176" s="3"/>
      <c r="AM176" s="3" t="s">
        <v>2367</v>
      </c>
      <c r="AN176" s="3"/>
      <c r="AO176" s="3"/>
      <c r="AP176" s="3"/>
      <c r="AQ176" s="3" t="s">
        <v>5151</v>
      </c>
      <c r="AR176" s="3"/>
      <c r="AS176" s="3"/>
      <c r="AT176" s="3" t="s">
        <v>2359</v>
      </c>
      <c r="AU176" s="3"/>
      <c r="AV176" s="3">
        <v>0</v>
      </c>
      <c r="AW176" s="3"/>
      <c r="AX176" s="3" t="s">
        <v>4659</v>
      </c>
      <c r="AY176" s="3"/>
      <c r="AZ176" s="3"/>
      <c r="BA176" s="3"/>
      <c r="BB176" s="3" t="s">
        <v>2369</v>
      </c>
      <c r="BC176" s="3" t="s">
        <v>2370</v>
      </c>
      <c r="BD176" s="3" t="s">
        <v>2371</v>
      </c>
      <c r="BE176" s="3" t="s">
        <v>2430</v>
      </c>
      <c r="BF176" s="3">
        <v>2</v>
      </c>
      <c r="BG176" s="3">
        <v>-6.9514541999999997</v>
      </c>
      <c r="BH176" s="3">
        <v>107.4179645</v>
      </c>
      <c r="BI176" s="3"/>
      <c r="BJ176" s="3">
        <v>43</v>
      </c>
      <c r="BK176" s="3">
        <v>137</v>
      </c>
      <c r="BL176" s="3">
        <v>49</v>
      </c>
      <c r="BM176" s="3">
        <v>1</v>
      </c>
      <c r="BN176" s="3">
        <v>2</v>
      </c>
    </row>
    <row r="177" spans="1:66" s="219" customFormat="1" hidden="1" x14ac:dyDescent="0.3">
      <c r="A177" s="54">
        <v>171</v>
      </c>
      <c r="B177" s="54" t="s">
        <v>1850</v>
      </c>
      <c r="C177" s="54" t="s">
        <v>1499</v>
      </c>
      <c r="D177" s="54" t="s">
        <v>53</v>
      </c>
      <c r="E177" s="54">
        <v>3091737993</v>
      </c>
      <c r="F177" s="54" t="s">
        <v>2373</v>
      </c>
      <c r="G177" s="108">
        <v>39872</v>
      </c>
      <c r="H177" s="54">
        <v>1503094802090000</v>
      </c>
      <c r="I177" s="54" t="s">
        <v>2353</v>
      </c>
      <c r="J177" s="54" t="s">
        <v>3134</v>
      </c>
      <c r="K177" s="54">
        <v>1</v>
      </c>
      <c r="L177" s="54">
        <v>8</v>
      </c>
      <c r="M177" s="54"/>
      <c r="N177" s="54" t="s">
        <v>2425</v>
      </c>
      <c r="O177" s="54" t="s">
        <v>2426</v>
      </c>
      <c r="P177" s="54">
        <v>40562</v>
      </c>
      <c r="Q177" s="54" t="s">
        <v>2357</v>
      </c>
      <c r="R177" s="54" t="s">
        <v>2358</v>
      </c>
      <c r="S177" s="54"/>
      <c r="T177" s="54">
        <v>82123335575</v>
      </c>
      <c r="U177" s="54"/>
      <c r="V177" s="54"/>
      <c r="W177" s="54" t="s">
        <v>2359</v>
      </c>
      <c r="X177" s="54"/>
      <c r="Y177" s="54"/>
      <c r="Z177" s="54">
        <v>0</v>
      </c>
      <c r="AA177" s="54"/>
      <c r="AB177" s="54"/>
      <c r="AC177" s="54"/>
      <c r="AD177" s="54"/>
      <c r="AE177" s="54" t="s">
        <v>3493</v>
      </c>
      <c r="AF177" s="54">
        <v>1965</v>
      </c>
      <c r="AG177" s="54"/>
      <c r="AH177" s="54" t="s">
        <v>2365</v>
      </c>
      <c r="AI177" s="54" t="s">
        <v>2366</v>
      </c>
      <c r="AJ177" s="54"/>
      <c r="AK177" s="54"/>
      <c r="AL177" s="54"/>
      <c r="AM177" s="54"/>
      <c r="AN177" s="54"/>
      <c r="AO177" s="54"/>
      <c r="AP177" s="54"/>
      <c r="AQ177" s="54" t="s">
        <v>5147</v>
      </c>
      <c r="AR177" s="54"/>
      <c r="AS177" s="54"/>
      <c r="AT177" s="54" t="s">
        <v>2359</v>
      </c>
      <c r="AU177" s="54"/>
      <c r="AV177" s="54">
        <v>0</v>
      </c>
      <c r="AW177" s="54"/>
      <c r="AX177" s="54" t="s">
        <v>3494</v>
      </c>
      <c r="AY177" s="54"/>
      <c r="AZ177" s="54"/>
      <c r="BA177" s="54"/>
      <c r="BB177" s="54" t="s">
        <v>2369</v>
      </c>
      <c r="BC177" s="54" t="s">
        <v>2370</v>
      </c>
      <c r="BD177" s="54" t="s">
        <v>2371</v>
      </c>
      <c r="BE177" s="54"/>
      <c r="BF177" s="54">
        <v>1</v>
      </c>
      <c r="BG177" s="54">
        <v>-6.9625000000000004</v>
      </c>
      <c r="BH177" s="54">
        <v>107.4346</v>
      </c>
      <c r="BI177" s="54">
        <v>3217111304056420</v>
      </c>
      <c r="BJ177" s="54">
        <v>48</v>
      </c>
      <c r="BK177" s="54">
        <v>143</v>
      </c>
      <c r="BL177" s="54">
        <v>56</v>
      </c>
      <c r="BM177" s="54">
        <v>1</v>
      </c>
      <c r="BN177" s="54">
        <v>1</v>
      </c>
    </row>
    <row r="178" spans="1:66" hidden="1" x14ac:dyDescent="0.3">
      <c r="A178" s="3">
        <v>172</v>
      </c>
      <c r="B178" s="3" t="s">
        <v>4660</v>
      </c>
      <c r="C178" s="3" t="s">
        <v>4271</v>
      </c>
      <c r="D178" s="3" t="s">
        <v>52</v>
      </c>
      <c r="E178" s="3">
        <v>109815834</v>
      </c>
      <c r="F178" s="3" t="s">
        <v>2373</v>
      </c>
      <c r="G178" s="157">
        <v>40414</v>
      </c>
      <c r="H178" s="3">
        <v>3217112408100000</v>
      </c>
      <c r="I178" s="3" t="s">
        <v>2353</v>
      </c>
      <c r="J178" s="3" t="s">
        <v>2593</v>
      </c>
      <c r="K178" s="3">
        <v>1</v>
      </c>
      <c r="L178" s="3">
        <v>13</v>
      </c>
      <c r="M178" s="3"/>
      <c r="N178" s="3" t="s">
        <v>2425</v>
      </c>
      <c r="O178" s="3" t="s">
        <v>2426</v>
      </c>
      <c r="P178" s="3">
        <v>40562</v>
      </c>
      <c r="Q178" s="3" t="s">
        <v>2357</v>
      </c>
      <c r="R178" s="3" t="s">
        <v>2358</v>
      </c>
      <c r="S178" s="3"/>
      <c r="T178" s="3">
        <v>83104107719</v>
      </c>
      <c r="U178" s="3"/>
      <c r="V178" s="3"/>
      <c r="W178" s="3" t="s">
        <v>2359</v>
      </c>
      <c r="X178" s="3"/>
      <c r="Y178" s="3" t="s">
        <v>4661</v>
      </c>
      <c r="Z178" s="3">
        <v>0</v>
      </c>
      <c r="AA178" s="3" t="s">
        <v>2367</v>
      </c>
      <c r="AB178" s="3" t="s">
        <v>2867</v>
      </c>
      <c r="AC178" s="3" t="s">
        <v>2366</v>
      </c>
      <c r="AD178" s="3"/>
      <c r="AE178" s="3" t="s">
        <v>4662</v>
      </c>
      <c r="AF178" s="3">
        <v>1978</v>
      </c>
      <c r="AG178" s="3" t="s">
        <v>2402</v>
      </c>
      <c r="AH178" s="3" t="s">
        <v>2365</v>
      </c>
      <c r="AI178" s="3" t="s">
        <v>2366</v>
      </c>
      <c r="AJ178" s="3"/>
      <c r="AK178" s="3"/>
      <c r="AL178" s="3"/>
      <c r="AM178" s="3" t="s">
        <v>2367</v>
      </c>
      <c r="AN178" s="3"/>
      <c r="AO178" s="3"/>
      <c r="AP178" s="3"/>
      <c r="AQ178" s="3" t="s">
        <v>5149</v>
      </c>
      <c r="AR178" s="3"/>
      <c r="AS178" s="3"/>
      <c r="AT178" s="3" t="s">
        <v>2359</v>
      </c>
      <c r="AU178" s="3"/>
      <c r="AV178" s="3">
        <v>0</v>
      </c>
      <c r="AW178" s="3"/>
      <c r="AX178" s="3" t="s">
        <v>4120</v>
      </c>
      <c r="AY178" s="3"/>
      <c r="AZ178" s="3"/>
      <c r="BA178" s="3"/>
      <c r="BB178" s="3" t="s">
        <v>2369</v>
      </c>
      <c r="BC178" s="3" t="s">
        <v>2370</v>
      </c>
      <c r="BD178" s="3" t="s">
        <v>2371</v>
      </c>
      <c r="BE178" s="3" t="s">
        <v>2430</v>
      </c>
      <c r="BF178" s="3">
        <v>2</v>
      </c>
      <c r="BG178" s="3">
        <v>-6.9514541999999997</v>
      </c>
      <c r="BH178" s="3">
        <v>107.4179645</v>
      </c>
      <c r="BI178" s="3"/>
      <c r="BJ178" s="3">
        <v>41</v>
      </c>
      <c r="BK178" s="3">
        <v>139</v>
      </c>
      <c r="BL178" s="3">
        <v>58</v>
      </c>
      <c r="BM178" s="3">
        <v>1</v>
      </c>
      <c r="BN178" s="3">
        <v>2</v>
      </c>
    </row>
    <row r="179" spans="1:66" hidden="1" x14ac:dyDescent="0.3">
      <c r="A179" s="3">
        <v>173</v>
      </c>
      <c r="B179" s="3" t="s">
        <v>4663</v>
      </c>
      <c r="C179" s="3" t="s">
        <v>4333</v>
      </c>
      <c r="D179" s="3" t="s">
        <v>53</v>
      </c>
      <c r="E179" s="3">
        <v>106592620</v>
      </c>
      <c r="F179" s="3" t="s">
        <v>2373</v>
      </c>
      <c r="G179" s="157">
        <v>40430</v>
      </c>
      <c r="H179" s="3">
        <v>3217124909100000</v>
      </c>
      <c r="I179" s="3" t="s">
        <v>2353</v>
      </c>
      <c r="J179" s="3" t="s">
        <v>2574</v>
      </c>
      <c r="K179" s="3">
        <v>1</v>
      </c>
      <c r="L179" s="3">
        <v>3</v>
      </c>
      <c r="M179" s="3"/>
      <c r="N179" s="3" t="s">
        <v>4475</v>
      </c>
      <c r="O179" s="3" t="s">
        <v>2356</v>
      </c>
      <c r="P179" s="3">
        <v>40764</v>
      </c>
      <c r="Q179" s="3" t="s">
        <v>2357</v>
      </c>
      <c r="R179" s="3" t="s">
        <v>2358</v>
      </c>
      <c r="S179" s="3"/>
      <c r="T179" s="3">
        <v>83865301713</v>
      </c>
      <c r="U179" s="3"/>
      <c r="V179" s="3"/>
      <c r="W179" s="3" t="s">
        <v>2359</v>
      </c>
      <c r="X179" s="3"/>
      <c r="Y179" s="3" t="s">
        <v>4664</v>
      </c>
      <c r="Z179" s="3">
        <v>1986</v>
      </c>
      <c r="AA179" s="3" t="s">
        <v>2402</v>
      </c>
      <c r="AB179" s="3" t="s">
        <v>2362</v>
      </c>
      <c r="AC179" s="3" t="s">
        <v>2363</v>
      </c>
      <c r="AD179" s="3">
        <v>3217120805860010</v>
      </c>
      <c r="AE179" s="3" t="s">
        <v>4665</v>
      </c>
      <c r="AF179" s="3">
        <v>1990</v>
      </c>
      <c r="AG179" s="3" t="s">
        <v>2361</v>
      </c>
      <c r="AH179" s="3" t="s">
        <v>2365</v>
      </c>
      <c r="AI179" s="3" t="s">
        <v>2366</v>
      </c>
      <c r="AJ179" s="3">
        <v>3217122460690000</v>
      </c>
      <c r="AK179" s="3"/>
      <c r="AL179" s="3"/>
      <c r="AM179" s="3" t="s">
        <v>2367</v>
      </c>
      <c r="AN179" s="3"/>
      <c r="AO179" s="3"/>
      <c r="AP179" s="3"/>
      <c r="AQ179" s="3" t="s">
        <v>5152</v>
      </c>
      <c r="AR179" s="3"/>
      <c r="AS179" s="3" t="s">
        <v>4666</v>
      </c>
      <c r="AT179" s="3" t="s">
        <v>2369</v>
      </c>
      <c r="AU179" s="3"/>
      <c r="AV179" s="3">
        <v>0</v>
      </c>
      <c r="AW179" s="3"/>
      <c r="AX179" s="3" t="s">
        <v>4054</v>
      </c>
      <c r="AY179" s="3"/>
      <c r="AZ179" s="3"/>
      <c r="BA179" s="3"/>
      <c r="BB179" s="3" t="s">
        <v>2369</v>
      </c>
      <c r="BC179" s="3"/>
      <c r="BD179" s="3" t="s">
        <v>2371</v>
      </c>
      <c r="BE179" s="3" t="s">
        <v>2553</v>
      </c>
      <c r="BF179" s="3">
        <v>1</v>
      </c>
      <c r="BG179" s="3">
        <v>-7.0068000000000001</v>
      </c>
      <c r="BH179" s="3">
        <v>107.2349</v>
      </c>
      <c r="BI179" s="3">
        <v>3217121211090010</v>
      </c>
      <c r="BJ179" s="3">
        <v>41</v>
      </c>
      <c r="BK179" s="3">
        <v>138</v>
      </c>
      <c r="BL179" s="3">
        <v>58</v>
      </c>
      <c r="BM179" s="3">
        <v>1</v>
      </c>
      <c r="BN179" s="3">
        <v>2</v>
      </c>
    </row>
    <row r="180" spans="1:66" s="219" customFormat="1" hidden="1" x14ac:dyDescent="0.3">
      <c r="A180" s="54">
        <v>174</v>
      </c>
      <c r="B180" s="54" t="s">
        <v>1795</v>
      </c>
      <c r="C180" s="54" t="s">
        <v>1433</v>
      </c>
      <c r="D180" s="54" t="s">
        <v>52</v>
      </c>
      <c r="E180" s="54">
        <v>97910245</v>
      </c>
      <c r="F180" s="54" t="s">
        <v>2377</v>
      </c>
      <c r="G180" s="108">
        <v>39865</v>
      </c>
      <c r="H180" s="54">
        <v>3217122102090000</v>
      </c>
      <c r="I180" s="54" t="s">
        <v>2353</v>
      </c>
      <c r="J180" s="54" t="s">
        <v>3200</v>
      </c>
      <c r="K180" s="54">
        <v>1</v>
      </c>
      <c r="L180" s="54">
        <v>7</v>
      </c>
      <c r="M180" s="54" t="s">
        <v>2398</v>
      </c>
      <c r="N180" s="54" t="s">
        <v>2399</v>
      </c>
      <c r="O180" s="54" t="s">
        <v>2356</v>
      </c>
      <c r="P180" s="54">
        <v>40564</v>
      </c>
      <c r="Q180" s="54" t="s">
        <v>2357</v>
      </c>
      <c r="R180" s="54" t="s">
        <v>2358</v>
      </c>
      <c r="S180" s="54"/>
      <c r="T180" s="54">
        <v>83843124332</v>
      </c>
      <c r="U180" s="54"/>
      <c r="V180" s="54"/>
      <c r="W180" s="54" t="s">
        <v>2359</v>
      </c>
      <c r="X180" s="54"/>
      <c r="Y180" s="54" t="s">
        <v>3267</v>
      </c>
      <c r="Z180" s="54">
        <v>1967</v>
      </c>
      <c r="AA180" s="54" t="s">
        <v>3268</v>
      </c>
      <c r="AB180" s="54" t="s">
        <v>3187</v>
      </c>
      <c r="AC180" s="54" t="s">
        <v>2666</v>
      </c>
      <c r="AD180" s="54"/>
      <c r="AE180" s="54" t="s">
        <v>3269</v>
      </c>
      <c r="AF180" s="54">
        <v>1971</v>
      </c>
      <c r="AG180" s="54" t="s">
        <v>2390</v>
      </c>
      <c r="AH180" s="54" t="s">
        <v>2365</v>
      </c>
      <c r="AI180" s="54" t="s">
        <v>2366</v>
      </c>
      <c r="AJ180" s="54"/>
      <c r="AK180" s="54"/>
      <c r="AL180" s="54"/>
      <c r="AM180" s="54"/>
      <c r="AN180" s="54"/>
      <c r="AO180" s="54"/>
      <c r="AP180" s="54"/>
      <c r="AQ180" s="54" t="s">
        <v>5147</v>
      </c>
      <c r="AR180" s="54"/>
      <c r="AS180" s="54"/>
      <c r="AT180" s="54" t="s">
        <v>2359</v>
      </c>
      <c r="AU180" s="54"/>
      <c r="AV180" s="54">
        <v>0</v>
      </c>
      <c r="AW180" s="54"/>
      <c r="AX180" s="54"/>
      <c r="AY180" s="54"/>
      <c r="AZ180" s="54"/>
      <c r="BA180" s="54"/>
      <c r="BB180" s="54" t="s">
        <v>2359</v>
      </c>
      <c r="BC180" s="54" t="s">
        <v>2370</v>
      </c>
      <c r="BD180" s="54" t="s">
        <v>2371</v>
      </c>
      <c r="BE180" s="54"/>
      <c r="BF180" s="54">
        <v>4</v>
      </c>
      <c r="BG180" s="54">
        <v>-6.9486999999999997</v>
      </c>
      <c r="BH180" s="54">
        <v>107.3831</v>
      </c>
      <c r="BI180" s="54"/>
      <c r="BJ180" s="54">
        <v>41</v>
      </c>
      <c r="BK180" s="54">
        <v>139</v>
      </c>
      <c r="BL180" s="54">
        <v>58</v>
      </c>
      <c r="BM180" s="54">
        <v>2</v>
      </c>
      <c r="BN180" s="54">
        <v>3</v>
      </c>
    </row>
    <row r="181" spans="1:66" x14ac:dyDescent="0.3">
      <c r="A181" s="3">
        <v>175</v>
      </c>
      <c r="B181" s="3" t="s">
        <v>4667</v>
      </c>
      <c r="C181" s="3" t="s">
        <v>4399</v>
      </c>
      <c r="D181" s="3" t="s">
        <v>53</v>
      </c>
      <c r="E181" s="3">
        <v>106200924</v>
      </c>
      <c r="F181" s="3" t="s">
        <v>2446</v>
      </c>
      <c r="G181" s="157">
        <v>40515</v>
      </c>
      <c r="H181" s="3">
        <v>3217114312100000</v>
      </c>
      <c r="I181" s="3" t="s">
        <v>2353</v>
      </c>
      <c r="J181" s="3" t="s">
        <v>4668</v>
      </c>
      <c r="K181" s="3">
        <v>4</v>
      </c>
      <c r="L181" s="3">
        <v>1</v>
      </c>
      <c r="M181" s="3"/>
      <c r="N181" s="3" t="s">
        <v>4604</v>
      </c>
      <c r="O181" s="3" t="s">
        <v>2426</v>
      </c>
      <c r="P181" s="3">
        <v>40562</v>
      </c>
      <c r="Q181" s="3" t="s">
        <v>2357</v>
      </c>
      <c r="R181" s="3" t="s">
        <v>2374</v>
      </c>
      <c r="S181" s="3"/>
      <c r="T181" s="3">
        <v>6283134924307</v>
      </c>
      <c r="U181" s="3"/>
      <c r="V181" s="3"/>
      <c r="W181" s="3" t="s">
        <v>2359</v>
      </c>
      <c r="X181" s="3"/>
      <c r="Y181" s="3" t="s">
        <v>4669</v>
      </c>
      <c r="Z181" s="3">
        <v>1970</v>
      </c>
      <c r="AA181" s="3" t="s">
        <v>2361</v>
      </c>
      <c r="AB181" s="3" t="s">
        <v>2362</v>
      </c>
      <c r="AC181" s="3" t="s">
        <v>2363</v>
      </c>
      <c r="AD181" s="3">
        <v>3217111805700010</v>
      </c>
      <c r="AE181" s="3" t="s">
        <v>3642</v>
      </c>
      <c r="AF181" s="3">
        <v>1970</v>
      </c>
      <c r="AG181" s="3" t="s">
        <v>2361</v>
      </c>
      <c r="AH181" s="3" t="s">
        <v>2365</v>
      </c>
      <c r="AI181" s="3" t="s">
        <v>2366</v>
      </c>
      <c r="AJ181" s="3">
        <v>3217114602700000</v>
      </c>
      <c r="AK181" s="3"/>
      <c r="AL181" s="3"/>
      <c r="AM181" s="3" t="s">
        <v>2367</v>
      </c>
      <c r="AN181" s="3"/>
      <c r="AO181" s="3"/>
      <c r="AP181" s="3"/>
      <c r="AQ181" s="3" t="s">
        <v>5148</v>
      </c>
      <c r="AR181" s="3"/>
      <c r="AS181" s="3"/>
      <c r="AT181" s="3" t="s">
        <v>2369</v>
      </c>
      <c r="AU181" s="3"/>
      <c r="AV181" s="3">
        <v>0</v>
      </c>
      <c r="AW181" s="3"/>
      <c r="AX181" s="3" t="s">
        <v>4670</v>
      </c>
      <c r="AY181" s="3"/>
      <c r="AZ181" s="3"/>
      <c r="BA181" s="3"/>
      <c r="BB181" s="3" t="s">
        <v>2369</v>
      </c>
      <c r="BC181" s="3"/>
      <c r="BD181" s="3" t="s">
        <v>2371</v>
      </c>
      <c r="BE181" s="3" t="s">
        <v>2691</v>
      </c>
      <c r="BF181" s="3">
        <v>3</v>
      </c>
      <c r="BG181" s="3">
        <v>-6.9743000000000004</v>
      </c>
      <c r="BH181" s="3">
        <v>107.43559999999999</v>
      </c>
      <c r="BI181" s="3">
        <v>3217111412110000</v>
      </c>
      <c r="BJ181" s="3">
        <v>30</v>
      </c>
      <c r="BK181" s="3">
        <v>130</v>
      </c>
      <c r="BL181" s="3">
        <v>0</v>
      </c>
      <c r="BM181" s="3">
        <v>0</v>
      </c>
      <c r="BN181" s="3">
        <v>1</v>
      </c>
    </row>
    <row r="182" spans="1:66" s="219" customFormat="1" hidden="1" x14ac:dyDescent="0.3">
      <c r="A182" s="54">
        <v>176</v>
      </c>
      <c r="B182" s="54" t="s">
        <v>1770</v>
      </c>
      <c r="C182" s="54" t="s">
        <v>1403</v>
      </c>
      <c r="D182" s="54" t="s">
        <v>52</v>
      </c>
      <c r="E182" s="54">
        <v>3093095081</v>
      </c>
      <c r="F182" s="54" t="s">
        <v>3116</v>
      </c>
      <c r="G182" s="108">
        <v>39919</v>
      </c>
      <c r="H182" s="54">
        <v>3329042104090000</v>
      </c>
      <c r="I182" s="54" t="s">
        <v>2353</v>
      </c>
      <c r="J182" s="54" t="s">
        <v>3117</v>
      </c>
      <c r="K182" s="54">
        <v>3</v>
      </c>
      <c r="L182" s="54">
        <v>1</v>
      </c>
      <c r="M182" s="54"/>
      <c r="N182" s="54" t="s">
        <v>4475</v>
      </c>
      <c r="O182" s="54" t="s">
        <v>2356</v>
      </c>
      <c r="P182" s="54">
        <v>40562</v>
      </c>
      <c r="Q182" s="54" t="s">
        <v>2357</v>
      </c>
      <c r="R182" s="54" t="s">
        <v>2358</v>
      </c>
      <c r="S182" s="54"/>
      <c r="T182" s="54"/>
      <c r="U182" s="54"/>
      <c r="V182" s="54"/>
      <c r="W182" s="54" t="s">
        <v>2359</v>
      </c>
      <c r="X182" s="54"/>
      <c r="Y182" s="54" t="s">
        <v>4671</v>
      </c>
      <c r="Z182" s="54">
        <v>1955</v>
      </c>
      <c r="AA182" s="54" t="s">
        <v>2361</v>
      </c>
      <c r="AB182" s="54" t="s">
        <v>2362</v>
      </c>
      <c r="AC182" s="54" t="s">
        <v>2363</v>
      </c>
      <c r="AD182" s="54">
        <v>3172010506550000</v>
      </c>
      <c r="AE182" s="54" t="s">
        <v>3118</v>
      </c>
      <c r="AF182" s="54">
        <v>1961</v>
      </c>
      <c r="AG182" s="54" t="s">
        <v>2361</v>
      </c>
      <c r="AH182" s="54" t="s">
        <v>2365</v>
      </c>
      <c r="AI182" s="54" t="s">
        <v>2366</v>
      </c>
      <c r="AJ182" s="54">
        <v>3172015207610000</v>
      </c>
      <c r="AK182" s="54"/>
      <c r="AL182" s="54"/>
      <c r="AM182" s="54"/>
      <c r="AN182" s="54"/>
      <c r="AO182" s="54"/>
      <c r="AP182" s="54"/>
      <c r="AQ182" s="54" t="s">
        <v>5147</v>
      </c>
      <c r="AR182" s="54"/>
      <c r="AS182" s="54"/>
      <c r="AT182" s="54" t="s">
        <v>2359</v>
      </c>
      <c r="AU182" s="54"/>
      <c r="AV182" s="54">
        <v>0</v>
      </c>
      <c r="AW182" s="54"/>
      <c r="AX182" s="54" t="s">
        <v>3119</v>
      </c>
      <c r="AY182" s="54"/>
      <c r="AZ182" s="54"/>
      <c r="BA182" s="54"/>
      <c r="BB182" s="54" t="s">
        <v>2369</v>
      </c>
      <c r="BC182" s="54" t="s">
        <v>2370</v>
      </c>
      <c r="BD182" s="54" t="s">
        <v>2371</v>
      </c>
      <c r="BE182" s="54" t="s">
        <v>3120</v>
      </c>
      <c r="BF182" s="54">
        <v>1</v>
      </c>
      <c r="BG182" s="54">
        <v>-6.9625000000000004</v>
      </c>
      <c r="BH182" s="54">
        <v>107.4346</v>
      </c>
      <c r="BI182" s="54">
        <v>3217121402200010</v>
      </c>
      <c r="BJ182" s="54">
        <v>47</v>
      </c>
      <c r="BK182" s="54">
        <v>143</v>
      </c>
      <c r="BL182" s="54">
        <v>55</v>
      </c>
      <c r="BM182" s="54">
        <v>1</v>
      </c>
      <c r="BN182" s="54">
        <v>2</v>
      </c>
    </row>
    <row r="183" spans="1:66" s="219" customFormat="1" hidden="1" x14ac:dyDescent="0.3">
      <c r="A183" s="54">
        <v>177</v>
      </c>
      <c r="B183" s="54" t="s">
        <v>3023</v>
      </c>
      <c r="C183" s="54" t="s">
        <v>2258</v>
      </c>
      <c r="D183" s="54" t="s">
        <v>53</v>
      </c>
      <c r="E183" s="54">
        <v>96996847</v>
      </c>
      <c r="F183" s="54" t="s">
        <v>2373</v>
      </c>
      <c r="G183" s="108">
        <v>40109</v>
      </c>
      <c r="H183" s="54">
        <v>3217126310090000</v>
      </c>
      <c r="I183" s="54" t="s">
        <v>2353</v>
      </c>
      <c r="J183" s="54" t="s">
        <v>2876</v>
      </c>
      <c r="K183" s="54">
        <v>1</v>
      </c>
      <c r="L183" s="54">
        <v>7</v>
      </c>
      <c r="M183" s="54"/>
      <c r="N183" s="54" t="s">
        <v>2438</v>
      </c>
      <c r="O183" s="54" t="s">
        <v>2356</v>
      </c>
      <c r="P183" s="54">
        <v>40564</v>
      </c>
      <c r="Q183" s="54" t="s">
        <v>2357</v>
      </c>
      <c r="R183" s="54" t="s">
        <v>2358</v>
      </c>
      <c r="S183" s="54"/>
      <c r="T183" s="54">
        <v>83829141138</v>
      </c>
      <c r="U183" s="54"/>
      <c r="V183" s="54"/>
      <c r="W183" s="54" t="s">
        <v>2369</v>
      </c>
      <c r="X183" s="54" t="s">
        <v>3024</v>
      </c>
      <c r="Y183" s="54" t="s">
        <v>3025</v>
      </c>
      <c r="Z183" s="54">
        <v>1972</v>
      </c>
      <c r="AA183" s="54" t="s">
        <v>2361</v>
      </c>
      <c r="AB183" s="54" t="s">
        <v>2362</v>
      </c>
      <c r="AC183" s="54" t="s">
        <v>2403</v>
      </c>
      <c r="AD183" s="54">
        <v>3217120604720010</v>
      </c>
      <c r="AE183" s="54" t="s">
        <v>3026</v>
      </c>
      <c r="AF183" s="54">
        <v>1973</v>
      </c>
      <c r="AG183" s="54" t="s">
        <v>2361</v>
      </c>
      <c r="AH183" s="54" t="s">
        <v>2365</v>
      </c>
      <c r="AI183" s="54" t="s">
        <v>2366</v>
      </c>
      <c r="AJ183" s="54">
        <v>3217124901730000</v>
      </c>
      <c r="AK183" s="54"/>
      <c r="AL183" s="54"/>
      <c r="AM183" s="54" t="s">
        <v>2367</v>
      </c>
      <c r="AN183" s="54"/>
      <c r="AO183" s="54"/>
      <c r="AP183" s="54"/>
      <c r="AQ183" s="54" t="s">
        <v>8182</v>
      </c>
      <c r="AR183" s="54"/>
      <c r="AS183" s="54"/>
      <c r="AT183" s="54" t="s">
        <v>2369</v>
      </c>
      <c r="AU183" s="54" t="s">
        <v>3027</v>
      </c>
      <c r="AV183" s="54">
        <v>0</v>
      </c>
      <c r="AW183" s="54"/>
      <c r="AX183" s="54"/>
      <c r="AY183" s="54" t="s">
        <v>2460</v>
      </c>
      <c r="AZ183" s="54">
        <v>411601003767503</v>
      </c>
      <c r="BA183" s="54" t="s">
        <v>3028</v>
      </c>
      <c r="BB183" s="54" t="s">
        <v>2369</v>
      </c>
      <c r="BC183" s="54"/>
      <c r="BD183" s="54" t="s">
        <v>2371</v>
      </c>
      <c r="BE183" s="54" t="s">
        <v>2880</v>
      </c>
      <c r="BF183" s="54">
        <v>2</v>
      </c>
      <c r="BG183" s="54">
        <v>-6.9560557039999997</v>
      </c>
      <c r="BH183" s="54">
        <v>107.39914659999999</v>
      </c>
      <c r="BI183" s="54"/>
      <c r="BJ183" s="54">
        <v>42</v>
      </c>
      <c r="BK183" s="54">
        <v>138</v>
      </c>
      <c r="BL183" s="54">
        <v>0</v>
      </c>
      <c r="BM183" s="54">
        <v>0</v>
      </c>
      <c r="BN183" s="54">
        <v>0</v>
      </c>
    </row>
    <row r="184" spans="1:66" s="219" customFormat="1" hidden="1" x14ac:dyDescent="0.3">
      <c r="A184" s="54">
        <v>178</v>
      </c>
      <c r="B184" s="54" t="s">
        <v>1740</v>
      </c>
      <c r="C184" s="54" t="s">
        <v>2225</v>
      </c>
      <c r="D184" s="54" t="s">
        <v>53</v>
      </c>
      <c r="E184" s="54">
        <v>96765030</v>
      </c>
      <c r="F184" s="54" t="s">
        <v>2373</v>
      </c>
      <c r="G184" s="108">
        <v>39943</v>
      </c>
      <c r="H184" s="54">
        <v>3217125005090000</v>
      </c>
      <c r="I184" s="54" t="s">
        <v>2353</v>
      </c>
      <c r="J184" s="54" t="s">
        <v>2906</v>
      </c>
      <c r="K184" s="54">
        <v>4</v>
      </c>
      <c r="L184" s="54">
        <v>6</v>
      </c>
      <c r="M184" s="54"/>
      <c r="N184" s="54" t="s">
        <v>2907</v>
      </c>
      <c r="O184" s="54" t="s">
        <v>2356</v>
      </c>
      <c r="P184" s="54"/>
      <c r="Q184" s="54" t="s">
        <v>2357</v>
      </c>
      <c r="R184" s="54" t="s">
        <v>2374</v>
      </c>
      <c r="S184" s="54"/>
      <c r="T184" s="54"/>
      <c r="U184" s="54"/>
      <c r="V184" s="54"/>
      <c r="W184" s="54" t="s">
        <v>2359</v>
      </c>
      <c r="X184" s="54"/>
      <c r="Y184" s="54"/>
      <c r="Z184" s="54">
        <v>0</v>
      </c>
      <c r="AA184" s="54"/>
      <c r="AB184" s="54" t="s">
        <v>2362</v>
      </c>
      <c r="AC184" s="54" t="s">
        <v>2375</v>
      </c>
      <c r="AD184" s="54"/>
      <c r="AE184" s="54" t="s">
        <v>2908</v>
      </c>
      <c r="AF184" s="54">
        <v>0</v>
      </c>
      <c r="AG184" s="54"/>
      <c r="AH184" s="54" t="s">
        <v>2365</v>
      </c>
      <c r="AI184" s="54" t="s">
        <v>2366</v>
      </c>
      <c r="AJ184" s="54"/>
      <c r="AK184" s="54"/>
      <c r="AL184" s="54"/>
      <c r="AM184" s="54"/>
      <c r="AN184" s="54"/>
      <c r="AO184" s="54"/>
      <c r="AP184" s="54"/>
      <c r="AQ184" s="54" t="s">
        <v>8178</v>
      </c>
      <c r="AR184" s="54"/>
      <c r="AS184" s="54"/>
      <c r="AT184" s="54" t="s">
        <v>2359</v>
      </c>
      <c r="AU184" s="54"/>
      <c r="AV184" s="54">
        <v>1</v>
      </c>
      <c r="AW184" s="54"/>
      <c r="AX184" s="54"/>
      <c r="AY184" s="54"/>
      <c r="AZ184" s="54"/>
      <c r="BA184" s="54"/>
      <c r="BB184" s="54" t="s">
        <v>2359</v>
      </c>
      <c r="BC184" s="54"/>
      <c r="BD184" s="54" t="s">
        <v>2371</v>
      </c>
      <c r="BE184" s="54" t="s">
        <v>2697</v>
      </c>
      <c r="BF184" s="54">
        <v>1</v>
      </c>
      <c r="BG184" s="54">
        <v>-6.9625000000000004</v>
      </c>
      <c r="BH184" s="54">
        <v>107.4346</v>
      </c>
      <c r="BI184" s="54"/>
      <c r="BJ184" s="54">
        <v>42</v>
      </c>
      <c r="BK184" s="54">
        <v>138</v>
      </c>
      <c r="BL184" s="54">
        <v>54</v>
      </c>
      <c r="BM184" s="54">
        <v>1</v>
      </c>
      <c r="BN184" s="54">
        <v>2</v>
      </c>
    </row>
    <row r="185" spans="1:66" s="219" customFormat="1" hidden="1" x14ac:dyDescent="0.3">
      <c r="A185" s="54">
        <v>179</v>
      </c>
      <c r="B185" s="54" t="s">
        <v>1902</v>
      </c>
      <c r="C185" s="54" t="s">
        <v>1556</v>
      </c>
      <c r="D185" s="54" t="s">
        <v>52</v>
      </c>
      <c r="E185" s="54">
        <v>86836317</v>
      </c>
      <c r="F185" s="54" t="s">
        <v>2373</v>
      </c>
      <c r="G185" s="108">
        <v>39655</v>
      </c>
      <c r="H185" s="54">
        <v>3217112607080000</v>
      </c>
      <c r="I185" s="54" t="s">
        <v>2353</v>
      </c>
      <c r="J185" s="54" t="s">
        <v>3112</v>
      </c>
      <c r="K185" s="54">
        <v>2</v>
      </c>
      <c r="L185" s="54">
        <v>14</v>
      </c>
      <c r="M185" s="54" t="s">
        <v>2582</v>
      </c>
      <c r="N185" s="54" t="s">
        <v>2425</v>
      </c>
      <c r="O185" s="54" t="s">
        <v>2426</v>
      </c>
      <c r="P185" s="54">
        <v>40562</v>
      </c>
      <c r="Q185" s="54" t="s">
        <v>2357</v>
      </c>
      <c r="R185" s="54" t="s">
        <v>2358</v>
      </c>
      <c r="S185" s="54"/>
      <c r="T185" s="54">
        <v>83129905550</v>
      </c>
      <c r="U185" s="54"/>
      <c r="V185" s="54"/>
      <c r="W185" s="54" t="s">
        <v>2359</v>
      </c>
      <c r="X185" s="54"/>
      <c r="Y185" s="54" t="s">
        <v>3166</v>
      </c>
      <c r="Z185" s="54">
        <v>1981</v>
      </c>
      <c r="AA185" s="54" t="s">
        <v>2402</v>
      </c>
      <c r="AB185" s="54" t="s">
        <v>2362</v>
      </c>
      <c r="AC185" s="54" t="s">
        <v>2403</v>
      </c>
      <c r="AD185" s="54">
        <v>3217111106810010</v>
      </c>
      <c r="AE185" s="54" t="s">
        <v>3714</v>
      </c>
      <c r="AF185" s="54">
        <v>1983</v>
      </c>
      <c r="AG185" s="54" t="s">
        <v>2402</v>
      </c>
      <c r="AH185" s="54" t="s">
        <v>2365</v>
      </c>
      <c r="AI185" s="54" t="s">
        <v>2366</v>
      </c>
      <c r="AJ185" s="54">
        <v>3217116508830000</v>
      </c>
      <c r="AK185" s="54"/>
      <c r="AL185" s="54"/>
      <c r="AM185" s="54"/>
      <c r="AN185" s="54"/>
      <c r="AO185" s="54"/>
      <c r="AP185" s="54"/>
      <c r="AQ185" s="54" t="s">
        <v>5147</v>
      </c>
      <c r="AR185" s="54"/>
      <c r="AS185" s="54"/>
      <c r="AT185" s="54" t="s">
        <v>2359</v>
      </c>
      <c r="AU185" s="54"/>
      <c r="AV185" s="54">
        <v>0</v>
      </c>
      <c r="AW185" s="54"/>
      <c r="AX185" s="54" t="s">
        <v>3715</v>
      </c>
      <c r="AY185" s="54"/>
      <c r="AZ185" s="54"/>
      <c r="BA185" s="54"/>
      <c r="BB185" s="54" t="s">
        <v>2369</v>
      </c>
      <c r="BC185" s="54" t="s">
        <v>2370</v>
      </c>
      <c r="BD185" s="54" t="s">
        <v>2371</v>
      </c>
      <c r="BE185" s="54"/>
      <c r="BF185" s="54">
        <v>1</v>
      </c>
      <c r="BG185" s="54">
        <v>-6.9514541999999997</v>
      </c>
      <c r="BH185" s="54">
        <v>107.4179645</v>
      </c>
      <c r="BI185" s="54">
        <v>3217110412080000</v>
      </c>
      <c r="BJ185" s="54">
        <v>38</v>
      </c>
      <c r="BK185" s="54">
        <v>137</v>
      </c>
      <c r="BL185" s="54">
        <v>55</v>
      </c>
      <c r="BM185" s="54">
        <v>1</v>
      </c>
      <c r="BN185" s="54">
        <v>4</v>
      </c>
    </row>
    <row r="186" spans="1:66" s="219" customFormat="1" hidden="1" x14ac:dyDescent="0.3">
      <c r="A186" s="54">
        <v>180</v>
      </c>
      <c r="B186" s="54" t="s">
        <v>2082</v>
      </c>
      <c r="C186" s="54" t="s">
        <v>2197</v>
      </c>
      <c r="D186" s="54" t="s">
        <v>53</v>
      </c>
      <c r="E186" s="54">
        <v>107148076</v>
      </c>
      <c r="F186" s="54" t="s">
        <v>2373</v>
      </c>
      <c r="G186" s="108">
        <v>40294</v>
      </c>
      <c r="H186" s="54">
        <v>3217116604100000</v>
      </c>
      <c r="I186" s="54" t="s">
        <v>2353</v>
      </c>
      <c r="J186" s="54" t="s">
        <v>2616</v>
      </c>
      <c r="K186" s="54">
        <v>1</v>
      </c>
      <c r="L186" s="54">
        <v>11</v>
      </c>
      <c r="M186" s="54"/>
      <c r="N186" s="54" t="s">
        <v>2425</v>
      </c>
      <c r="O186" s="54" t="s">
        <v>2426</v>
      </c>
      <c r="P186" s="54">
        <v>40561</v>
      </c>
      <c r="Q186" s="54" t="s">
        <v>2357</v>
      </c>
      <c r="R186" s="54" t="s">
        <v>2358</v>
      </c>
      <c r="S186" s="54"/>
      <c r="T186" s="54"/>
      <c r="U186" s="54"/>
      <c r="V186" s="54"/>
      <c r="W186" s="54" t="s">
        <v>2359</v>
      </c>
      <c r="X186" s="54"/>
      <c r="Y186" s="54" t="s">
        <v>4672</v>
      </c>
      <c r="Z186" s="54">
        <v>1956</v>
      </c>
      <c r="AA186" s="54" t="s">
        <v>2361</v>
      </c>
      <c r="AB186" s="54" t="s">
        <v>2362</v>
      </c>
      <c r="AC186" s="54" t="s">
        <v>2363</v>
      </c>
      <c r="AD186" s="54">
        <v>3217111206560010</v>
      </c>
      <c r="AE186" s="54" t="s">
        <v>2813</v>
      </c>
      <c r="AF186" s="54">
        <v>0</v>
      </c>
      <c r="AG186" s="54"/>
      <c r="AH186" s="54" t="s">
        <v>2867</v>
      </c>
      <c r="AI186" s="54" t="s">
        <v>2366</v>
      </c>
      <c r="AJ186" s="54"/>
      <c r="AK186" s="54"/>
      <c r="AL186" s="54"/>
      <c r="AM186" s="54"/>
      <c r="AN186" s="54"/>
      <c r="AO186" s="54"/>
      <c r="AP186" s="54"/>
      <c r="AQ186" s="54" t="s">
        <v>8179</v>
      </c>
      <c r="AR186" s="54"/>
      <c r="AS186" s="54"/>
      <c r="AT186" s="54" t="s">
        <v>2369</v>
      </c>
      <c r="AU186" s="54"/>
      <c r="AV186" s="54">
        <v>1</v>
      </c>
      <c r="AW186" s="54"/>
      <c r="AX186" s="54" t="s">
        <v>4673</v>
      </c>
      <c r="AY186" s="54"/>
      <c r="AZ186" s="54"/>
      <c r="BA186" s="54"/>
      <c r="BB186" s="54" t="s">
        <v>2369</v>
      </c>
      <c r="BC186" s="54"/>
      <c r="BD186" s="54" t="s">
        <v>2371</v>
      </c>
      <c r="BE186" s="54" t="s">
        <v>2669</v>
      </c>
      <c r="BF186" s="54">
        <v>1</v>
      </c>
      <c r="BG186" s="54">
        <v>-6.9625000000000004</v>
      </c>
      <c r="BH186" s="54">
        <v>107.4346</v>
      </c>
      <c r="BI186" s="54">
        <v>3217111202070020</v>
      </c>
      <c r="BJ186" s="54">
        <v>43</v>
      </c>
      <c r="BK186" s="54">
        <v>137</v>
      </c>
      <c r="BL186" s="54">
        <v>54</v>
      </c>
      <c r="BM186" s="54">
        <v>1</v>
      </c>
      <c r="BN186" s="54">
        <v>3</v>
      </c>
    </row>
    <row r="187" spans="1:66" x14ac:dyDescent="0.3">
      <c r="A187" s="3">
        <v>181</v>
      </c>
      <c r="B187" s="3" t="s">
        <v>4674</v>
      </c>
      <c r="C187" s="3" t="s">
        <v>4400</v>
      </c>
      <c r="D187" s="3" t="s">
        <v>53</v>
      </c>
      <c r="E187" s="3">
        <v>3102461814</v>
      </c>
      <c r="F187" s="3" t="s">
        <v>2377</v>
      </c>
      <c r="G187" s="157">
        <v>40330</v>
      </c>
      <c r="H187" s="3">
        <v>3217124106100000</v>
      </c>
      <c r="I187" s="3" t="s">
        <v>2353</v>
      </c>
      <c r="J187" s="3" t="s">
        <v>4675</v>
      </c>
      <c r="K187" s="3">
        <v>4</v>
      </c>
      <c r="L187" s="3">
        <v>1</v>
      </c>
      <c r="M187" s="3"/>
      <c r="N187" s="3" t="s">
        <v>4676</v>
      </c>
      <c r="O187" s="3" t="s">
        <v>2356</v>
      </c>
      <c r="P187" s="3">
        <v>40764</v>
      </c>
      <c r="Q187" s="3" t="s">
        <v>2357</v>
      </c>
      <c r="R187" s="3" t="s">
        <v>2374</v>
      </c>
      <c r="S187" s="3"/>
      <c r="T187" s="3"/>
      <c r="U187" s="3"/>
      <c r="V187" s="3"/>
      <c r="W187" s="3" t="s">
        <v>2359</v>
      </c>
      <c r="X187" s="3"/>
      <c r="Y187" s="3" t="s">
        <v>4677</v>
      </c>
      <c r="Z187" s="3">
        <v>1962</v>
      </c>
      <c r="AA187" s="3" t="s">
        <v>2361</v>
      </c>
      <c r="AB187" s="3" t="s">
        <v>2362</v>
      </c>
      <c r="AC187" s="3" t="s">
        <v>2363</v>
      </c>
      <c r="AD187" s="3">
        <v>3217121503620000</v>
      </c>
      <c r="AE187" s="3" t="s">
        <v>4678</v>
      </c>
      <c r="AF187" s="3">
        <v>1962</v>
      </c>
      <c r="AG187" s="3" t="s">
        <v>2402</v>
      </c>
      <c r="AH187" s="3" t="s">
        <v>2365</v>
      </c>
      <c r="AI187" s="3" t="s">
        <v>2366</v>
      </c>
      <c r="AJ187" s="3">
        <v>3217125102620000</v>
      </c>
      <c r="AK187" s="3"/>
      <c r="AL187" s="3"/>
      <c r="AM187" s="3"/>
      <c r="AN187" s="3"/>
      <c r="AO187" s="3"/>
      <c r="AP187" s="3"/>
      <c r="AQ187" s="3" t="s">
        <v>5148</v>
      </c>
      <c r="AR187" s="3" t="s">
        <v>4679</v>
      </c>
      <c r="AS187" s="3" t="s">
        <v>4680</v>
      </c>
      <c r="AT187" s="3" t="s">
        <v>2359</v>
      </c>
      <c r="AU187" s="3"/>
      <c r="AV187" s="3">
        <v>1</v>
      </c>
      <c r="AW187" s="3"/>
      <c r="AX187" s="3" t="s">
        <v>4681</v>
      </c>
      <c r="AY187" s="3"/>
      <c r="AZ187" s="3"/>
      <c r="BA187" s="3"/>
      <c r="BB187" s="3" t="s">
        <v>2369</v>
      </c>
      <c r="BC187" s="3" t="s">
        <v>2370</v>
      </c>
      <c r="BD187" s="3" t="s">
        <v>2371</v>
      </c>
      <c r="BE187" s="3" t="s">
        <v>4682</v>
      </c>
      <c r="BF187" s="3">
        <v>1</v>
      </c>
      <c r="BG187" s="3">
        <v>-6.9625000000000004</v>
      </c>
      <c r="BH187" s="3">
        <v>107.4346</v>
      </c>
      <c r="BI187" s="3">
        <v>3217121704056600</v>
      </c>
      <c r="BJ187" s="3">
        <v>43</v>
      </c>
      <c r="BK187" s="3">
        <v>137</v>
      </c>
      <c r="BL187" s="3">
        <v>55</v>
      </c>
      <c r="BM187" s="3">
        <v>1</v>
      </c>
      <c r="BN187" s="3">
        <v>3</v>
      </c>
    </row>
    <row r="188" spans="1:66" hidden="1" x14ac:dyDescent="0.3">
      <c r="A188" s="3">
        <v>182</v>
      </c>
      <c r="B188" s="3" t="s">
        <v>3911</v>
      </c>
      <c r="C188" s="3" t="s">
        <v>4369</v>
      </c>
      <c r="D188" s="3" t="s">
        <v>53</v>
      </c>
      <c r="E188" s="3">
        <v>3122790358</v>
      </c>
      <c r="F188" s="3" t="s">
        <v>2352</v>
      </c>
      <c r="G188" s="157">
        <v>41150</v>
      </c>
      <c r="H188" s="3">
        <v>3217128908120000</v>
      </c>
      <c r="I188" s="3" t="s">
        <v>2353</v>
      </c>
      <c r="J188" s="3" t="s">
        <v>2507</v>
      </c>
      <c r="K188" s="3">
        <v>1</v>
      </c>
      <c r="L188" s="3">
        <v>3</v>
      </c>
      <c r="M188" s="3"/>
      <c r="N188" s="3" t="s">
        <v>4557</v>
      </c>
      <c r="O188" s="3" t="s">
        <v>2356</v>
      </c>
      <c r="P188" s="3">
        <v>40763</v>
      </c>
      <c r="Q188" s="3" t="s">
        <v>2357</v>
      </c>
      <c r="R188" s="3" t="s">
        <v>2358</v>
      </c>
      <c r="S188" s="3"/>
      <c r="T188" s="3"/>
      <c r="U188" s="3"/>
      <c r="V188" s="3"/>
      <c r="W188" s="3" t="s">
        <v>2359</v>
      </c>
      <c r="X188" s="3"/>
      <c r="Y188" s="3" t="s">
        <v>4683</v>
      </c>
      <c r="Z188" s="3">
        <v>1980</v>
      </c>
      <c r="AA188" s="3" t="s">
        <v>2390</v>
      </c>
      <c r="AB188" s="3" t="s">
        <v>2493</v>
      </c>
      <c r="AC188" s="3" t="s">
        <v>2375</v>
      </c>
      <c r="AD188" s="3">
        <v>3217209910800000</v>
      </c>
      <c r="AE188" s="3" t="s">
        <v>3968</v>
      </c>
      <c r="AF188" s="3">
        <v>1991</v>
      </c>
      <c r="AG188" s="3" t="s">
        <v>2390</v>
      </c>
      <c r="AH188" s="3" t="s">
        <v>2365</v>
      </c>
      <c r="AI188" s="3" t="s">
        <v>2366</v>
      </c>
      <c r="AJ188" s="3">
        <v>3217125010910030</v>
      </c>
      <c r="AK188" s="3"/>
      <c r="AL188" s="3"/>
      <c r="AM188" s="3"/>
      <c r="AN188" s="3"/>
      <c r="AO188" s="3"/>
      <c r="AP188" s="3"/>
      <c r="AQ188" s="3" t="s">
        <v>5151</v>
      </c>
      <c r="AR188" s="3" t="s">
        <v>4684</v>
      </c>
      <c r="AS188" s="3" t="s">
        <v>4685</v>
      </c>
      <c r="AT188" s="3" t="s">
        <v>2359</v>
      </c>
      <c r="AU188" s="3"/>
      <c r="AV188" s="3">
        <v>1</v>
      </c>
      <c r="AW188" s="3"/>
      <c r="AX188" s="3" t="s">
        <v>3967</v>
      </c>
      <c r="AY188" s="3"/>
      <c r="AZ188" s="3"/>
      <c r="BA188" s="3"/>
      <c r="BB188" s="3" t="s">
        <v>2369</v>
      </c>
      <c r="BC188" s="3" t="s">
        <v>2370</v>
      </c>
      <c r="BD188" s="3" t="s">
        <v>2371</v>
      </c>
      <c r="BE188" s="3" t="s">
        <v>2672</v>
      </c>
      <c r="BF188" s="3">
        <v>1</v>
      </c>
      <c r="BG188" s="3">
        <v>-6.9625000000000004</v>
      </c>
      <c r="BH188" s="3">
        <v>107.4346</v>
      </c>
      <c r="BI188" s="3">
        <v>3217121605120000</v>
      </c>
      <c r="BJ188" s="3">
        <v>45</v>
      </c>
      <c r="BK188" s="3">
        <v>144</v>
      </c>
      <c r="BL188" s="3">
        <v>55</v>
      </c>
      <c r="BM188" s="3">
        <v>1</v>
      </c>
      <c r="BN188" s="3">
        <v>3</v>
      </c>
    </row>
    <row r="189" spans="1:66" s="219" customFormat="1" hidden="1" x14ac:dyDescent="0.3">
      <c r="A189" s="54">
        <v>183</v>
      </c>
      <c r="B189" s="54" t="s">
        <v>1347</v>
      </c>
      <c r="C189" s="54" t="s">
        <v>1404</v>
      </c>
      <c r="D189" s="54" t="s">
        <v>53</v>
      </c>
      <c r="E189" s="54">
        <v>98296684</v>
      </c>
      <c r="F189" s="54" t="s">
        <v>3121</v>
      </c>
      <c r="G189" s="108">
        <v>40073</v>
      </c>
      <c r="H189" s="54">
        <v>3203255709090000</v>
      </c>
      <c r="I189" s="54" t="s">
        <v>2353</v>
      </c>
      <c r="J189" s="54" t="s">
        <v>4686</v>
      </c>
      <c r="K189" s="54">
        <v>2</v>
      </c>
      <c r="L189" s="54">
        <v>1</v>
      </c>
      <c r="M189" s="54"/>
      <c r="N189" s="54" t="s">
        <v>3122</v>
      </c>
      <c r="O189" s="54" t="s">
        <v>3123</v>
      </c>
      <c r="P189" s="54">
        <v>43269</v>
      </c>
      <c r="Q189" s="54" t="s">
        <v>2357</v>
      </c>
      <c r="R189" s="54" t="s">
        <v>2358</v>
      </c>
      <c r="S189" s="54"/>
      <c r="T189" s="54"/>
      <c r="U189" s="54"/>
      <c r="V189" s="54"/>
      <c r="W189" s="54" t="s">
        <v>2359</v>
      </c>
      <c r="X189" s="54"/>
      <c r="Y189" s="54" t="s">
        <v>3124</v>
      </c>
      <c r="Z189" s="54">
        <v>1976</v>
      </c>
      <c r="AA189" s="54" t="s">
        <v>2361</v>
      </c>
      <c r="AB189" s="54" t="s">
        <v>2472</v>
      </c>
      <c r="AC189" s="54" t="s">
        <v>2403</v>
      </c>
      <c r="AD189" s="54">
        <v>3203252012760000</v>
      </c>
      <c r="AE189" s="54" t="s">
        <v>3125</v>
      </c>
      <c r="AF189" s="54">
        <v>1980</v>
      </c>
      <c r="AG189" s="54" t="s">
        <v>2361</v>
      </c>
      <c r="AH189" s="54" t="s">
        <v>2365</v>
      </c>
      <c r="AI189" s="54" t="s">
        <v>2366</v>
      </c>
      <c r="AJ189" s="54">
        <v>3203256708800000</v>
      </c>
      <c r="AK189" s="54"/>
      <c r="AL189" s="54"/>
      <c r="AM189" s="54"/>
      <c r="AN189" s="54"/>
      <c r="AO189" s="54"/>
      <c r="AP189" s="54"/>
      <c r="AQ189" s="54" t="s">
        <v>5147</v>
      </c>
      <c r="AR189" s="54"/>
      <c r="AS189" s="54"/>
      <c r="AT189" s="54" t="s">
        <v>2359</v>
      </c>
      <c r="AU189" s="54"/>
      <c r="AV189" s="54">
        <v>0</v>
      </c>
      <c r="AW189" s="54"/>
      <c r="AX189" s="54" t="s">
        <v>4687</v>
      </c>
      <c r="AY189" s="54"/>
      <c r="AZ189" s="54"/>
      <c r="BA189" s="54"/>
      <c r="BB189" s="54" t="s">
        <v>2369</v>
      </c>
      <c r="BC189" s="54" t="s">
        <v>2370</v>
      </c>
      <c r="BD189" s="54" t="s">
        <v>2371</v>
      </c>
      <c r="BE189" s="54" t="s">
        <v>3109</v>
      </c>
      <c r="BF189" s="54">
        <v>1</v>
      </c>
      <c r="BG189" s="54">
        <v>-7.0415000000000001</v>
      </c>
      <c r="BH189" s="54">
        <v>107.1046</v>
      </c>
      <c r="BI189" s="54">
        <v>3203250108110000</v>
      </c>
      <c r="BJ189" s="54">
        <v>20</v>
      </c>
      <c r="BK189" s="54">
        <v>125</v>
      </c>
      <c r="BL189" s="54">
        <v>58</v>
      </c>
      <c r="BM189" s="54">
        <v>2</v>
      </c>
      <c r="BN189" s="54">
        <v>2</v>
      </c>
    </row>
    <row r="190" spans="1:66" s="219" customFormat="1" hidden="1" x14ac:dyDescent="0.3">
      <c r="A190" s="54">
        <v>184</v>
      </c>
      <c r="B190" s="54" t="s">
        <v>2676</v>
      </c>
      <c r="C190" s="54" t="s">
        <v>2165</v>
      </c>
      <c r="D190" s="54" t="s">
        <v>53</v>
      </c>
      <c r="E190" s="54">
        <v>102841902</v>
      </c>
      <c r="F190" s="54" t="s">
        <v>2377</v>
      </c>
      <c r="G190" s="108">
        <v>40242</v>
      </c>
      <c r="H190" s="54">
        <v>3217124503100000</v>
      </c>
      <c r="I190" s="54" t="s">
        <v>2353</v>
      </c>
      <c r="J190" s="54" t="s">
        <v>2677</v>
      </c>
      <c r="K190" s="54">
        <v>4</v>
      </c>
      <c r="L190" s="54">
        <v>8</v>
      </c>
      <c r="M190" s="54" t="s">
        <v>2678</v>
      </c>
      <c r="N190" s="54" t="s">
        <v>2399</v>
      </c>
      <c r="O190" s="54" t="s">
        <v>2356</v>
      </c>
      <c r="P190" s="54">
        <v>40564</v>
      </c>
      <c r="Q190" s="54" t="s">
        <v>2357</v>
      </c>
      <c r="R190" s="54" t="s">
        <v>2358</v>
      </c>
      <c r="S190" s="54"/>
      <c r="T190" s="54">
        <v>83890366477</v>
      </c>
      <c r="U190" s="54"/>
      <c r="V190" s="54"/>
      <c r="W190" s="54" t="s">
        <v>2359</v>
      </c>
      <c r="X190" s="54"/>
      <c r="Y190" s="54" t="s">
        <v>2679</v>
      </c>
      <c r="Z190" s="54">
        <v>1976</v>
      </c>
      <c r="AA190" s="54" t="s">
        <v>2361</v>
      </c>
      <c r="AB190" s="54" t="s">
        <v>2362</v>
      </c>
      <c r="AC190" s="54" t="s">
        <v>2403</v>
      </c>
      <c r="AD190" s="54">
        <v>3217121811760000</v>
      </c>
      <c r="AE190" s="54" t="s">
        <v>2680</v>
      </c>
      <c r="AF190" s="54">
        <v>1981</v>
      </c>
      <c r="AG190" s="54" t="s">
        <v>2402</v>
      </c>
      <c r="AH190" s="54" t="s">
        <v>2365</v>
      </c>
      <c r="AI190" s="54" t="s">
        <v>2366</v>
      </c>
      <c r="AJ190" s="54">
        <v>3217125804810000</v>
      </c>
      <c r="AK190" s="54"/>
      <c r="AL190" s="54"/>
      <c r="AM190" s="54" t="s">
        <v>2367</v>
      </c>
      <c r="AN190" s="54"/>
      <c r="AO190" s="54"/>
      <c r="AP190" s="54"/>
      <c r="AQ190" s="54" t="s">
        <v>8180</v>
      </c>
      <c r="AR190" s="54"/>
      <c r="AS190" s="54"/>
      <c r="AT190" s="54" t="s">
        <v>2359</v>
      </c>
      <c r="AU190" s="54"/>
      <c r="AV190" s="54">
        <v>0</v>
      </c>
      <c r="AW190" s="54"/>
      <c r="AX190" s="54" t="s">
        <v>2681</v>
      </c>
      <c r="AY190" s="54"/>
      <c r="AZ190" s="54"/>
      <c r="BA190" s="54"/>
      <c r="BB190" s="54" t="s">
        <v>2369</v>
      </c>
      <c r="BC190" s="54" t="s">
        <v>2370</v>
      </c>
      <c r="BD190" s="54" t="s">
        <v>2371</v>
      </c>
      <c r="BE190" s="54" t="s">
        <v>2406</v>
      </c>
      <c r="BF190" s="54">
        <v>1</v>
      </c>
      <c r="BG190" s="54">
        <v>-6.9500278419999999</v>
      </c>
      <c r="BH190" s="54">
        <v>107.380414</v>
      </c>
      <c r="BI190" s="54"/>
      <c r="BJ190" s="54">
        <v>42</v>
      </c>
      <c r="BK190" s="54">
        <v>139</v>
      </c>
      <c r="BL190" s="54">
        <v>0</v>
      </c>
      <c r="BM190" s="54">
        <v>0</v>
      </c>
      <c r="BN190" s="54">
        <v>0</v>
      </c>
    </row>
    <row r="191" spans="1:66" s="219" customFormat="1" hidden="1" x14ac:dyDescent="0.3">
      <c r="A191" s="54">
        <v>185</v>
      </c>
      <c r="B191" s="54" t="s">
        <v>1903</v>
      </c>
      <c r="C191" s="54" t="s">
        <v>1557</v>
      </c>
      <c r="D191" s="54" t="s">
        <v>53</v>
      </c>
      <c r="E191" s="54">
        <v>3094856892</v>
      </c>
      <c r="F191" s="54" t="s">
        <v>2446</v>
      </c>
      <c r="G191" s="108">
        <v>39921</v>
      </c>
      <c r="H191" s="54">
        <v>3217115804090000</v>
      </c>
      <c r="I191" s="54" t="s">
        <v>2353</v>
      </c>
      <c r="J191" s="54" t="s">
        <v>3716</v>
      </c>
      <c r="K191" s="54">
        <v>4</v>
      </c>
      <c r="L191" s="54">
        <v>7</v>
      </c>
      <c r="M191" s="54"/>
      <c r="N191" s="54" t="s">
        <v>2617</v>
      </c>
      <c r="O191" s="54" t="s">
        <v>2426</v>
      </c>
      <c r="P191" s="54">
        <v>40561</v>
      </c>
      <c r="Q191" s="54" t="s">
        <v>2357</v>
      </c>
      <c r="R191" s="54" t="s">
        <v>2358</v>
      </c>
      <c r="S191" s="54"/>
      <c r="T191" s="54">
        <v>85703202168</v>
      </c>
      <c r="U191" s="54"/>
      <c r="V191" s="54"/>
      <c r="W191" s="54" t="s">
        <v>2359</v>
      </c>
      <c r="X191" s="54"/>
      <c r="Y191" s="54"/>
      <c r="Z191" s="54">
        <v>1976</v>
      </c>
      <c r="AA191" s="54" t="s">
        <v>2402</v>
      </c>
      <c r="AB191" s="54" t="s">
        <v>2362</v>
      </c>
      <c r="AC191" s="54" t="s">
        <v>2363</v>
      </c>
      <c r="AD191" s="54"/>
      <c r="AE191" s="54" t="s">
        <v>3717</v>
      </c>
      <c r="AF191" s="54">
        <v>1980</v>
      </c>
      <c r="AG191" s="54" t="s">
        <v>2361</v>
      </c>
      <c r="AH191" s="54" t="s">
        <v>2365</v>
      </c>
      <c r="AI191" s="54" t="s">
        <v>2366</v>
      </c>
      <c r="AJ191" s="54"/>
      <c r="AK191" s="54"/>
      <c r="AL191" s="54"/>
      <c r="AM191" s="54"/>
      <c r="AN191" s="54" t="s">
        <v>2365</v>
      </c>
      <c r="AO191" s="54"/>
      <c r="AP191" s="54"/>
      <c r="AQ191" s="54" t="s">
        <v>5147</v>
      </c>
      <c r="AR191" s="54"/>
      <c r="AS191" s="54"/>
      <c r="AT191" s="54" t="s">
        <v>2359</v>
      </c>
      <c r="AU191" s="54"/>
      <c r="AV191" s="54">
        <v>0</v>
      </c>
      <c r="AW191" s="54"/>
      <c r="AX191" s="54"/>
      <c r="AY191" s="54"/>
      <c r="AZ191" s="54"/>
      <c r="BA191" s="54"/>
      <c r="BB191" s="54" t="s">
        <v>2369</v>
      </c>
      <c r="BC191" s="54" t="s">
        <v>2370</v>
      </c>
      <c r="BD191" s="54" t="s">
        <v>2371</v>
      </c>
      <c r="BE191" s="54"/>
      <c r="BF191" s="54">
        <v>1</v>
      </c>
      <c r="BG191" s="54">
        <v>-6.9625000000000004</v>
      </c>
      <c r="BH191" s="54">
        <v>107.4346</v>
      </c>
      <c r="BI191" s="54"/>
      <c r="BJ191" s="54">
        <v>48</v>
      </c>
      <c r="BK191" s="54">
        <v>144</v>
      </c>
      <c r="BL191" s="54">
        <v>58</v>
      </c>
      <c r="BM191" s="54">
        <v>2</v>
      </c>
      <c r="BN191" s="54">
        <v>1</v>
      </c>
    </row>
    <row r="192" spans="1:66" hidden="1" x14ac:dyDescent="0.3">
      <c r="A192" s="3">
        <v>186</v>
      </c>
      <c r="B192" s="3" t="s">
        <v>3826</v>
      </c>
      <c r="C192" s="3" t="s">
        <v>4272</v>
      </c>
      <c r="D192" s="3" t="s">
        <v>53</v>
      </c>
      <c r="E192" s="3">
        <v>108457423</v>
      </c>
      <c r="F192" s="3" t="s">
        <v>2352</v>
      </c>
      <c r="G192" s="157">
        <v>40417</v>
      </c>
      <c r="H192" s="3">
        <v>3217146708100000</v>
      </c>
      <c r="I192" s="3" t="s">
        <v>2353</v>
      </c>
      <c r="J192" s="3" t="s">
        <v>4688</v>
      </c>
      <c r="K192" s="3">
        <v>1</v>
      </c>
      <c r="L192" s="3">
        <v>10</v>
      </c>
      <c r="M192" s="3"/>
      <c r="N192" s="3" t="s">
        <v>4689</v>
      </c>
      <c r="O192" s="3" t="s">
        <v>3065</v>
      </c>
      <c r="P192" s="3">
        <v>40563</v>
      </c>
      <c r="Q192" s="3" t="s">
        <v>2357</v>
      </c>
      <c r="R192" s="3" t="s">
        <v>2358</v>
      </c>
      <c r="S192" s="3"/>
      <c r="T192" s="3">
        <v>83837306794</v>
      </c>
      <c r="U192" s="3"/>
      <c r="V192" s="3"/>
      <c r="W192" s="3" t="s">
        <v>2359</v>
      </c>
      <c r="X192" s="3"/>
      <c r="Y192" s="3" t="s">
        <v>3972</v>
      </c>
      <c r="Z192" s="3">
        <v>1979</v>
      </c>
      <c r="AA192" s="3" t="s">
        <v>2361</v>
      </c>
      <c r="AB192" s="3" t="s">
        <v>2362</v>
      </c>
      <c r="AC192" s="3" t="s">
        <v>2363</v>
      </c>
      <c r="AD192" s="3">
        <v>3217140702790010</v>
      </c>
      <c r="AE192" s="3" t="s">
        <v>3973</v>
      </c>
      <c r="AF192" s="3">
        <v>1987</v>
      </c>
      <c r="AG192" s="3" t="s">
        <v>2361</v>
      </c>
      <c r="AH192" s="3" t="s">
        <v>2365</v>
      </c>
      <c r="AI192" s="3" t="s">
        <v>2366</v>
      </c>
      <c r="AJ192" s="3">
        <v>3217146407870000</v>
      </c>
      <c r="AK192" s="3"/>
      <c r="AL192" s="3"/>
      <c r="AM192" s="3" t="s">
        <v>2367</v>
      </c>
      <c r="AN192" s="3"/>
      <c r="AO192" s="3"/>
      <c r="AP192" s="3"/>
      <c r="AQ192" s="3" t="s">
        <v>5149</v>
      </c>
      <c r="AR192" s="3"/>
      <c r="AS192" s="3"/>
      <c r="AT192" s="3" t="s">
        <v>2359</v>
      </c>
      <c r="AU192" s="3"/>
      <c r="AV192" s="3">
        <v>0</v>
      </c>
      <c r="AW192" s="3"/>
      <c r="AX192" s="3" t="s">
        <v>4690</v>
      </c>
      <c r="AY192" s="3"/>
      <c r="AZ192" s="3"/>
      <c r="BA192" s="3"/>
      <c r="BB192" s="3" t="s">
        <v>2369</v>
      </c>
      <c r="BC192" s="3" t="s">
        <v>2370</v>
      </c>
      <c r="BD192" s="3" t="s">
        <v>2371</v>
      </c>
      <c r="BE192" s="3" t="s">
        <v>4691</v>
      </c>
      <c r="BF192" s="3">
        <v>1</v>
      </c>
      <c r="BG192" s="3">
        <v>-7.0010777390000003</v>
      </c>
      <c r="BH192" s="3">
        <v>107.3744289</v>
      </c>
      <c r="BI192" s="3"/>
      <c r="BJ192" s="3">
        <v>45</v>
      </c>
      <c r="BK192" s="3">
        <v>134</v>
      </c>
      <c r="BL192" s="3">
        <v>55</v>
      </c>
      <c r="BM192" s="3">
        <v>1</v>
      </c>
      <c r="BN192" s="3">
        <v>2</v>
      </c>
    </row>
    <row r="193" spans="1:66" hidden="1" x14ac:dyDescent="0.3">
      <c r="A193" s="3">
        <v>187</v>
      </c>
      <c r="B193" s="3" t="s">
        <v>3794</v>
      </c>
      <c r="C193" s="3" t="s">
        <v>4239</v>
      </c>
      <c r="D193" s="3" t="s">
        <v>52</v>
      </c>
      <c r="E193" s="3">
        <v>112929694</v>
      </c>
      <c r="F193" s="3" t="s">
        <v>2352</v>
      </c>
      <c r="G193" s="157">
        <v>40655</v>
      </c>
      <c r="H193" s="3">
        <v>3217112204110000</v>
      </c>
      <c r="I193" s="3" t="s">
        <v>2353</v>
      </c>
      <c r="J193" s="3" t="s">
        <v>4692</v>
      </c>
      <c r="K193" s="3">
        <v>2</v>
      </c>
      <c r="L193" s="3">
        <v>2</v>
      </c>
      <c r="M193" s="3"/>
      <c r="N193" s="3" t="s">
        <v>3105</v>
      </c>
      <c r="O193" s="3" t="s">
        <v>2426</v>
      </c>
      <c r="P193" s="3">
        <v>40562</v>
      </c>
      <c r="Q193" s="3" t="s">
        <v>2357</v>
      </c>
      <c r="R193" s="3" t="s">
        <v>2358</v>
      </c>
      <c r="S193" s="3"/>
      <c r="T193" s="3"/>
      <c r="U193" s="3"/>
      <c r="V193" s="3"/>
      <c r="W193" s="3" t="s">
        <v>2359</v>
      </c>
      <c r="X193" s="3"/>
      <c r="Y193" s="3" t="s">
        <v>4092</v>
      </c>
      <c r="Z193" s="3">
        <v>1974</v>
      </c>
      <c r="AA193" s="3" t="s">
        <v>2390</v>
      </c>
      <c r="AB193" s="3" t="s">
        <v>2362</v>
      </c>
      <c r="AC193" s="3" t="s">
        <v>2363</v>
      </c>
      <c r="AD193" s="3">
        <v>3217110306740020</v>
      </c>
      <c r="AE193" s="3" t="s">
        <v>4093</v>
      </c>
      <c r="AF193" s="3">
        <v>1979</v>
      </c>
      <c r="AG193" s="3" t="s">
        <v>2361</v>
      </c>
      <c r="AH193" s="3" t="s">
        <v>2365</v>
      </c>
      <c r="AI193" s="3" t="s">
        <v>2366</v>
      </c>
      <c r="AJ193" s="3">
        <v>3217115707820020</v>
      </c>
      <c r="AK193" s="3"/>
      <c r="AL193" s="3"/>
      <c r="AM193" s="3" t="s">
        <v>2367</v>
      </c>
      <c r="AN193" s="3"/>
      <c r="AO193" s="3"/>
      <c r="AP193" s="3"/>
      <c r="AQ193" s="3" t="s">
        <v>5146</v>
      </c>
      <c r="AR193" s="3"/>
      <c r="AS193" s="3"/>
      <c r="AT193" s="3" t="s">
        <v>2359</v>
      </c>
      <c r="AU193" s="3"/>
      <c r="AV193" s="3">
        <v>0</v>
      </c>
      <c r="AW193" s="3"/>
      <c r="AX193" s="3">
        <v>9530381236</v>
      </c>
      <c r="AY193" s="3"/>
      <c r="AZ193" s="3"/>
      <c r="BA193" s="3"/>
      <c r="BB193" s="3" t="s">
        <v>2369</v>
      </c>
      <c r="BC193" s="3" t="s">
        <v>2370</v>
      </c>
      <c r="BD193" s="3" t="s">
        <v>2371</v>
      </c>
      <c r="BE193" s="3" t="s">
        <v>2691</v>
      </c>
      <c r="BF193" s="3">
        <v>3</v>
      </c>
      <c r="BG193" s="3">
        <v>-6.9743000000000004</v>
      </c>
      <c r="BH193" s="3">
        <v>107.43559999999999</v>
      </c>
      <c r="BI193" s="3"/>
      <c r="BJ193" s="3">
        <v>35</v>
      </c>
      <c r="BK193" s="3">
        <v>135</v>
      </c>
      <c r="BL193" s="3">
        <v>55</v>
      </c>
      <c r="BM193" s="3">
        <v>1</v>
      </c>
      <c r="BN193" s="3">
        <v>1</v>
      </c>
    </row>
    <row r="194" spans="1:66" s="219" customFormat="1" hidden="1" x14ac:dyDescent="0.3">
      <c r="A194" s="54">
        <v>188</v>
      </c>
      <c r="B194" s="54" t="s">
        <v>2587</v>
      </c>
      <c r="C194" s="54" t="s">
        <v>2140</v>
      </c>
      <c r="D194" s="54" t="s">
        <v>53</v>
      </c>
      <c r="E194" s="54">
        <v>96155504</v>
      </c>
      <c r="F194" s="54" t="s">
        <v>2373</v>
      </c>
      <c r="G194" s="108">
        <v>40065</v>
      </c>
      <c r="H194" s="54">
        <v>3217114909090000</v>
      </c>
      <c r="I194" s="54" t="s">
        <v>2353</v>
      </c>
      <c r="J194" s="54" t="s">
        <v>2588</v>
      </c>
      <c r="K194" s="54">
        <v>4</v>
      </c>
      <c r="L194" s="54">
        <v>3</v>
      </c>
      <c r="M194" s="54"/>
      <c r="N194" s="54" t="s">
        <v>2566</v>
      </c>
      <c r="O194" s="54" t="s">
        <v>2426</v>
      </c>
      <c r="P194" s="54">
        <v>40562</v>
      </c>
      <c r="Q194" s="54" t="s">
        <v>2357</v>
      </c>
      <c r="R194" s="54" t="s">
        <v>2374</v>
      </c>
      <c r="S194" s="54"/>
      <c r="T194" s="54">
        <v>83820368398</v>
      </c>
      <c r="U194" s="54"/>
      <c r="V194" s="54"/>
      <c r="W194" s="54" t="s">
        <v>2369</v>
      </c>
      <c r="X194" s="54">
        <v>122000105658027</v>
      </c>
      <c r="Y194" s="54" t="s">
        <v>2589</v>
      </c>
      <c r="Z194" s="54">
        <v>1965</v>
      </c>
      <c r="AA194" s="54" t="s">
        <v>2361</v>
      </c>
      <c r="AB194" s="54" t="s">
        <v>2362</v>
      </c>
      <c r="AC194" s="54" t="s">
        <v>2375</v>
      </c>
      <c r="AD194" s="54">
        <v>3217110202650010</v>
      </c>
      <c r="AE194" s="54" t="s">
        <v>2590</v>
      </c>
      <c r="AF194" s="54">
        <v>1970</v>
      </c>
      <c r="AG194" s="54" t="s">
        <v>2402</v>
      </c>
      <c r="AH194" s="54" t="s">
        <v>2365</v>
      </c>
      <c r="AI194" s="54" t="s">
        <v>2366</v>
      </c>
      <c r="AJ194" s="54">
        <v>3217116504700000</v>
      </c>
      <c r="AK194" s="54"/>
      <c r="AL194" s="54"/>
      <c r="AM194" s="54" t="s">
        <v>2367</v>
      </c>
      <c r="AN194" s="54"/>
      <c r="AO194" s="54"/>
      <c r="AP194" s="54"/>
      <c r="AQ194" s="54" t="s">
        <v>8181</v>
      </c>
      <c r="AR194" s="54"/>
      <c r="AS194" s="54"/>
      <c r="AT194" s="54" t="s">
        <v>2359</v>
      </c>
      <c r="AU194" s="54"/>
      <c r="AV194" s="54">
        <v>0</v>
      </c>
      <c r="AW194" s="54"/>
      <c r="AX194" s="54" t="s">
        <v>2591</v>
      </c>
      <c r="AY194" s="54"/>
      <c r="AZ194" s="54"/>
      <c r="BA194" s="54"/>
      <c r="BB194" s="54" t="s">
        <v>2359</v>
      </c>
      <c r="BC194" s="54"/>
      <c r="BD194" s="54" t="s">
        <v>2371</v>
      </c>
      <c r="BE194" s="54" t="s">
        <v>4693</v>
      </c>
      <c r="BF194" s="54"/>
      <c r="BG194" s="54">
        <v>-6.9798</v>
      </c>
      <c r="BH194" s="54">
        <v>107.42230000000001</v>
      </c>
      <c r="BI194" s="54"/>
      <c r="BJ194" s="54">
        <v>41</v>
      </c>
      <c r="BK194" s="54">
        <v>138</v>
      </c>
      <c r="BL194" s="54">
        <v>0</v>
      </c>
      <c r="BM194" s="54">
        <v>0</v>
      </c>
      <c r="BN194" s="54">
        <v>0</v>
      </c>
    </row>
    <row r="195" spans="1:66" hidden="1" x14ac:dyDescent="0.3">
      <c r="A195" s="3">
        <v>189</v>
      </c>
      <c r="B195" s="3" t="s">
        <v>4694</v>
      </c>
      <c r="C195" s="3" t="s">
        <v>4334</v>
      </c>
      <c r="D195" s="3" t="s">
        <v>53</v>
      </c>
      <c r="E195" s="3">
        <v>103789252</v>
      </c>
      <c r="F195" s="3" t="s">
        <v>2373</v>
      </c>
      <c r="G195" s="157">
        <v>40431</v>
      </c>
      <c r="H195" s="3">
        <v>3217115009100000</v>
      </c>
      <c r="I195" s="3" t="s">
        <v>2353</v>
      </c>
      <c r="J195" s="3" t="s">
        <v>2424</v>
      </c>
      <c r="K195" s="3">
        <v>4</v>
      </c>
      <c r="L195" s="3">
        <v>8</v>
      </c>
      <c r="M195" s="3"/>
      <c r="N195" s="3" t="s">
        <v>4508</v>
      </c>
      <c r="O195" s="3" t="s">
        <v>2426</v>
      </c>
      <c r="P195" s="3">
        <v>40562</v>
      </c>
      <c r="Q195" s="3" t="s">
        <v>2357</v>
      </c>
      <c r="R195" s="3" t="s">
        <v>2358</v>
      </c>
      <c r="S195" s="3"/>
      <c r="T195" s="3">
        <v>83825194997</v>
      </c>
      <c r="U195" s="3"/>
      <c r="V195" s="3"/>
      <c r="W195" s="3" t="s">
        <v>2359</v>
      </c>
      <c r="X195" s="3"/>
      <c r="Y195" s="3" t="s">
        <v>4695</v>
      </c>
      <c r="Z195" s="3">
        <v>1972</v>
      </c>
      <c r="AA195" s="3" t="s">
        <v>2402</v>
      </c>
      <c r="AB195" s="3" t="s">
        <v>2362</v>
      </c>
      <c r="AC195" s="3" t="s">
        <v>2403</v>
      </c>
      <c r="AD195" s="3">
        <v>3217111202720000</v>
      </c>
      <c r="AE195" s="3" t="s">
        <v>4696</v>
      </c>
      <c r="AF195" s="3">
        <v>1979</v>
      </c>
      <c r="AG195" s="3" t="s">
        <v>2402</v>
      </c>
      <c r="AH195" s="3" t="s">
        <v>2365</v>
      </c>
      <c r="AI195" s="3" t="s">
        <v>2366</v>
      </c>
      <c r="AJ195" s="3">
        <v>3217115708790010</v>
      </c>
      <c r="AK195" s="3"/>
      <c r="AL195" s="3"/>
      <c r="AM195" s="3" t="s">
        <v>2367</v>
      </c>
      <c r="AN195" s="3"/>
      <c r="AO195" s="3"/>
      <c r="AP195" s="3"/>
      <c r="AQ195" s="3" t="s">
        <v>5152</v>
      </c>
      <c r="AR195" s="3"/>
      <c r="AS195" s="3" t="s">
        <v>4697</v>
      </c>
      <c r="AT195" s="3" t="s">
        <v>2359</v>
      </c>
      <c r="AU195" s="3"/>
      <c r="AV195" s="3">
        <v>0</v>
      </c>
      <c r="AW195" s="3"/>
      <c r="AX195" s="3" t="s">
        <v>4113</v>
      </c>
      <c r="AY195" s="3"/>
      <c r="AZ195" s="3"/>
      <c r="BA195" s="3"/>
      <c r="BB195" s="3" t="s">
        <v>2369</v>
      </c>
      <c r="BC195" s="3" t="s">
        <v>2370</v>
      </c>
      <c r="BD195" s="3" t="s">
        <v>2371</v>
      </c>
      <c r="BE195" s="3" t="s">
        <v>2430</v>
      </c>
      <c r="BF195" s="3">
        <v>2</v>
      </c>
      <c r="BG195" s="3">
        <v>-6.9514541999999997</v>
      </c>
      <c r="BH195" s="3">
        <v>107.4179645</v>
      </c>
      <c r="BI195" s="3">
        <v>3217110906140010</v>
      </c>
      <c r="BJ195" s="3">
        <v>44</v>
      </c>
      <c r="BK195" s="3">
        <v>137</v>
      </c>
      <c r="BL195" s="3">
        <v>49</v>
      </c>
      <c r="BM195" s="3">
        <v>1</v>
      </c>
      <c r="BN195" s="3">
        <v>2</v>
      </c>
    </row>
    <row r="196" spans="1:66" s="219" customFormat="1" hidden="1" x14ac:dyDescent="0.3">
      <c r="A196" s="54">
        <v>190</v>
      </c>
      <c r="B196" s="54" t="s">
        <v>1348</v>
      </c>
      <c r="C196" s="54" t="s">
        <v>1405</v>
      </c>
      <c r="D196" s="54" t="s">
        <v>52</v>
      </c>
      <c r="E196" s="54">
        <v>86087132</v>
      </c>
      <c r="F196" s="54" t="s">
        <v>2373</v>
      </c>
      <c r="G196" s="108">
        <v>39607</v>
      </c>
      <c r="H196" s="54">
        <v>3217120806080000</v>
      </c>
      <c r="I196" s="54" t="s">
        <v>2353</v>
      </c>
      <c r="J196" s="54" t="s">
        <v>3050</v>
      </c>
      <c r="K196" s="54">
        <v>2</v>
      </c>
      <c r="L196" s="54">
        <v>4</v>
      </c>
      <c r="M196" s="54"/>
      <c r="N196" s="54" t="s">
        <v>2513</v>
      </c>
      <c r="O196" s="54" t="s">
        <v>2356</v>
      </c>
      <c r="P196" s="54">
        <v>40764</v>
      </c>
      <c r="Q196" s="54" t="s">
        <v>2357</v>
      </c>
      <c r="R196" s="54" t="s">
        <v>2358</v>
      </c>
      <c r="S196" s="54"/>
      <c r="T196" s="54">
        <v>83821379096</v>
      </c>
      <c r="U196" s="54"/>
      <c r="V196" s="54"/>
      <c r="W196" s="54" t="s">
        <v>2359</v>
      </c>
      <c r="X196" s="54"/>
      <c r="Y196" s="54" t="s">
        <v>3126</v>
      </c>
      <c r="Z196" s="54">
        <v>1956</v>
      </c>
      <c r="AA196" s="54" t="s">
        <v>2361</v>
      </c>
      <c r="AB196" s="54" t="s">
        <v>2867</v>
      </c>
      <c r="AC196" s="54" t="s">
        <v>2366</v>
      </c>
      <c r="AD196" s="54">
        <v>3217120201560000</v>
      </c>
      <c r="AE196" s="54" t="s">
        <v>3127</v>
      </c>
      <c r="AF196" s="54">
        <v>1972</v>
      </c>
      <c r="AG196" s="54" t="s">
        <v>2361</v>
      </c>
      <c r="AH196" s="54" t="s">
        <v>2365</v>
      </c>
      <c r="AI196" s="54" t="s">
        <v>2366</v>
      </c>
      <c r="AJ196" s="54">
        <v>3217125702720000</v>
      </c>
      <c r="AK196" s="54"/>
      <c r="AL196" s="54"/>
      <c r="AM196" s="54"/>
      <c r="AN196" s="54"/>
      <c r="AO196" s="54"/>
      <c r="AP196" s="54"/>
      <c r="AQ196" s="54" t="s">
        <v>5147</v>
      </c>
      <c r="AR196" s="54"/>
      <c r="AS196" s="54"/>
      <c r="AT196" s="54" t="s">
        <v>2369</v>
      </c>
      <c r="AU196" s="54" t="s">
        <v>3128</v>
      </c>
      <c r="AV196" s="54">
        <v>0</v>
      </c>
      <c r="AW196" s="54"/>
      <c r="AX196" s="54"/>
      <c r="AY196" s="54" t="s">
        <v>2460</v>
      </c>
      <c r="AZ196" s="54">
        <v>411601003076504</v>
      </c>
      <c r="BA196" s="54" t="s">
        <v>3129</v>
      </c>
      <c r="BB196" s="54" t="s">
        <v>2369</v>
      </c>
      <c r="BC196" s="54"/>
      <c r="BD196" s="54" t="s">
        <v>2371</v>
      </c>
      <c r="BE196" s="54" t="s">
        <v>3095</v>
      </c>
      <c r="BF196" s="54">
        <v>2</v>
      </c>
      <c r="BG196" s="54">
        <v>-7.0068000000000001</v>
      </c>
      <c r="BH196" s="54">
        <v>107.2349</v>
      </c>
      <c r="BI196" s="54">
        <v>3217121009120010</v>
      </c>
      <c r="BJ196" s="54">
        <v>41</v>
      </c>
      <c r="BK196" s="54">
        <v>142</v>
      </c>
      <c r="BL196" s="54">
        <v>59</v>
      </c>
      <c r="BM196" s="54">
        <v>2</v>
      </c>
      <c r="BN196" s="54">
        <v>3</v>
      </c>
    </row>
    <row r="197" spans="1:66" s="219" customFormat="1" hidden="1" x14ac:dyDescent="0.3">
      <c r="A197" s="54">
        <v>191</v>
      </c>
      <c r="B197" s="54" t="s">
        <v>1851</v>
      </c>
      <c r="C197" s="54" t="s">
        <v>1500</v>
      </c>
      <c r="D197" s="54" t="s">
        <v>52</v>
      </c>
      <c r="E197" s="54">
        <v>85621084</v>
      </c>
      <c r="F197" s="54" t="s">
        <v>2468</v>
      </c>
      <c r="G197" s="108">
        <v>39613</v>
      </c>
      <c r="H197" s="54">
        <v>3174041406080000</v>
      </c>
      <c r="I197" s="54" t="s">
        <v>2353</v>
      </c>
      <c r="J197" s="54" t="s">
        <v>2418</v>
      </c>
      <c r="K197" s="54">
        <v>1</v>
      </c>
      <c r="L197" s="54">
        <v>4</v>
      </c>
      <c r="M197" s="54"/>
      <c r="N197" s="54" t="s">
        <v>2409</v>
      </c>
      <c r="O197" s="54" t="s">
        <v>2356</v>
      </c>
      <c r="P197" s="54">
        <v>40564</v>
      </c>
      <c r="Q197" s="54" t="s">
        <v>2357</v>
      </c>
      <c r="R197" s="54" t="s">
        <v>2358</v>
      </c>
      <c r="S197" s="54"/>
      <c r="T197" s="54">
        <v>83100613691</v>
      </c>
      <c r="U197" s="54"/>
      <c r="V197" s="54"/>
      <c r="W197" s="54" t="s">
        <v>2359</v>
      </c>
      <c r="X197" s="54"/>
      <c r="Y197" s="54" t="s">
        <v>3496</v>
      </c>
      <c r="Z197" s="54">
        <v>1982</v>
      </c>
      <c r="AA197" s="54" t="s">
        <v>2390</v>
      </c>
      <c r="AB197" s="54" t="s">
        <v>2388</v>
      </c>
      <c r="AC197" s="54" t="s">
        <v>2375</v>
      </c>
      <c r="AD197" s="54">
        <v>3174040210820010</v>
      </c>
      <c r="AE197" s="54" t="s">
        <v>3497</v>
      </c>
      <c r="AF197" s="54">
        <v>1983</v>
      </c>
      <c r="AG197" s="54" t="s">
        <v>2390</v>
      </c>
      <c r="AH197" s="54" t="s">
        <v>2365</v>
      </c>
      <c r="AI197" s="54" t="s">
        <v>2366</v>
      </c>
      <c r="AJ197" s="54">
        <v>3174044505830000</v>
      </c>
      <c r="AK197" s="54"/>
      <c r="AL197" s="54"/>
      <c r="AM197" s="54"/>
      <c r="AN197" s="54"/>
      <c r="AO197" s="54"/>
      <c r="AP197" s="54"/>
      <c r="AQ197" s="54" t="s">
        <v>5147</v>
      </c>
      <c r="AR197" s="54"/>
      <c r="AS197" s="54"/>
      <c r="AT197" s="54" t="s">
        <v>2359</v>
      </c>
      <c r="AU197" s="54"/>
      <c r="AV197" s="54">
        <v>0</v>
      </c>
      <c r="AW197" s="54"/>
      <c r="AX197" s="54" t="s">
        <v>3498</v>
      </c>
      <c r="AY197" s="54"/>
      <c r="AZ197" s="54"/>
      <c r="BA197" s="54"/>
      <c r="BB197" s="54" t="s">
        <v>2369</v>
      </c>
      <c r="BC197" s="54" t="s">
        <v>2370</v>
      </c>
      <c r="BD197" s="54" t="s">
        <v>2371</v>
      </c>
      <c r="BE197" s="54"/>
      <c r="BF197" s="54">
        <v>1</v>
      </c>
      <c r="BG197" s="54">
        <v>-6.3243</v>
      </c>
      <c r="BH197" s="54">
        <v>106.8246</v>
      </c>
      <c r="BI197" s="54">
        <v>3217404120109170</v>
      </c>
      <c r="BJ197" s="54">
        <v>48</v>
      </c>
      <c r="BK197" s="54">
        <v>138</v>
      </c>
      <c r="BL197" s="54">
        <v>56</v>
      </c>
      <c r="BM197" s="54">
        <v>1</v>
      </c>
      <c r="BN197" s="54">
        <v>1</v>
      </c>
    </row>
    <row r="198" spans="1:66" s="219" customFormat="1" hidden="1" x14ac:dyDescent="0.3">
      <c r="A198" s="54">
        <v>192</v>
      </c>
      <c r="B198" s="54" t="s">
        <v>1647</v>
      </c>
      <c r="C198" s="54" t="s">
        <v>2106</v>
      </c>
      <c r="D198" s="54" t="s">
        <v>53</v>
      </c>
      <c r="E198" s="54">
        <v>103061859</v>
      </c>
      <c r="F198" s="54" t="s">
        <v>2373</v>
      </c>
      <c r="G198" s="108">
        <v>40294</v>
      </c>
      <c r="H198" s="54">
        <v>3217126604100000</v>
      </c>
      <c r="I198" s="54" t="s">
        <v>2353</v>
      </c>
      <c r="J198" s="54" t="s">
        <v>2436</v>
      </c>
      <c r="K198" s="54">
        <v>2</v>
      </c>
      <c r="L198" s="54">
        <v>4</v>
      </c>
      <c r="M198" s="54" t="s">
        <v>2437</v>
      </c>
      <c r="N198" s="54" t="s">
        <v>2438</v>
      </c>
      <c r="O198" s="54" t="s">
        <v>2356</v>
      </c>
      <c r="P198" s="54">
        <v>40764</v>
      </c>
      <c r="Q198" s="54" t="s">
        <v>2357</v>
      </c>
      <c r="R198" s="54" t="s">
        <v>2358</v>
      </c>
      <c r="S198" s="54"/>
      <c r="T198" s="54">
        <v>83829989318</v>
      </c>
      <c r="U198" s="54"/>
      <c r="V198" s="54"/>
      <c r="W198" s="54" t="s">
        <v>2359</v>
      </c>
      <c r="X198" s="54"/>
      <c r="Y198" s="54" t="s">
        <v>2439</v>
      </c>
      <c r="Z198" s="54">
        <v>1963</v>
      </c>
      <c r="AA198" s="54" t="s">
        <v>2361</v>
      </c>
      <c r="AB198" s="54" t="s">
        <v>2362</v>
      </c>
      <c r="AC198" s="54" t="s">
        <v>2403</v>
      </c>
      <c r="AD198" s="54">
        <v>3217122105630000</v>
      </c>
      <c r="AE198" s="54" t="s">
        <v>2440</v>
      </c>
      <c r="AF198" s="54">
        <v>1984</v>
      </c>
      <c r="AG198" s="54" t="s">
        <v>2361</v>
      </c>
      <c r="AH198" s="54" t="s">
        <v>2365</v>
      </c>
      <c r="AI198" s="54" t="s">
        <v>2366</v>
      </c>
      <c r="AJ198" s="54">
        <v>3217125006840020</v>
      </c>
      <c r="AK198" s="54"/>
      <c r="AL198" s="54"/>
      <c r="AM198" s="54" t="s">
        <v>2367</v>
      </c>
      <c r="AN198" s="54"/>
      <c r="AO198" s="54"/>
      <c r="AP198" s="54"/>
      <c r="AQ198" s="54" t="s">
        <v>8177</v>
      </c>
      <c r="AR198" s="54"/>
      <c r="AS198" s="54"/>
      <c r="AT198" s="54" t="s">
        <v>2359</v>
      </c>
      <c r="AU198" s="54"/>
      <c r="AV198" s="54">
        <v>0</v>
      </c>
      <c r="AW198" s="54" t="s">
        <v>2441</v>
      </c>
      <c r="AX198" s="54" t="s">
        <v>2442</v>
      </c>
      <c r="AY198" s="54"/>
      <c r="AZ198" s="54"/>
      <c r="BA198" s="54"/>
      <c r="BB198" s="54" t="s">
        <v>2369</v>
      </c>
      <c r="BC198" s="54" t="s">
        <v>2443</v>
      </c>
      <c r="BD198" s="54" t="s">
        <v>2371</v>
      </c>
      <c r="BE198" s="54" t="s">
        <v>2444</v>
      </c>
      <c r="BF198" s="54">
        <v>2</v>
      </c>
      <c r="BG198" s="54">
        <v>-6.9530000000000003</v>
      </c>
      <c r="BH198" s="54">
        <v>107.4034</v>
      </c>
      <c r="BI198" s="54">
        <v>3217122209080020</v>
      </c>
      <c r="BJ198" s="54">
        <v>57</v>
      </c>
      <c r="BK198" s="54">
        <v>140</v>
      </c>
      <c r="BL198" s="54">
        <v>0</v>
      </c>
      <c r="BM198" s="54">
        <v>0</v>
      </c>
      <c r="BN198" s="54">
        <v>0</v>
      </c>
    </row>
    <row r="199" spans="1:66" hidden="1" x14ac:dyDescent="0.3">
      <c r="A199" s="3">
        <v>193</v>
      </c>
      <c r="B199" s="3" t="s">
        <v>3912</v>
      </c>
      <c r="C199" s="3" t="s">
        <v>4370</v>
      </c>
      <c r="D199" s="3" t="s">
        <v>52</v>
      </c>
      <c r="E199" s="3">
        <v>101191713</v>
      </c>
      <c r="F199" s="3" t="s">
        <v>4186</v>
      </c>
      <c r="G199" s="157">
        <v>40491</v>
      </c>
      <c r="H199" s="3">
        <v>3217120911100000</v>
      </c>
      <c r="I199" s="3" t="s">
        <v>2353</v>
      </c>
      <c r="J199" s="3" t="s">
        <v>2831</v>
      </c>
      <c r="K199" s="3">
        <v>3</v>
      </c>
      <c r="L199" s="3">
        <v>4</v>
      </c>
      <c r="M199" s="3"/>
      <c r="N199" s="3" t="s">
        <v>4475</v>
      </c>
      <c r="O199" s="3" t="s">
        <v>2356</v>
      </c>
      <c r="P199" s="3">
        <v>40564</v>
      </c>
      <c r="Q199" s="3" t="s">
        <v>2357</v>
      </c>
      <c r="R199" s="3" t="s">
        <v>2358</v>
      </c>
      <c r="S199" s="3"/>
      <c r="T199" s="3">
        <v>83821100614</v>
      </c>
      <c r="U199" s="3"/>
      <c r="V199" s="3"/>
      <c r="W199" s="3" t="s">
        <v>2359</v>
      </c>
      <c r="X199" s="3"/>
      <c r="Y199" s="3" t="s">
        <v>4188</v>
      </c>
      <c r="Z199" s="3">
        <v>1985</v>
      </c>
      <c r="AA199" s="3" t="s">
        <v>2402</v>
      </c>
      <c r="AB199" s="3" t="s">
        <v>2362</v>
      </c>
      <c r="AC199" s="3" t="s">
        <v>2363</v>
      </c>
      <c r="AD199" s="3">
        <v>3217122608850010</v>
      </c>
      <c r="AE199" s="3" t="s">
        <v>4189</v>
      </c>
      <c r="AF199" s="3">
        <v>1993</v>
      </c>
      <c r="AG199" s="3" t="s">
        <v>2390</v>
      </c>
      <c r="AH199" s="3" t="s">
        <v>2365</v>
      </c>
      <c r="AI199" s="3" t="s">
        <v>2366</v>
      </c>
      <c r="AJ199" s="3">
        <v>3217125205930010</v>
      </c>
      <c r="AK199" s="3"/>
      <c r="AL199" s="3"/>
      <c r="AM199" s="3" t="s">
        <v>2367</v>
      </c>
      <c r="AN199" s="3"/>
      <c r="AO199" s="3"/>
      <c r="AP199" s="3"/>
      <c r="AQ199" s="3" t="s">
        <v>5151</v>
      </c>
      <c r="AR199" s="3"/>
      <c r="AS199" s="3"/>
      <c r="AT199" s="3" t="s">
        <v>2359</v>
      </c>
      <c r="AU199" s="3"/>
      <c r="AV199" s="3">
        <v>0</v>
      </c>
      <c r="AW199" s="3"/>
      <c r="AX199" s="3" t="s">
        <v>4187</v>
      </c>
      <c r="AY199" s="3"/>
      <c r="AZ199" s="3"/>
      <c r="BA199" s="3"/>
      <c r="BB199" s="3" t="s">
        <v>2369</v>
      </c>
      <c r="BC199" s="3" t="s">
        <v>2370</v>
      </c>
      <c r="BD199" s="3" t="s">
        <v>2371</v>
      </c>
      <c r="BE199" s="3" t="s">
        <v>2372</v>
      </c>
      <c r="BF199" s="3">
        <v>1</v>
      </c>
      <c r="BG199" s="3">
        <v>-6.9676999999999998</v>
      </c>
      <c r="BH199" s="3">
        <v>107.4117</v>
      </c>
      <c r="BI199" s="3"/>
      <c r="BJ199" s="3">
        <v>43</v>
      </c>
      <c r="BK199" s="3">
        <v>139</v>
      </c>
      <c r="BL199" s="3">
        <v>54</v>
      </c>
      <c r="BM199" s="3">
        <v>1</v>
      </c>
      <c r="BN199" s="3">
        <v>2</v>
      </c>
    </row>
    <row r="200" spans="1:66" s="219" customFormat="1" hidden="1" x14ac:dyDescent="0.3">
      <c r="A200" s="54">
        <v>194</v>
      </c>
      <c r="B200" s="54" t="s">
        <v>1869</v>
      </c>
      <c r="C200" s="54" t="s">
        <v>1526</v>
      </c>
      <c r="D200" s="54" t="s">
        <v>52</v>
      </c>
      <c r="E200" s="54">
        <v>81648389</v>
      </c>
      <c r="F200" s="54" t="s">
        <v>2373</v>
      </c>
      <c r="G200" s="108">
        <v>39633</v>
      </c>
      <c r="H200" s="54">
        <v>3217120407080000</v>
      </c>
      <c r="I200" s="54" t="s">
        <v>2353</v>
      </c>
      <c r="J200" s="54" t="s">
        <v>3593</v>
      </c>
      <c r="K200" s="54">
        <v>3</v>
      </c>
      <c r="L200" s="54">
        <v>5</v>
      </c>
      <c r="M200" s="54">
        <v>4</v>
      </c>
      <c r="N200" s="54" t="s">
        <v>2438</v>
      </c>
      <c r="O200" s="54" t="s">
        <v>2356</v>
      </c>
      <c r="P200" s="54">
        <v>40564</v>
      </c>
      <c r="Q200" s="54" t="s">
        <v>2357</v>
      </c>
      <c r="R200" s="54" t="s">
        <v>2358</v>
      </c>
      <c r="S200" s="54"/>
      <c r="T200" s="54">
        <v>83895292294</v>
      </c>
      <c r="U200" s="54"/>
      <c r="V200" s="54"/>
      <c r="W200" s="54" t="s">
        <v>2359</v>
      </c>
      <c r="X200" s="54" t="s">
        <v>3594</v>
      </c>
      <c r="Y200" s="54" t="s">
        <v>3595</v>
      </c>
      <c r="Z200" s="54">
        <v>1980</v>
      </c>
      <c r="AA200" s="54" t="s">
        <v>2361</v>
      </c>
      <c r="AB200" s="54" t="s">
        <v>2362</v>
      </c>
      <c r="AC200" s="54" t="s">
        <v>2403</v>
      </c>
      <c r="AD200" s="54">
        <v>3217120406800030</v>
      </c>
      <c r="AE200" s="54" t="s">
        <v>3596</v>
      </c>
      <c r="AF200" s="54">
        <v>1980</v>
      </c>
      <c r="AG200" s="54" t="s">
        <v>2361</v>
      </c>
      <c r="AH200" s="54" t="s">
        <v>2365</v>
      </c>
      <c r="AI200" s="54" t="s">
        <v>2366</v>
      </c>
      <c r="AJ200" s="54">
        <v>3217127009810000</v>
      </c>
      <c r="AK200" s="54"/>
      <c r="AL200" s="54"/>
      <c r="AM200" s="54"/>
      <c r="AN200" s="54"/>
      <c r="AO200" s="54"/>
      <c r="AP200" s="54"/>
      <c r="AQ200" s="54" t="s">
        <v>5147</v>
      </c>
      <c r="AR200" s="54"/>
      <c r="AS200" s="54"/>
      <c r="AT200" s="54" t="s">
        <v>2369</v>
      </c>
      <c r="AU200" s="54" t="s">
        <v>3597</v>
      </c>
      <c r="AV200" s="54">
        <v>0</v>
      </c>
      <c r="AW200" s="54"/>
      <c r="AX200" s="54" t="s">
        <v>3598</v>
      </c>
      <c r="AY200" s="54" t="s">
        <v>2460</v>
      </c>
      <c r="AZ200" s="54">
        <v>411601003159506</v>
      </c>
      <c r="BA200" s="54" t="s">
        <v>3599</v>
      </c>
      <c r="BB200" s="54" t="s">
        <v>2369</v>
      </c>
      <c r="BC200" s="54"/>
      <c r="BD200" s="54" t="s">
        <v>2371</v>
      </c>
      <c r="BE200" s="54"/>
      <c r="BF200" s="54">
        <v>2</v>
      </c>
      <c r="BG200" s="54">
        <v>-6.9503686419999999</v>
      </c>
      <c r="BH200" s="54">
        <v>107.4032021</v>
      </c>
      <c r="BI200" s="54"/>
      <c r="BJ200" s="54">
        <v>23</v>
      </c>
      <c r="BK200" s="54">
        <v>118</v>
      </c>
      <c r="BL200" s="54">
        <v>57</v>
      </c>
      <c r="BM200" s="54">
        <v>1</v>
      </c>
      <c r="BN200" s="54">
        <v>2</v>
      </c>
    </row>
    <row r="201" spans="1:66" hidden="1" x14ac:dyDescent="0.3">
      <c r="A201" s="3">
        <v>195</v>
      </c>
      <c r="B201" s="3" t="s">
        <v>4698</v>
      </c>
      <c r="C201" s="3" t="s">
        <v>4371</v>
      </c>
      <c r="D201" s="3" t="s">
        <v>52</v>
      </c>
      <c r="E201" s="3">
        <v>114215393</v>
      </c>
      <c r="F201" s="3" t="s">
        <v>2373</v>
      </c>
      <c r="G201" s="157">
        <v>40831</v>
      </c>
      <c r="H201" s="3">
        <v>3217121510110000</v>
      </c>
      <c r="I201" s="3" t="s">
        <v>2353</v>
      </c>
      <c r="J201" s="3" t="s">
        <v>4699</v>
      </c>
      <c r="K201" s="3">
        <v>1</v>
      </c>
      <c r="L201" s="3">
        <v>8</v>
      </c>
      <c r="M201" s="3">
        <v>2</v>
      </c>
      <c r="N201" s="3" t="s">
        <v>4557</v>
      </c>
      <c r="O201" s="3" t="s">
        <v>2356</v>
      </c>
      <c r="P201" s="3">
        <v>40564</v>
      </c>
      <c r="Q201" s="3" t="s">
        <v>2357</v>
      </c>
      <c r="R201" s="3" t="s">
        <v>2358</v>
      </c>
      <c r="S201" s="3"/>
      <c r="T201" s="3">
        <v>83822969657</v>
      </c>
      <c r="U201" s="3"/>
      <c r="V201" s="3"/>
      <c r="W201" s="3" t="s">
        <v>2359</v>
      </c>
      <c r="X201" s="3"/>
      <c r="Y201" s="3" t="s">
        <v>4700</v>
      </c>
      <c r="Z201" s="3">
        <v>1979</v>
      </c>
      <c r="AA201" s="3" t="s">
        <v>2402</v>
      </c>
      <c r="AB201" s="3" t="s">
        <v>2362</v>
      </c>
      <c r="AC201" s="3" t="s">
        <v>2403</v>
      </c>
      <c r="AD201" s="3">
        <v>3217121604790000</v>
      </c>
      <c r="AE201" s="3" t="s">
        <v>4701</v>
      </c>
      <c r="AF201" s="3">
        <v>1983</v>
      </c>
      <c r="AG201" s="3" t="s">
        <v>2361</v>
      </c>
      <c r="AH201" s="3" t="s">
        <v>2365</v>
      </c>
      <c r="AI201" s="3" t="s">
        <v>2366</v>
      </c>
      <c r="AJ201" s="3">
        <v>3217125209830010</v>
      </c>
      <c r="AK201" s="3"/>
      <c r="AL201" s="3"/>
      <c r="AM201" s="3" t="s">
        <v>2367</v>
      </c>
      <c r="AN201" s="3"/>
      <c r="AO201" s="3"/>
      <c r="AP201" s="3"/>
      <c r="AQ201" s="3" t="s">
        <v>5151</v>
      </c>
      <c r="AR201" s="3"/>
      <c r="AS201" s="3"/>
      <c r="AT201" s="3" t="s">
        <v>2359</v>
      </c>
      <c r="AU201" s="3"/>
      <c r="AV201" s="3">
        <v>0</v>
      </c>
      <c r="AW201" s="3"/>
      <c r="AX201" s="3" t="s">
        <v>3994</v>
      </c>
      <c r="AY201" s="3"/>
      <c r="AZ201" s="3"/>
      <c r="BA201" s="3"/>
      <c r="BB201" s="3" t="s">
        <v>2369</v>
      </c>
      <c r="BC201" s="3" t="s">
        <v>2370</v>
      </c>
      <c r="BD201" s="3" t="s">
        <v>2371</v>
      </c>
      <c r="BE201" s="3" t="s">
        <v>2880</v>
      </c>
      <c r="BF201" s="3">
        <v>2</v>
      </c>
      <c r="BG201" s="3">
        <v>-6.9575253830000001</v>
      </c>
      <c r="BH201" s="3">
        <v>107.3940182</v>
      </c>
      <c r="BI201" s="3">
        <v>3217120705070010</v>
      </c>
      <c r="BJ201" s="3">
        <v>48</v>
      </c>
      <c r="BK201" s="3">
        <v>139</v>
      </c>
      <c r="BL201" s="3">
        <v>54</v>
      </c>
      <c r="BM201" s="3">
        <v>1</v>
      </c>
      <c r="BN201" s="3">
        <v>3</v>
      </c>
    </row>
    <row r="202" spans="1:66" hidden="1" x14ac:dyDescent="0.3">
      <c r="A202" s="3">
        <v>196</v>
      </c>
      <c r="B202" s="3" t="s">
        <v>4702</v>
      </c>
      <c r="C202" s="3" t="s">
        <v>4335</v>
      </c>
      <c r="D202" s="3" t="s">
        <v>53</v>
      </c>
      <c r="E202" s="3">
        <v>112529426</v>
      </c>
      <c r="F202" s="3" t="s">
        <v>2373</v>
      </c>
      <c r="G202" s="157">
        <v>40739</v>
      </c>
      <c r="H202" s="3">
        <v>3217125507110000</v>
      </c>
      <c r="I202" s="3" t="s">
        <v>2353</v>
      </c>
      <c r="J202" s="3" t="s">
        <v>2663</v>
      </c>
      <c r="K202" s="3">
        <v>1</v>
      </c>
      <c r="L202" s="3">
        <v>1</v>
      </c>
      <c r="M202" s="3" t="s">
        <v>4703</v>
      </c>
      <c r="N202" s="3" t="s">
        <v>4527</v>
      </c>
      <c r="O202" s="3" t="s">
        <v>2356</v>
      </c>
      <c r="P202" s="3">
        <v>40562</v>
      </c>
      <c r="Q202" s="3" t="s">
        <v>2357</v>
      </c>
      <c r="R202" s="3" t="s">
        <v>2374</v>
      </c>
      <c r="S202" s="3"/>
      <c r="T202" s="3">
        <v>83168466876</v>
      </c>
      <c r="U202" s="3"/>
      <c r="V202" s="3"/>
      <c r="W202" s="3" t="s">
        <v>2359</v>
      </c>
      <c r="X202" s="3"/>
      <c r="Y202" s="3" t="s">
        <v>4704</v>
      </c>
      <c r="Z202" s="3">
        <v>1969</v>
      </c>
      <c r="AA202" s="3" t="s">
        <v>2390</v>
      </c>
      <c r="AB202" s="3" t="s">
        <v>2362</v>
      </c>
      <c r="AC202" s="3" t="s">
        <v>2403</v>
      </c>
      <c r="AD202" s="3">
        <v>3217122510690000</v>
      </c>
      <c r="AE202" s="3" t="s">
        <v>4705</v>
      </c>
      <c r="AF202" s="3">
        <v>1981</v>
      </c>
      <c r="AG202" s="3" t="s">
        <v>2390</v>
      </c>
      <c r="AH202" s="3" t="s">
        <v>2365</v>
      </c>
      <c r="AI202" s="3" t="s">
        <v>2366</v>
      </c>
      <c r="AJ202" s="3">
        <v>3217124803810000</v>
      </c>
      <c r="AK202" s="3"/>
      <c r="AL202" s="3"/>
      <c r="AM202" s="3" t="s">
        <v>2367</v>
      </c>
      <c r="AN202" s="3"/>
      <c r="AO202" s="3"/>
      <c r="AP202" s="3"/>
      <c r="AQ202" s="3" t="s">
        <v>5152</v>
      </c>
      <c r="AR202" s="3"/>
      <c r="AS202" s="3"/>
      <c r="AT202" s="3" t="s">
        <v>2359</v>
      </c>
      <c r="AU202" s="3"/>
      <c r="AV202" s="3">
        <v>0</v>
      </c>
      <c r="AW202" s="3"/>
      <c r="AX202" s="3" t="s">
        <v>4025</v>
      </c>
      <c r="AY202" s="3"/>
      <c r="AZ202" s="3"/>
      <c r="BA202" s="3"/>
      <c r="BB202" s="3" t="s">
        <v>2369</v>
      </c>
      <c r="BC202" s="3" t="s">
        <v>2370</v>
      </c>
      <c r="BD202" s="3" t="s">
        <v>2371</v>
      </c>
      <c r="BE202" s="3" t="s">
        <v>2406</v>
      </c>
      <c r="BF202" s="3">
        <v>1</v>
      </c>
      <c r="BG202" s="3">
        <v>-6.9546999999999999</v>
      </c>
      <c r="BH202" s="3">
        <v>107.39</v>
      </c>
      <c r="BI202" s="3">
        <v>3217121210210010</v>
      </c>
      <c r="BJ202" s="3">
        <v>37</v>
      </c>
      <c r="BK202" s="3">
        <v>138</v>
      </c>
      <c r="BL202" s="3">
        <v>49</v>
      </c>
      <c r="BM202" s="3">
        <v>1</v>
      </c>
      <c r="BN202" s="3">
        <v>2</v>
      </c>
    </row>
    <row r="203" spans="1:66" s="219" customFormat="1" hidden="1" x14ac:dyDescent="0.3">
      <c r="A203" s="54">
        <v>197</v>
      </c>
      <c r="B203" s="54" t="s">
        <v>1691</v>
      </c>
      <c r="C203" s="54" t="s">
        <v>2166</v>
      </c>
      <c r="D203" s="54" t="s">
        <v>53</v>
      </c>
      <c r="E203" s="54">
        <v>105190799</v>
      </c>
      <c r="F203" s="54" t="s">
        <v>2377</v>
      </c>
      <c r="G203" s="108">
        <v>40314</v>
      </c>
      <c r="H203" s="54">
        <v>3217125605100000</v>
      </c>
      <c r="I203" s="54" t="s">
        <v>2353</v>
      </c>
      <c r="J203" s="54" t="s">
        <v>2354</v>
      </c>
      <c r="K203" s="54">
        <v>1</v>
      </c>
      <c r="L203" s="54">
        <v>4</v>
      </c>
      <c r="M203" s="54"/>
      <c r="N203" s="54" t="s">
        <v>2355</v>
      </c>
      <c r="O203" s="54" t="s">
        <v>2356</v>
      </c>
      <c r="P203" s="54">
        <v>40564</v>
      </c>
      <c r="Q203" s="54" t="s">
        <v>2357</v>
      </c>
      <c r="R203" s="54" t="s">
        <v>2358</v>
      </c>
      <c r="S203" s="54"/>
      <c r="T203" s="54">
        <v>85721351281</v>
      </c>
      <c r="U203" s="54"/>
      <c r="V203" s="54"/>
      <c r="W203" s="54" t="s">
        <v>2359</v>
      </c>
      <c r="X203" s="54"/>
      <c r="Y203" s="54" t="s">
        <v>2682</v>
      </c>
      <c r="Z203" s="54">
        <v>1985</v>
      </c>
      <c r="AA203" s="54" t="s">
        <v>2361</v>
      </c>
      <c r="AB203" s="54" t="s">
        <v>2388</v>
      </c>
      <c r="AC203" s="54" t="s">
        <v>2363</v>
      </c>
      <c r="AD203" s="54">
        <v>3217120507850030</v>
      </c>
      <c r="AE203" s="54" t="s">
        <v>2683</v>
      </c>
      <c r="AF203" s="54">
        <v>1990</v>
      </c>
      <c r="AG203" s="54" t="s">
        <v>2361</v>
      </c>
      <c r="AH203" s="54" t="s">
        <v>2365</v>
      </c>
      <c r="AI203" s="54" t="s">
        <v>2366</v>
      </c>
      <c r="AJ203" s="54">
        <v>3217126303900000</v>
      </c>
      <c r="AK203" s="54"/>
      <c r="AL203" s="54"/>
      <c r="AM203" s="54" t="s">
        <v>2367</v>
      </c>
      <c r="AN203" s="54"/>
      <c r="AO203" s="54"/>
      <c r="AP203" s="54"/>
      <c r="AQ203" s="54" t="s">
        <v>8180</v>
      </c>
      <c r="AR203" s="54"/>
      <c r="AS203" s="54"/>
      <c r="AT203" s="54" t="s">
        <v>2359</v>
      </c>
      <c r="AU203" s="54"/>
      <c r="AV203" s="54">
        <v>0</v>
      </c>
      <c r="AW203" s="54"/>
      <c r="AX203" s="54" t="s">
        <v>2684</v>
      </c>
      <c r="AY203" s="54"/>
      <c r="AZ203" s="54"/>
      <c r="BA203" s="54"/>
      <c r="BB203" s="54" t="s">
        <v>2369</v>
      </c>
      <c r="BC203" s="54" t="s">
        <v>2370</v>
      </c>
      <c r="BD203" s="54" t="s">
        <v>2371</v>
      </c>
      <c r="BE203" s="54" t="s">
        <v>2372</v>
      </c>
      <c r="BF203" s="54"/>
      <c r="BG203" s="54">
        <v>-6.9676999999999998</v>
      </c>
      <c r="BH203" s="54">
        <v>107.4117</v>
      </c>
      <c r="BI203" s="54"/>
      <c r="BJ203" s="54">
        <v>46</v>
      </c>
      <c r="BK203" s="54">
        <v>142</v>
      </c>
      <c r="BL203" s="54">
        <v>0</v>
      </c>
      <c r="BM203" s="54">
        <v>0</v>
      </c>
      <c r="BN203" s="54">
        <v>0</v>
      </c>
    </row>
    <row r="204" spans="1:66" s="219" customFormat="1" hidden="1" x14ac:dyDescent="0.3">
      <c r="A204" s="54">
        <v>198</v>
      </c>
      <c r="B204" s="54" t="s">
        <v>2685</v>
      </c>
      <c r="C204" s="54" t="s">
        <v>2167</v>
      </c>
      <c r="D204" s="54" t="s">
        <v>53</v>
      </c>
      <c r="E204" s="54">
        <v>108681657</v>
      </c>
      <c r="F204" s="54" t="s">
        <v>2373</v>
      </c>
      <c r="G204" s="108">
        <v>40342</v>
      </c>
      <c r="H204" s="54">
        <v>3217125306100000</v>
      </c>
      <c r="I204" s="54" t="s">
        <v>2353</v>
      </c>
      <c r="J204" s="54" t="s">
        <v>2686</v>
      </c>
      <c r="K204" s="54">
        <v>3</v>
      </c>
      <c r="L204" s="54">
        <v>6</v>
      </c>
      <c r="M204" s="54"/>
      <c r="N204" s="54" t="s">
        <v>2513</v>
      </c>
      <c r="O204" s="54" t="s">
        <v>2356</v>
      </c>
      <c r="P204" s="54">
        <v>40764</v>
      </c>
      <c r="Q204" s="54" t="s">
        <v>2357</v>
      </c>
      <c r="R204" s="54" t="s">
        <v>2358</v>
      </c>
      <c r="S204" s="54"/>
      <c r="T204" s="54">
        <v>83874658246</v>
      </c>
      <c r="U204" s="54"/>
      <c r="V204" s="54"/>
      <c r="W204" s="54" t="s">
        <v>2359</v>
      </c>
      <c r="X204" s="54"/>
      <c r="Y204" s="54" t="s">
        <v>2687</v>
      </c>
      <c r="Z204" s="54">
        <v>1985</v>
      </c>
      <c r="AA204" s="54" t="s">
        <v>2361</v>
      </c>
      <c r="AB204" s="54" t="s">
        <v>2362</v>
      </c>
      <c r="AC204" s="54" t="s">
        <v>2403</v>
      </c>
      <c r="AD204" s="54">
        <v>3217120408850020</v>
      </c>
      <c r="AE204" s="54" t="s">
        <v>2688</v>
      </c>
      <c r="AF204" s="54">
        <v>1992</v>
      </c>
      <c r="AG204" s="54" t="s">
        <v>2361</v>
      </c>
      <c r="AH204" s="54" t="s">
        <v>2365</v>
      </c>
      <c r="AI204" s="54" t="s">
        <v>2366</v>
      </c>
      <c r="AJ204" s="54">
        <v>3217125105920010</v>
      </c>
      <c r="AK204" s="54"/>
      <c r="AL204" s="54"/>
      <c r="AM204" s="54" t="s">
        <v>2367</v>
      </c>
      <c r="AN204" s="54"/>
      <c r="AO204" s="54"/>
      <c r="AP204" s="54"/>
      <c r="AQ204" s="54" t="s">
        <v>8180</v>
      </c>
      <c r="AR204" s="54"/>
      <c r="AS204" s="54"/>
      <c r="AT204" s="54" t="s">
        <v>2369</v>
      </c>
      <c r="AU204" s="54" t="s">
        <v>2689</v>
      </c>
      <c r="AV204" s="54">
        <v>0</v>
      </c>
      <c r="AW204" s="54" t="s">
        <v>2690</v>
      </c>
      <c r="AX204" s="54">
        <v>6250390488</v>
      </c>
      <c r="AY204" s="54" t="s">
        <v>2460</v>
      </c>
      <c r="AZ204" s="54">
        <v>367101002575506</v>
      </c>
      <c r="BA204" s="54" t="s">
        <v>1693</v>
      </c>
      <c r="BB204" s="54" t="s">
        <v>2369</v>
      </c>
      <c r="BC204" s="54"/>
      <c r="BD204" s="54" t="s">
        <v>2371</v>
      </c>
      <c r="BE204" s="54" t="s">
        <v>2691</v>
      </c>
      <c r="BF204" s="54">
        <v>1</v>
      </c>
      <c r="BG204" s="54">
        <v>-6.9743000000000004</v>
      </c>
      <c r="BH204" s="54">
        <v>107.43559999999999</v>
      </c>
      <c r="BI204" s="54">
        <v>3217121607120000</v>
      </c>
      <c r="BJ204" s="54">
        <v>48</v>
      </c>
      <c r="BK204" s="54">
        <v>141</v>
      </c>
      <c r="BL204" s="54">
        <v>0</v>
      </c>
      <c r="BM204" s="54">
        <v>0</v>
      </c>
      <c r="BN204" s="54">
        <v>0</v>
      </c>
    </row>
    <row r="205" spans="1:66" s="219" customFormat="1" hidden="1" x14ac:dyDescent="0.3">
      <c r="A205" s="54">
        <v>199</v>
      </c>
      <c r="B205" s="54" t="s">
        <v>2445</v>
      </c>
      <c r="C205" s="54" t="s">
        <v>2107</v>
      </c>
      <c r="D205" s="54" t="s">
        <v>52</v>
      </c>
      <c r="E205" s="54">
        <v>105205163</v>
      </c>
      <c r="F205" s="54" t="s">
        <v>2446</v>
      </c>
      <c r="G205" s="108">
        <v>40300</v>
      </c>
      <c r="H205" s="54">
        <v>3217110205100000</v>
      </c>
      <c r="I205" s="54" t="s">
        <v>2353</v>
      </c>
      <c r="J205" s="54" t="s">
        <v>2447</v>
      </c>
      <c r="K205" s="54">
        <v>3</v>
      </c>
      <c r="L205" s="54">
        <v>7</v>
      </c>
      <c r="M205" s="54" t="s">
        <v>2447</v>
      </c>
      <c r="N205" s="54" t="s">
        <v>2425</v>
      </c>
      <c r="O205" s="54" t="s">
        <v>2426</v>
      </c>
      <c r="P205" s="54">
        <v>40562</v>
      </c>
      <c r="Q205" s="54" t="s">
        <v>2357</v>
      </c>
      <c r="R205" s="54" t="s">
        <v>2358</v>
      </c>
      <c r="S205" s="54"/>
      <c r="T205" s="54">
        <v>81222965093</v>
      </c>
      <c r="U205" s="54"/>
      <c r="V205" s="54"/>
      <c r="W205" s="54" t="s">
        <v>2359</v>
      </c>
      <c r="X205" s="54"/>
      <c r="Y205" s="54" t="s">
        <v>2448</v>
      </c>
      <c r="Z205" s="54">
        <v>1984</v>
      </c>
      <c r="AA205" s="54" t="s">
        <v>2402</v>
      </c>
      <c r="AB205" s="54" t="s">
        <v>2362</v>
      </c>
      <c r="AC205" s="54" t="s">
        <v>2403</v>
      </c>
      <c r="AD205" s="54">
        <v>3217112003840000</v>
      </c>
      <c r="AE205" s="54" t="s">
        <v>2449</v>
      </c>
      <c r="AF205" s="54">
        <v>1985</v>
      </c>
      <c r="AG205" s="54" t="s">
        <v>2402</v>
      </c>
      <c r="AH205" s="54" t="s">
        <v>2365</v>
      </c>
      <c r="AI205" s="54" t="s">
        <v>2366</v>
      </c>
      <c r="AJ205" s="54"/>
      <c r="AK205" s="54"/>
      <c r="AL205" s="54"/>
      <c r="AM205" s="54" t="s">
        <v>2367</v>
      </c>
      <c r="AN205" s="54"/>
      <c r="AO205" s="54"/>
      <c r="AP205" s="54"/>
      <c r="AQ205" s="54" t="s">
        <v>8177</v>
      </c>
      <c r="AR205" s="54"/>
      <c r="AS205" s="54"/>
      <c r="AT205" s="54" t="s">
        <v>2359</v>
      </c>
      <c r="AU205" s="54"/>
      <c r="AV205" s="54">
        <v>0</v>
      </c>
      <c r="AW205" s="54" t="s">
        <v>2450</v>
      </c>
      <c r="AX205" s="54" t="s">
        <v>2451</v>
      </c>
      <c r="AY205" s="54"/>
      <c r="AZ205" s="54"/>
      <c r="BA205" s="54"/>
      <c r="BB205" s="54" t="s">
        <v>2369</v>
      </c>
      <c r="BC205" s="54" t="s">
        <v>2443</v>
      </c>
      <c r="BD205" s="54" t="s">
        <v>2371</v>
      </c>
      <c r="BE205" s="54" t="s">
        <v>2430</v>
      </c>
      <c r="BF205" s="54">
        <v>1</v>
      </c>
      <c r="BG205" s="54">
        <v>-6.9514541999999997</v>
      </c>
      <c r="BH205" s="54">
        <v>107.4179645</v>
      </c>
      <c r="BI205" s="54"/>
      <c r="BJ205" s="54">
        <v>40</v>
      </c>
      <c r="BK205" s="54">
        <v>135</v>
      </c>
      <c r="BL205" s="54">
        <v>58</v>
      </c>
      <c r="BM205" s="54">
        <v>1</v>
      </c>
      <c r="BN205" s="54">
        <v>1</v>
      </c>
    </row>
    <row r="206" spans="1:66" s="219" customFormat="1" hidden="1" x14ac:dyDescent="0.3">
      <c r="A206" s="54">
        <v>200</v>
      </c>
      <c r="B206" s="54" t="s">
        <v>1349</v>
      </c>
      <c r="C206" s="54" t="s">
        <v>1406</v>
      </c>
      <c r="D206" s="54" t="s">
        <v>53</v>
      </c>
      <c r="E206" s="54">
        <v>96600620</v>
      </c>
      <c r="F206" s="54" t="s">
        <v>2446</v>
      </c>
      <c r="G206" s="108">
        <v>40166</v>
      </c>
      <c r="H206" s="54">
        <v>3217125912090000</v>
      </c>
      <c r="I206" s="54" t="s">
        <v>2353</v>
      </c>
      <c r="J206" s="54" t="s">
        <v>2998</v>
      </c>
      <c r="K206" s="54">
        <v>2</v>
      </c>
      <c r="L206" s="54">
        <v>8</v>
      </c>
      <c r="M206" s="54"/>
      <c r="N206" s="54" t="s">
        <v>2438</v>
      </c>
      <c r="O206" s="54" t="s">
        <v>2356</v>
      </c>
      <c r="P206" s="54">
        <v>40764</v>
      </c>
      <c r="Q206" s="54" t="s">
        <v>2357</v>
      </c>
      <c r="R206" s="54" t="s">
        <v>2358</v>
      </c>
      <c r="S206" s="54"/>
      <c r="T206" s="54">
        <v>83820282214</v>
      </c>
      <c r="U206" s="54"/>
      <c r="V206" s="54"/>
      <c r="W206" s="54" t="s">
        <v>2359</v>
      </c>
      <c r="X206" s="54"/>
      <c r="Y206" s="54" t="s">
        <v>3130</v>
      </c>
      <c r="Z206" s="54">
        <v>1966</v>
      </c>
      <c r="AA206" s="54" t="s">
        <v>2390</v>
      </c>
      <c r="AB206" s="54" t="s">
        <v>2362</v>
      </c>
      <c r="AC206" s="54" t="s">
        <v>2403</v>
      </c>
      <c r="AD206" s="54">
        <v>3217121512660000</v>
      </c>
      <c r="AE206" s="54" t="s">
        <v>3131</v>
      </c>
      <c r="AF206" s="54">
        <v>1971</v>
      </c>
      <c r="AG206" s="54" t="s">
        <v>2390</v>
      </c>
      <c r="AH206" s="54" t="s">
        <v>2365</v>
      </c>
      <c r="AI206" s="54" t="s">
        <v>2366</v>
      </c>
      <c r="AJ206" s="54">
        <v>3217125105710010</v>
      </c>
      <c r="AK206" s="54"/>
      <c r="AL206" s="54"/>
      <c r="AM206" s="54"/>
      <c r="AN206" s="54"/>
      <c r="AO206" s="54"/>
      <c r="AP206" s="54"/>
      <c r="AQ206" s="54" t="s">
        <v>5147</v>
      </c>
      <c r="AR206" s="54"/>
      <c r="AS206" s="54"/>
      <c r="AT206" s="54" t="s">
        <v>2359</v>
      </c>
      <c r="AU206" s="54"/>
      <c r="AV206" s="54">
        <v>0</v>
      </c>
      <c r="AW206" s="54"/>
      <c r="AX206" s="54" t="s">
        <v>3132</v>
      </c>
      <c r="AY206" s="54"/>
      <c r="AZ206" s="54"/>
      <c r="BA206" s="54"/>
      <c r="BB206" s="54" t="s">
        <v>2369</v>
      </c>
      <c r="BC206" s="54" t="s">
        <v>2370</v>
      </c>
      <c r="BD206" s="54" t="s">
        <v>2371</v>
      </c>
      <c r="BE206" s="54" t="s">
        <v>3133</v>
      </c>
      <c r="BF206" s="54">
        <v>2</v>
      </c>
      <c r="BG206" s="54">
        <v>-6.9564816980000002</v>
      </c>
      <c r="BH206" s="54">
        <v>107.3988032</v>
      </c>
      <c r="BI206" s="54"/>
      <c r="BJ206" s="54">
        <v>34</v>
      </c>
      <c r="BK206" s="54">
        <v>132</v>
      </c>
      <c r="BL206" s="54">
        <v>55</v>
      </c>
      <c r="BM206" s="54">
        <v>1</v>
      </c>
      <c r="BN206" s="54">
        <v>1</v>
      </c>
    </row>
    <row r="207" spans="1:66" s="219" customFormat="1" hidden="1" x14ac:dyDescent="0.3">
      <c r="A207" s="54">
        <v>201</v>
      </c>
      <c r="B207" s="54" t="s">
        <v>2052</v>
      </c>
      <c r="C207" s="54" t="s">
        <v>2168</v>
      </c>
      <c r="D207" s="54" t="s">
        <v>53</v>
      </c>
      <c r="E207" s="54">
        <v>104041638</v>
      </c>
      <c r="F207" s="54" t="s">
        <v>2377</v>
      </c>
      <c r="G207" s="108">
        <v>40213</v>
      </c>
      <c r="H207" s="54">
        <v>3217124402100000</v>
      </c>
      <c r="I207" s="54" t="s">
        <v>2353</v>
      </c>
      <c r="J207" s="54" t="s">
        <v>2648</v>
      </c>
      <c r="K207" s="54">
        <v>1</v>
      </c>
      <c r="L207" s="54">
        <v>10</v>
      </c>
      <c r="M207" s="54"/>
      <c r="N207" s="54" t="s">
        <v>2355</v>
      </c>
      <c r="O207" s="54" t="s">
        <v>2356</v>
      </c>
      <c r="P207" s="54">
        <v>40564</v>
      </c>
      <c r="Q207" s="54" t="s">
        <v>2357</v>
      </c>
      <c r="R207" s="54" t="s">
        <v>2358</v>
      </c>
      <c r="S207" s="54"/>
      <c r="T207" s="54">
        <v>83136220859</v>
      </c>
      <c r="U207" s="54"/>
      <c r="V207" s="54"/>
      <c r="W207" s="54" t="s">
        <v>2369</v>
      </c>
      <c r="X207" s="54" t="s">
        <v>2692</v>
      </c>
      <c r="Y207" s="54" t="s">
        <v>2638</v>
      </c>
      <c r="Z207" s="54">
        <v>1984</v>
      </c>
      <c r="AA207" s="54" t="s">
        <v>2361</v>
      </c>
      <c r="AB207" s="54" t="s">
        <v>2362</v>
      </c>
      <c r="AC207" s="54" t="s">
        <v>2363</v>
      </c>
      <c r="AD207" s="54">
        <v>3217122711840010</v>
      </c>
      <c r="AE207" s="54" t="s">
        <v>2693</v>
      </c>
      <c r="AF207" s="54">
        <v>1984</v>
      </c>
      <c r="AG207" s="54" t="s">
        <v>2361</v>
      </c>
      <c r="AH207" s="54" t="s">
        <v>2365</v>
      </c>
      <c r="AI207" s="54" t="s">
        <v>2366</v>
      </c>
      <c r="AJ207" s="54">
        <v>3217124708840020</v>
      </c>
      <c r="AK207" s="54"/>
      <c r="AL207" s="54"/>
      <c r="AM207" s="54" t="s">
        <v>2367</v>
      </c>
      <c r="AN207" s="54"/>
      <c r="AO207" s="54"/>
      <c r="AP207" s="54"/>
      <c r="AQ207" s="54" t="s">
        <v>8180</v>
      </c>
      <c r="AR207" s="54"/>
      <c r="AS207" s="54"/>
      <c r="AT207" s="54" t="s">
        <v>2359</v>
      </c>
      <c r="AU207" s="54"/>
      <c r="AV207" s="54">
        <v>0</v>
      </c>
      <c r="AW207" s="54"/>
      <c r="AX207" s="54" t="s">
        <v>2694</v>
      </c>
      <c r="AY207" s="54"/>
      <c r="AZ207" s="54"/>
      <c r="BA207" s="54"/>
      <c r="BB207" s="54" t="s">
        <v>2369</v>
      </c>
      <c r="BC207" s="54" t="s">
        <v>2443</v>
      </c>
      <c r="BD207" s="54" t="s">
        <v>2371</v>
      </c>
      <c r="BE207" s="54" t="s">
        <v>2372</v>
      </c>
      <c r="BF207" s="54">
        <v>1</v>
      </c>
      <c r="BG207" s="54">
        <v>-6.9676999999999998</v>
      </c>
      <c r="BH207" s="54">
        <v>107.4117</v>
      </c>
      <c r="BI207" s="54"/>
      <c r="BJ207" s="54">
        <v>40</v>
      </c>
      <c r="BK207" s="54">
        <v>138</v>
      </c>
      <c r="BL207" s="54">
        <v>0</v>
      </c>
      <c r="BM207" s="54">
        <v>0</v>
      </c>
      <c r="BN207" s="54">
        <v>0</v>
      </c>
    </row>
    <row r="208" spans="1:66" s="219" customFormat="1" hidden="1" x14ac:dyDescent="0.3">
      <c r="A208" s="54">
        <v>202</v>
      </c>
      <c r="B208" s="54" t="s">
        <v>1823</v>
      </c>
      <c r="C208" s="54" t="s">
        <v>1468</v>
      </c>
      <c r="D208" s="54" t="s">
        <v>53</v>
      </c>
      <c r="E208" s="54">
        <v>95215547</v>
      </c>
      <c r="F208" s="54" t="s">
        <v>2352</v>
      </c>
      <c r="G208" s="108">
        <v>39789</v>
      </c>
      <c r="H208" s="54">
        <v>3217114712080000</v>
      </c>
      <c r="I208" s="54" t="s">
        <v>2353</v>
      </c>
      <c r="J208" s="54" t="s">
        <v>3245</v>
      </c>
      <c r="K208" s="54">
        <v>7</v>
      </c>
      <c r="L208" s="54">
        <v>1</v>
      </c>
      <c r="M208" s="54"/>
      <c r="N208" s="54" t="s">
        <v>3105</v>
      </c>
      <c r="O208" s="54" t="s">
        <v>2426</v>
      </c>
      <c r="P208" s="54">
        <v>40562</v>
      </c>
      <c r="Q208" s="54" t="s">
        <v>2357</v>
      </c>
      <c r="R208" s="54" t="s">
        <v>2358</v>
      </c>
      <c r="S208" s="54"/>
      <c r="T208" s="54">
        <v>83821740058</v>
      </c>
      <c r="U208" s="54"/>
      <c r="V208" s="54"/>
      <c r="W208" s="54" t="s">
        <v>2359</v>
      </c>
      <c r="X208" s="54"/>
      <c r="Y208" s="54" t="s">
        <v>3372</v>
      </c>
      <c r="Z208" s="54">
        <v>1969</v>
      </c>
      <c r="AA208" s="54" t="s">
        <v>2390</v>
      </c>
      <c r="AB208" s="54" t="s">
        <v>2493</v>
      </c>
      <c r="AC208" s="54" t="s">
        <v>2375</v>
      </c>
      <c r="AD208" s="54">
        <v>3217110501690000</v>
      </c>
      <c r="AE208" s="54" t="s">
        <v>3373</v>
      </c>
      <c r="AF208" s="54">
        <v>1986</v>
      </c>
      <c r="AG208" s="54" t="s">
        <v>2390</v>
      </c>
      <c r="AH208" s="54" t="s">
        <v>2362</v>
      </c>
      <c r="AI208" s="54" t="s">
        <v>2403</v>
      </c>
      <c r="AJ208" s="54">
        <v>3217115807860010</v>
      </c>
      <c r="AK208" s="54"/>
      <c r="AL208" s="54"/>
      <c r="AM208" s="54"/>
      <c r="AN208" s="54"/>
      <c r="AO208" s="54"/>
      <c r="AP208" s="54"/>
      <c r="AQ208" s="54" t="s">
        <v>5147</v>
      </c>
      <c r="AR208" s="54"/>
      <c r="AS208" s="54"/>
      <c r="AT208" s="54" t="s">
        <v>2359</v>
      </c>
      <c r="AU208" s="54"/>
      <c r="AV208" s="54">
        <v>0</v>
      </c>
      <c r="AW208" s="54"/>
      <c r="AX208" s="54" t="s">
        <v>3374</v>
      </c>
      <c r="AY208" s="54"/>
      <c r="AZ208" s="54"/>
      <c r="BA208" s="54"/>
      <c r="BB208" s="54" t="s">
        <v>2369</v>
      </c>
      <c r="BC208" s="54" t="s">
        <v>2370</v>
      </c>
      <c r="BD208" s="54" t="s">
        <v>2371</v>
      </c>
      <c r="BE208" s="54"/>
      <c r="BF208" s="54">
        <v>2</v>
      </c>
      <c r="BG208" s="54">
        <v>-6.9668999999999999</v>
      </c>
      <c r="BH208" s="54">
        <v>107.4242</v>
      </c>
      <c r="BI208" s="54"/>
      <c r="BJ208" s="54">
        <v>40</v>
      </c>
      <c r="BK208" s="54">
        <v>138</v>
      </c>
      <c r="BL208" s="54">
        <v>0</v>
      </c>
      <c r="BM208" s="54">
        <v>2</v>
      </c>
      <c r="BN208" s="54">
        <v>1</v>
      </c>
    </row>
    <row r="209" spans="1:66" s="219" customFormat="1" hidden="1" x14ac:dyDescent="0.3">
      <c r="A209" s="54">
        <v>203</v>
      </c>
      <c r="B209" s="54" t="s">
        <v>2909</v>
      </c>
      <c r="C209" s="54" t="s">
        <v>4706</v>
      </c>
      <c r="D209" s="54" t="s">
        <v>52</v>
      </c>
      <c r="E209" s="54">
        <v>96194497</v>
      </c>
      <c r="F209" s="54" t="s">
        <v>2377</v>
      </c>
      <c r="G209" s="108">
        <v>39978</v>
      </c>
      <c r="H209" s="54">
        <v>3217121406090000</v>
      </c>
      <c r="I209" s="54" t="s">
        <v>2353</v>
      </c>
      <c r="J209" s="54" t="s">
        <v>2910</v>
      </c>
      <c r="K209" s="54">
        <v>2</v>
      </c>
      <c r="L209" s="54">
        <v>13</v>
      </c>
      <c r="M209" s="54"/>
      <c r="N209" s="54" t="s">
        <v>2355</v>
      </c>
      <c r="O209" s="54" t="s">
        <v>2356</v>
      </c>
      <c r="P209" s="54">
        <v>40564</v>
      </c>
      <c r="Q209" s="54" t="s">
        <v>2357</v>
      </c>
      <c r="R209" s="54" t="s">
        <v>2358</v>
      </c>
      <c r="S209" s="54"/>
      <c r="T209" s="54">
        <v>85781111755</v>
      </c>
      <c r="U209" s="54"/>
      <c r="V209" s="54"/>
      <c r="W209" s="54" t="s">
        <v>2359</v>
      </c>
      <c r="X209" s="54"/>
      <c r="Y209" s="54" t="s">
        <v>2911</v>
      </c>
      <c r="Z209" s="54">
        <v>1965</v>
      </c>
      <c r="AA209" s="54" t="s">
        <v>2361</v>
      </c>
      <c r="AB209" s="54" t="s">
        <v>2362</v>
      </c>
      <c r="AC209" s="54" t="s">
        <v>2363</v>
      </c>
      <c r="AD209" s="54">
        <v>3217120710650000</v>
      </c>
      <c r="AE209" s="54" t="s">
        <v>2912</v>
      </c>
      <c r="AF209" s="54">
        <v>1975</v>
      </c>
      <c r="AG209" s="54" t="s">
        <v>2361</v>
      </c>
      <c r="AH209" s="54" t="s">
        <v>2365</v>
      </c>
      <c r="AI209" s="54" t="s">
        <v>2366</v>
      </c>
      <c r="AJ209" s="54">
        <v>3217125010750020</v>
      </c>
      <c r="AK209" s="54"/>
      <c r="AL209" s="54"/>
      <c r="AM209" s="54" t="s">
        <v>2367</v>
      </c>
      <c r="AN209" s="54"/>
      <c r="AO209" s="54"/>
      <c r="AP209" s="54"/>
      <c r="AQ209" s="54" t="s">
        <v>8178</v>
      </c>
      <c r="AR209" s="54"/>
      <c r="AS209" s="54"/>
      <c r="AT209" s="54" t="s">
        <v>2369</v>
      </c>
      <c r="AU209" s="54" t="s">
        <v>2913</v>
      </c>
      <c r="AV209" s="54">
        <v>0</v>
      </c>
      <c r="AW209" s="54"/>
      <c r="AX209" s="54"/>
      <c r="AY209" s="54" t="s">
        <v>2460</v>
      </c>
      <c r="AZ209" s="54">
        <v>411601004071507</v>
      </c>
      <c r="BA209" s="54" t="s">
        <v>2909</v>
      </c>
      <c r="BB209" s="54" t="s">
        <v>2369</v>
      </c>
      <c r="BC209" s="54"/>
      <c r="BD209" s="54" t="s">
        <v>2371</v>
      </c>
      <c r="BE209" s="54" t="s">
        <v>2372</v>
      </c>
      <c r="BF209" s="54">
        <v>1</v>
      </c>
      <c r="BG209" s="54">
        <v>-6.9676999999999998</v>
      </c>
      <c r="BH209" s="54">
        <v>107.4117</v>
      </c>
      <c r="BI209" s="54"/>
      <c r="BJ209" s="54">
        <v>56</v>
      </c>
      <c r="BK209" s="54">
        <v>144</v>
      </c>
      <c r="BL209" s="54">
        <v>0</v>
      </c>
      <c r="BM209" s="54">
        <v>0</v>
      </c>
      <c r="BN209" s="54">
        <v>0</v>
      </c>
    </row>
    <row r="210" spans="1:66" x14ac:dyDescent="0.3">
      <c r="A210" s="3">
        <v>204</v>
      </c>
      <c r="B210" s="3" t="s">
        <v>3942</v>
      </c>
      <c r="C210" s="3" t="s">
        <v>4401</v>
      </c>
      <c r="D210" s="3" t="s">
        <v>53</v>
      </c>
      <c r="E210" s="3">
        <v>102576086</v>
      </c>
      <c r="F210" s="3" t="s">
        <v>2446</v>
      </c>
      <c r="G210" s="157">
        <v>40524</v>
      </c>
      <c r="H210" s="3">
        <v>3217125212100000</v>
      </c>
      <c r="I210" s="3" t="s">
        <v>2353</v>
      </c>
      <c r="J210" s="3" t="s">
        <v>2805</v>
      </c>
      <c r="K210" s="3">
        <v>3</v>
      </c>
      <c r="L210" s="3">
        <v>7</v>
      </c>
      <c r="M210" s="3"/>
      <c r="N210" s="3" t="s">
        <v>4527</v>
      </c>
      <c r="O210" s="3" t="s">
        <v>2356</v>
      </c>
      <c r="P210" s="3">
        <v>40764</v>
      </c>
      <c r="Q210" s="3" t="s">
        <v>2357</v>
      </c>
      <c r="R210" s="3" t="s">
        <v>2374</v>
      </c>
      <c r="S210" s="3"/>
      <c r="T210" s="3">
        <v>87822833707</v>
      </c>
      <c r="U210" s="3"/>
      <c r="V210" s="3"/>
      <c r="W210" s="3" t="s">
        <v>2359</v>
      </c>
      <c r="X210" s="3"/>
      <c r="Y210" s="3" t="s">
        <v>4707</v>
      </c>
      <c r="Z210" s="3">
        <v>1984</v>
      </c>
      <c r="AA210" s="3" t="s">
        <v>2390</v>
      </c>
      <c r="AB210" s="3" t="s">
        <v>2493</v>
      </c>
      <c r="AC210" s="3" t="s">
        <v>2363</v>
      </c>
      <c r="AD210" s="3">
        <v>3217122512080050</v>
      </c>
      <c r="AE210" s="3" t="s">
        <v>4708</v>
      </c>
      <c r="AF210" s="3">
        <v>1989</v>
      </c>
      <c r="AG210" s="3" t="s">
        <v>2390</v>
      </c>
      <c r="AH210" s="3" t="s">
        <v>2365</v>
      </c>
      <c r="AI210" s="3" t="s">
        <v>2366</v>
      </c>
      <c r="AJ210" s="3">
        <v>3217126802890000</v>
      </c>
      <c r="AK210" s="3" t="s">
        <v>3232</v>
      </c>
      <c r="AL210" s="3"/>
      <c r="AM210" s="3" t="s">
        <v>2367</v>
      </c>
      <c r="AN210" s="3" t="s">
        <v>2365</v>
      </c>
      <c r="AO210" s="3"/>
      <c r="AP210" s="3"/>
      <c r="AQ210" s="3" t="s">
        <v>5148</v>
      </c>
      <c r="AR210" s="3"/>
      <c r="AS210" s="3"/>
      <c r="AT210" s="3" t="s">
        <v>2369</v>
      </c>
      <c r="AU210" s="3"/>
      <c r="AV210" s="3">
        <v>1</v>
      </c>
      <c r="AW210" s="3"/>
      <c r="AX210" s="3" t="s">
        <v>3964</v>
      </c>
      <c r="AY210" s="3"/>
      <c r="AZ210" s="3"/>
      <c r="BA210" s="3"/>
      <c r="BB210" s="3" t="s">
        <v>2369</v>
      </c>
      <c r="BC210" s="3"/>
      <c r="BD210" s="3" t="s">
        <v>2371</v>
      </c>
      <c r="BE210" s="3" t="s">
        <v>4709</v>
      </c>
      <c r="BF210" s="3">
        <v>1</v>
      </c>
      <c r="BG210" s="3">
        <v>-6.9605073260000001</v>
      </c>
      <c r="BH210" s="3">
        <v>107.4074936</v>
      </c>
      <c r="BI210" s="3">
        <v>3217120607170000</v>
      </c>
      <c r="BJ210" s="3">
        <v>41</v>
      </c>
      <c r="BK210" s="3">
        <v>138</v>
      </c>
      <c r="BL210" s="3">
        <v>55</v>
      </c>
      <c r="BM210" s="3">
        <v>1</v>
      </c>
      <c r="BN210" s="3">
        <v>4</v>
      </c>
    </row>
    <row r="211" spans="1:66" hidden="1" x14ac:dyDescent="0.3">
      <c r="A211" s="3">
        <v>205</v>
      </c>
      <c r="B211" s="3" t="s">
        <v>4710</v>
      </c>
      <c r="C211" s="3" t="s">
        <v>4336</v>
      </c>
      <c r="D211" s="3" t="s">
        <v>53</v>
      </c>
      <c r="E211" s="3">
        <v>3118829229</v>
      </c>
      <c r="F211" s="3" t="s">
        <v>2377</v>
      </c>
      <c r="G211" s="157">
        <v>40552</v>
      </c>
      <c r="H211" s="3">
        <v>3217114901110000</v>
      </c>
      <c r="I211" s="3" t="s">
        <v>2353</v>
      </c>
      <c r="J211" s="3" t="s">
        <v>2695</v>
      </c>
      <c r="K211" s="3">
        <v>3</v>
      </c>
      <c r="L211" s="3">
        <v>12</v>
      </c>
      <c r="M211" s="3"/>
      <c r="N211" s="3" t="s">
        <v>4508</v>
      </c>
      <c r="O211" s="3" t="s">
        <v>2426</v>
      </c>
      <c r="P211" s="3">
        <v>40562</v>
      </c>
      <c r="Q211" s="3" t="s">
        <v>2357</v>
      </c>
      <c r="R211" s="3" t="s">
        <v>2358</v>
      </c>
      <c r="S211" s="3"/>
      <c r="T211" s="3"/>
      <c r="U211" s="3"/>
      <c r="V211" s="3"/>
      <c r="W211" s="3" t="s">
        <v>2359</v>
      </c>
      <c r="X211" s="3"/>
      <c r="Y211" s="3" t="s">
        <v>4711</v>
      </c>
      <c r="Z211" s="3">
        <v>1975</v>
      </c>
      <c r="AA211" s="3" t="s">
        <v>2390</v>
      </c>
      <c r="AB211" s="3" t="s">
        <v>2493</v>
      </c>
      <c r="AC211" s="3" t="s">
        <v>2363</v>
      </c>
      <c r="AD211" s="3">
        <v>3217112006750000</v>
      </c>
      <c r="AE211" s="3" t="s">
        <v>4712</v>
      </c>
      <c r="AF211" s="3">
        <v>1977</v>
      </c>
      <c r="AG211" s="3" t="s">
        <v>2390</v>
      </c>
      <c r="AH211" s="3" t="s">
        <v>2365</v>
      </c>
      <c r="AI211" s="3" t="s">
        <v>2366</v>
      </c>
      <c r="AJ211" s="3">
        <v>3217115007770000</v>
      </c>
      <c r="AK211" s="3"/>
      <c r="AL211" s="3"/>
      <c r="AM211" s="3"/>
      <c r="AN211" s="3"/>
      <c r="AO211" s="3"/>
      <c r="AP211" s="3"/>
      <c r="AQ211" s="3" t="s">
        <v>5152</v>
      </c>
      <c r="AR211" s="3"/>
      <c r="AS211" s="3"/>
      <c r="AT211" s="3" t="s">
        <v>2359</v>
      </c>
      <c r="AU211" s="3"/>
      <c r="AV211" s="3">
        <v>1</v>
      </c>
      <c r="AW211" s="3"/>
      <c r="AX211" s="3" t="s">
        <v>4122</v>
      </c>
      <c r="AY211" s="3"/>
      <c r="AZ211" s="3"/>
      <c r="BA211" s="3"/>
      <c r="BB211" s="3" t="s">
        <v>2369</v>
      </c>
      <c r="BC211" s="3" t="s">
        <v>2370</v>
      </c>
      <c r="BD211" s="3" t="s">
        <v>2371</v>
      </c>
      <c r="BE211" s="3" t="s">
        <v>2697</v>
      </c>
      <c r="BF211" s="3">
        <v>3</v>
      </c>
      <c r="BG211" s="3">
        <v>-6.9625000000000004</v>
      </c>
      <c r="BH211" s="3">
        <v>107.4346</v>
      </c>
      <c r="BI211" s="3">
        <v>3217113110060030</v>
      </c>
      <c r="BJ211" s="3">
        <v>137</v>
      </c>
      <c r="BK211" s="3">
        <v>139</v>
      </c>
      <c r="BL211" s="3">
        <v>55</v>
      </c>
      <c r="BM211" s="3">
        <v>1</v>
      </c>
      <c r="BN211" s="3">
        <v>2</v>
      </c>
    </row>
    <row r="212" spans="1:66" hidden="1" x14ac:dyDescent="0.3">
      <c r="A212" s="3">
        <v>206</v>
      </c>
      <c r="B212" s="3" t="s">
        <v>4713</v>
      </c>
      <c r="C212" s="3" t="s">
        <v>4302</v>
      </c>
      <c r="D212" s="3" t="s">
        <v>52</v>
      </c>
      <c r="E212" s="3">
        <v>106721787</v>
      </c>
      <c r="F212" s="3" t="s">
        <v>2373</v>
      </c>
      <c r="G212" s="157">
        <v>40382</v>
      </c>
      <c r="H212" s="3">
        <v>3217112407100000</v>
      </c>
      <c r="I212" s="3" t="s">
        <v>2353</v>
      </c>
      <c r="J212" s="3" t="s">
        <v>2565</v>
      </c>
      <c r="K212" s="3">
        <v>3</v>
      </c>
      <c r="L212" s="3">
        <v>2</v>
      </c>
      <c r="M212" s="3"/>
      <c r="N212" s="3" t="s">
        <v>2566</v>
      </c>
      <c r="O212" s="3" t="s">
        <v>2426</v>
      </c>
      <c r="P212" s="3">
        <v>40562</v>
      </c>
      <c r="Q212" s="3" t="s">
        <v>2357</v>
      </c>
      <c r="R212" s="3" t="s">
        <v>2358</v>
      </c>
      <c r="S212" s="3"/>
      <c r="T212" s="3">
        <v>85795548052</v>
      </c>
      <c r="U212" s="3"/>
      <c r="V212" s="3"/>
      <c r="W212" s="3" t="s">
        <v>2369</v>
      </c>
      <c r="X212" s="3">
        <v>122000105560189</v>
      </c>
      <c r="Y212" s="3" t="s">
        <v>3138</v>
      </c>
      <c r="Z212" s="3">
        <v>1982</v>
      </c>
      <c r="AA212" s="3" t="s">
        <v>2402</v>
      </c>
      <c r="AB212" s="3" t="s">
        <v>2362</v>
      </c>
      <c r="AC212" s="3" t="s">
        <v>2403</v>
      </c>
      <c r="AD212" s="3">
        <v>3217111104820000</v>
      </c>
      <c r="AE212" s="3" t="s">
        <v>4714</v>
      </c>
      <c r="AF212" s="3">
        <v>1983</v>
      </c>
      <c r="AG212" s="3" t="s">
        <v>2402</v>
      </c>
      <c r="AH212" s="3" t="s">
        <v>2365</v>
      </c>
      <c r="AI212" s="3" t="s">
        <v>2366</v>
      </c>
      <c r="AJ212" s="3">
        <v>3217115210830010</v>
      </c>
      <c r="AK212" s="3"/>
      <c r="AL212" s="3"/>
      <c r="AM212" s="3" t="s">
        <v>2367</v>
      </c>
      <c r="AN212" s="3"/>
      <c r="AO212" s="3"/>
      <c r="AP212" s="3"/>
      <c r="AQ212" s="3" t="s">
        <v>5150</v>
      </c>
      <c r="AR212" s="3"/>
      <c r="AS212" s="3"/>
      <c r="AT212" s="3" t="s">
        <v>2359</v>
      </c>
      <c r="AU212" s="3"/>
      <c r="AV212" s="3">
        <v>0</v>
      </c>
      <c r="AW212" s="3" t="s">
        <v>4715</v>
      </c>
      <c r="AX212" s="3" t="s">
        <v>4058</v>
      </c>
      <c r="AY212" s="3"/>
      <c r="AZ212" s="3"/>
      <c r="BA212" s="3"/>
      <c r="BB212" s="3" t="s">
        <v>2369</v>
      </c>
      <c r="BC212" s="3" t="s">
        <v>2370</v>
      </c>
      <c r="BD212" s="3" t="s">
        <v>2371</v>
      </c>
      <c r="BE212" s="3" t="s">
        <v>4593</v>
      </c>
      <c r="BF212" s="3">
        <v>1</v>
      </c>
      <c r="BG212" s="3">
        <v>-6.9668999999999999</v>
      </c>
      <c r="BH212" s="3">
        <v>107.4242</v>
      </c>
      <c r="BI212" s="3"/>
      <c r="BJ212" s="3">
        <v>39</v>
      </c>
      <c r="BK212" s="3">
        <v>142</v>
      </c>
      <c r="BL212" s="3">
        <v>54</v>
      </c>
      <c r="BM212" s="3">
        <v>1</v>
      </c>
      <c r="BN212" s="3">
        <v>3</v>
      </c>
    </row>
    <row r="213" spans="1:66" hidden="1" x14ac:dyDescent="0.3">
      <c r="A213" s="3">
        <v>207</v>
      </c>
      <c r="B213" s="3" t="s">
        <v>4716</v>
      </c>
      <c r="C213" s="3" t="s">
        <v>4240</v>
      </c>
      <c r="D213" s="3" t="s">
        <v>53</v>
      </c>
      <c r="E213" s="3">
        <v>103096835</v>
      </c>
      <c r="F213" s="3" t="s">
        <v>2373</v>
      </c>
      <c r="G213" s="157">
        <v>40320</v>
      </c>
      <c r="H213" s="3">
        <v>3217116205100000</v>
      </c>
      <c r="I213" s="3" t="s">
        <v>2353</v>
      </c>
      <c r="J213" s="3" t="s">
        <v>2565</v>
      </c>
      <c r="K213" s="3">
        <v>1</v>
      </c>
      <c r="L213" s="3">
        <v>1</v>
      </c>
      <c r="M213" s="3"/>
      <c r="N213" s="3" t="s">
        <v>2566</v>
      </c>
      <c r="O213" s="3" t="s">
        <v>2426</v>
      </c>
      <c r="P213" s="3">
        <v>40562</v>
      </c>
      <c r="Q213" s="3" t="s">
        <v>2357</v>
      </c>
      <c r="R213" s="3" t="s">
        <v>2358</v>
      </c>
      <c r="S213" s="3"/>
      <c r="T213" s="3">
        <v>83114914368</v>
      </c>
      <c r="U213" s="3"/>
      <c r="V213" s="3"/>
      <c r="W213" s="3" t="s">
        <v>2359</v>
      </c>
      <c r="X213" s="3"/>
      <c r="Y213" s="3" t="s">
        <v>4717</v>
      </c>
      <c r="Z213" s="3">
        <v>1990</v>
      </c>
      <c r="AA213" s="3" t="s">
        <v>2390</v>
      </c>
      <c r="AB213" s="3" t="s">
        <v>2362</v>
      </c>
      <c r="AC213" s="3" t="s">
        <v>2403</v>
      </c>
      <c r="AD213" s="3">
        <v>3217111604900010</v>
      </c>
      <c r="AE213" s="3" t="s">
        <v>4718</v>
      </c>
      <c r="AF213" s="3">
        <v>1988</v>
      </c>
      <c r="AG213" s="3" t="s">
        <v>2390</v>
      </c>
      <c r="AH213" s="3" t="s">
        <v>2365</v>
      </c>
      <c r="AI213" s="3" t="s">
        <v>2366</v>
      </c>
      <c r="AJ213" s="3">
        <v>3217114309880000</v>
      </c>
      <c r="AK213" s="3"/>
      <c r="AL213" s="3"/>
      <c r="AM213" s="3" t="s">
        <v>2367</v>
      </c>
      <c r="AN213" s="3"/>
      <c r="AO213" s="3"/>
      <c r="AP213" s="3"/>
      <c r="AQ213" s="3" t="s">
        <v>5146</v>
      </c>
      <c r="AR213" s="3"/>
      <c r="AS213" s="3"/>
      <c r="AT213" s="3" t="s">
        <v>2359</v>
      </c>
      <c r="AU213" s="3"/>
      <c r="AV213" s="3">
        <v>0</v>
      </c>
      <c r="AW213" s="3"/>
      <c r="AX213" s="3" t="s">
        <v>4056</v>
      </c>
      <c r="AY213" s="3"/>
      <c r="AZ213" s="3"/>
      <c r="BA213" s="3"/>
      <c r="BB213" s="3" t="s">
        <v>2369</v>
      </c>
      <c r="BC213" s="3" t="s">
        <v>2370</v>
      </c>
      <c r="BD213" s="3" t="s">
        <v>2371</v>
      </c>
      <c r="BE213" s="3" t="s">
        <v>4593</v>
      </c>
      <c r="BF213" s="3">
        <v>1</v>
      </c>
      <c r="BG213" s="3">
        <v>-6.9668999999999999</v>
      </c>
      <c r="BH213" s="3">
        <v>107.4242</v>
      </c>
      <c r="BI213" s="3"/>
      <c r="BJ213" s="3">
        <v>55</v>
      </c>
      <c r="BK213" s="3">
        <v>145</v>
      </c>
      <c r="BL213" s="3">
        <v>61</v>
      </c>
      <c r="BM213" s="3">
        <v>1</v>
      </c>
      <c r="BN213" s="3">
        <v>2</v>
      </c>
    </row>
    <row r="214" spans="1:66" hidden="1" x14ac:dyDescent="0.3">
      <c r="A214" s="3">
        <v>208</v>
      </c>
      <c r="B214" s="3" t="s">
        <v>4719</v>
      </c>
      <c r="C214" s="3" t="s">
        <v>4241</v>
      </c>
      <c r="D214" s="3" t="s">
        <v>53</v>
      </c>
      <c r="E214" s="3">
        <v>112094728</v>
      </c>
      <c r="F214" s="3" t="s">
        <v>2373</v>
      </c>
      <c r="G214" s="157">
        <v>40682</v>
      </c>
      <c r="H214" s="3">
        <v>3217125905110000</v>
      </c>
      <c r="I214" s="3" t="s">
        <v>2353</v>
      </c>
      <c r="J214" s="3" t="s">
        <v>2707</v>
      </c>
      <c r="K214" s="3">
        <v>1</v>
      </c>
      <c r="L214" s="3">
        <v>5</v>
      </c>
      <c r="M214" s="3"/>
      <c r="N214" s="3" t="s">
        <v>2395</v>
      </c>
      <c r="O214" s="3" t="s">
        <v>2356</v>
      </c>
      <c r="P214" s="3">
        <v>40764</v>
      </c>
      <c r="Q214" s="3" t="s">
        <v>2357</v>
      </c>
      <c r="R214" s="3" t="s">
        <v>2358</v>
      </c>
      <c r="S214" s="3"/>
      <c r="T214" s="3">
        <v>83817987700</v>
      </c>
      <c r="U214" s="3"/>
      <c r="V214" s="3"/>
      <c r="W214" s="3" t="s">
        <v>2359</v>
      </c>
      <c r="X214" s="3">
        <v>122000110291627</v>
      </c>
      <c r="Y214" s="3" t="s">
        <v>3025</v>
      </c>
      <c r="Z214" s="3">
        <v>1983</v>
      </c>
      <c r="AA214" s="3" t="s">
        <v>2361</v>
      </c>
      <c r="AB214" s="3" t="s">
        <v>2362</v>
      </c>
      <c r="AC214" s="3" t="s">
        <v>2363</v>
      </c>
      <c r="AD214" s="3">
        <v>3217120604830020</v>
      </c>
      <c r="AE214" s="3" t="s">
        <v>4720</v>
      </c>
      <c r="AF214" s="3">
        <v>1985</v>
      </c>
      <c r="AG214" s="3" t="s">
        <v>2390</v>
      </c>
      <c r="AH214" s="3" t="s">
        <v>2365</v>
      </c>
      <c r="AI214" s="3" t="s">
        <v>2366</v>
      </c>
      <c r="AJ214" s="3">
        <v>3217122440885000</v>
      </c>
      <c r="AK214" s="3"/>
      <c r="AL214" s="3"/>
      <c r="AM214" s="3" t="s">
        <v>2367</v>
      </c>
      <c r="AN214" s="3"/>
      <c r="AO214" s="3"/>
      <c r="AP214" s="3"/>
      <c r="AQ214" s="3" t="s">
        <v>5146</v>
      </c>
      <c r="AR214" s="3"/>
      <c r="AS214" s="3"/>
      <c r="AT214" s="3" t="s">
        <v>2369</v>
      </c>
      <c r="AU214" s="3"/>
      <c r="AV214" s="3">
        <v>0</v>
      </c>
      <c r="AW214" s="3" t="s">
        <v>4721</v>
      </c>
      <c r="AX214" s="3" t="s">
        <v>4044</v>
      </c>
      <c r="AY214" s="3"/>
      <c r="AZ214" s="3"/>
      <c r="BA214" s="3"/>
      <c r="BB214" s="3" t="s">
        <v>2369</v>
      </c>
      <c r="BC214" s="3"/>
      <c r="BD214" s="3" t="s">
        <v>2371</v>
      </c>
      <c r="BE214" s="3" t="s">
        <v>2553</v>
      </c>
      <c r="BF214" s="3">
        <v>3</v>
      </c>
      <c r="BG214" s="3">
        <v>-7.0068000000000001</v>
      </c>
      <c r="BH214" s="3">
        <v>107.2349</v>
      </c>
      <c r="BI214" s="3">
        <v>3217122911070030</v>
      </c>
      <c r="BJ214" s="3">
        <v>45</v>
      </c>
      <c r="BK214" s="3">
        <v>135</v>
      </c>
      <c r="BL214" s="3">
        <v>53</v>
      </c>
      <c r="BM214" s="3">
        <v>1</v>
      </c>
      <c r="BN214" s="3">
        <v>2</v>
      </c>
    </row>
    <row r="215" spans="1:66" s="219" customFormat="1" hidden="1" x14ac:dyDescent="0.3">
      <c r="A215" s="54">
        <v>209</v>
      </c>
      <c r="B215" s="54" t="s">
        <v>2914</v>
      </c>
      <c r="C215" s="54" t="s">
        <v>2226</v>
      </c>
      <c r="D215" s="54" t="s">
        <v>53</v>
      </c>
      <c r="E215" s="54">
        <v>109928075</v>
      </c>
      <c r="F215" s="54" t="s">
        <v>2377</v>
      </c>
      <c r="G215" s="108">
        <v>40430</v>
      </c>
      <c r="H215" s="54">
        <v>3217124909100000</v>
      </c>
      <c r="I215" s="54" t="s">
        <v>2353</v>
      </c>
      <c r="J215" s="54" t="s">
        <v>2915</v>
      </c>
      <c r="K215" s="54">
        <v>1</v>
      </c>
      <c r="L215" s="54">
        <v>7</v>
      </c>
      <c r="M215" s="54" t="s">
        <v>2916</v>
      </c>
      <c r="N215" s="54" t="s">
        <v>2917</v>
      </c>
      <c r="O215" s="54" t="s">
        <v>2356</v>
      </c>
      <c r="P215" s="54">
        <v>40764</v>
      </c>
      <c r="Q215" s="54" t="s">
        <v>2357</v>
      </c>
      <c r="R215" s="54" t="s">
        <v>2358</v>
      </c>
      <c r="S215" s="54"/>
      <c r="T215" s="54">
        <v>83820475804</v>
      </c>
      <c r="U215" s="54"/>
      <c r="V215" s="54"/>
      <c r="W215" s="54" t="s">
        <v>2359</v>
      </c>
      <c r="X215" s="54"/>
      <c r="Y215" s="54" t="s">
        <v>2918</v>
      </c>
      <c r="Z215" s="54">
        <v>1973</v>
      </c>
      <c r="AA215" s="54" t="s">
        <v>2361</v>
      </c>
      <c r="AB215" s="54" t="s">
        <v>2362</v>
      </c>
      <c r="AC215" s="54" t="s">
        <v>2363</v>
      </c>
      <c r="AD215" s="54">
        <v>3217120604730010</v>
      </c>
      <c r="AE215" s="54" t="s">
        <v>2919</v>
      </c>
      <c r="AF215" s="54">
        <v>1984</v>
      </c>
      <c r="AG215" s="54" t="s">
        <v>2361</v>
      </c>
      <c r="AH215" s="54" t="s">
        <v>2474</v>
      </c>
      <c r="AI215" s="54" t="s">
        <v>2366</v>
      </c>
      <c r="AJ215" s="54">
        <v>3217124506840020</v>
      </c>
      <c r="AK215" s="54"/>
      <c r="AL215" s="54"/>
      <c r="AM215" s="54" t="s">
        <v>2367</v>
      </c>
      <c r="AN215" s="54"/>
      <c r="AO215" s="54"/>
      <c r="AP215" s="54"/>
      <c r="AQ215" s="54" t="s">
        <v>8178</v>
      </c>
      <c r="AR215" s="54"/>
      <c r="AS215" s="54"/>
      <c r="AT215" s="54" t="s">
        <v>2359</v>
      </c>
      <c r="AU215" s="54"/>
      <c r="AV215" s="54">
        <v>0</v>
      </c>
      <c r="AW215" s="54"/>
      <c r="AX215" s="54"/>
      <c r="AY215" s="54"/>
      <c r="AZ215" s="54"/>
      <c r="BA215" s="54"/>
      <c r="BB215" s="54" t="s">
        <v>2359</v>
      </c>
      <c r="BC215" s="54"/>
      <c r="BD215" s="54" t="s">
        <v>2371</v>
      </c>
      <c r="BE215" s="54" t="s">
        <v>2920</v>
      </c>
      <c r="BF215" s="54">
        <v>4</v>
      </c>
      <c r="BG215" s="54">
        <v>-6.9261049999999997</v>
      </c>
      <c r="BH215" s="54">
        <v>107.32458200000001</v>
      </c>
      <c r="BI215" s="54"/>
      <c r="BJ215" s="54">
        <v>50</v>
      </c>
      <c r="BK215" s="54">
        <v>146</v>
      </c>
      <c r="BL215" s="54">
        <v>0</v>
      </c>
      <c r="BM215" s="54">
        <v>0</v>
      </c>
      <c r="BN215" s="54">
        <v>0</v>
      </c>
    </row>
    <row r="216" spans="1:66" s="219" customFormat="1" hidden="1" x14ac:dyDescent="0.3">
      <c r="A216" s="54">
        <v>210</v>
      </c>
      <c r="B216" s="54" t="s">
        <v>1361</v>
      </c>
      <c r="C216" s="54" t="s">
        <v>1469</v>
      </c>
      <c r="D216" s="54" t="s">
        <v>53</v>
      </c>
      <c r="E216" s="54">
        <v>99794661</v>
      </c>
      <c r="F216" s="54" t="s">
        <v>2446</v>
      </c>
      <c r="G216" s="108">
        <v>40108</v>
      </c>
      <c r="H216" s="54">
        <v>3217126210090000</v>
      </c>
      <c r="I216" s="54" t="s">
        <v>2353</v>
      </c>
      <c r="J216" s="54" t="s">
        <v>3375</v>
      </c>
      <c r="K216" s="54">
        <v>3</v>
      </c>
      <c r="L216" s="54">
        <v>10</v>
      </c>
      <c r="M216" s="54"/>
      <c r="N216" s="54" t="s">
        <v>2513</v>
      </c>
      <c r="O216" s="54" t="s">
        <v>2356</v>
      </c>
      <c r="P216" s="54">
        <v>40764</v>
      </c>
      <c r="Q216" s="54" t="s">
        <v>2357</v>
      </c>
      <c r="R216" s="54" t="s">
        <v>2358</v>
      </c>
      <c r="S216" s="54"/>
      <c r="T216" s="54">
        <v>83816071580</v>
      </c>
      <c r="U216" s="54"/>
      <c r="V216" s="54"/>
      <c r="W216" s="54" t="s">
        <v>2359</v>
      </c>
      <c r="X216" s="54"/>
      <c r="Y216" s="54" t="s">
        <v>3047</v>
      </c>
      <c r="Z216" s="54">
        <v>1988</v>
      </c>
      <c r="AA216" s="54" t="s">
        <v>2361</v>
      </c>
      <c r="AB216" s="54" t="s">
        <v>2362</v>
      </c>
      <c r="AC216" s="54" t="s">
        <v>2363</v>
      </c>
      <c r="AD216" s="54">
        <v>3217120408770020</v>
      </c>
      <c r="AE216" s="54" t="s">
        <v>3376</v>
      </c>
      <c r="AF216" s="54">
        <v>1993</v>
      </c>
      <c r="AG216" s="54" t="s">
        <v>2361</v>
      </c>
      <c r="AH216" s="54" t="s">
        <v>2365</v>
      </c>
      <c r="AI216" s="54" t="s">
        <v>2366</v>
      </c>
      <c r="AJ216" s="54">
        <v>3217125009890010</v>
      </c>
      <c r="AK216" s="54"/>
      <c r="AL216" s="54"/>
      <c r="AM216" s="54"/>
      <c r="AN216" s="54"/>
      <c r="AO216" s="54"/>
      <c r="AP216" s="54"/>
      <c r="AQ216" s="54" t="s">
        <v>5147</v>
      </c>
      <c r="AR216" s="54"/>
      <c r="AS216" s="54"/>
      <c r="AT216" s="54" t="s">
        <v>2369</v>
      </c>
      <c r="AU216" s="54" t="s">
        <v>3377</v>
      </c>
      <c r="AV216" s="54">
        <v>0</v>
      </c>
      <c r="AW216" s="54"/>
      <c r="AX216" s="54"/>
      <c r="AY216" s="54" t="s">
        <v>2460</v>
      </c>
      <c r="AZ216" s="54">
        <v>411601003552500</v>
      </c>
      <c r="BA216" s="54" t="s">
        <v>3378</v>
      </c>
      <c r="BB216" s="54" t="s">
        <v>2369</v>
      </c>
      <c r="BC216" s="54"/>
      <c r="BD216" s="54" t="s">
        <v>2371</v>
      </c>
      <c r="BE216" s="54"/>
      <c r="BF216" s="54">
        <v>1</v>
      </c>
      <c r="BG216" s="54">
        <v>-7.0068000000000001</v>
      </c>
      <c r="BH216" s="54">
        <v>107.2349</v>
      </c>
      <c r="BI216" s="54">
        <v>3217122221009000</v>
      </c>
      <c r="BJ216" s="54">
        <v>12</v>
      </c>
      <c r="BK216" s="54">
        <v>121</v>
      </c>
      <c r="BL216" s="54">
        <v>51</v>
      </c>
      <c r="BM216" s="54">
        <v>2</v>
      </c>
      <c r="BN216" s="54">
        <v>1</v>
      </c>
    </row>
    <row r="217" spans="1:66" s="219" customFormat="1" hidden="1" x14ac:dyDescent="0.3">
      <c r="A217" s="54">
        <v>211</v>
      </c>
      <c r="B217" s="54" t="s">
        <v>1796</v>
      </c>
      <c r="C217" s="54" t="s">
        <v>1434</v>
      </c>
      <c r="D217" s="54" t="s">
        <v>52</v>
      </c>
      <c r="E217" s="54">
        <v>3089909164</v>
      </c>
      <c r="F217" s="54" t="s">
        <v>2373</v>
      </c>
      <c r="G217" s="108">
        <v>39594</v>
      </c>
      <c r="H217" s="54">
        <v>3217122605080000</v>
      </c>
      <c r="I217" s="54" t="s">
        <v>2353</v>
      </c>
      <c r="J217" s="54" t="s">
        <v>3117</v>
      </c>
      <c r="K217" s="54">
        <v>3</v>
      </c>
      <c r="L217" s="54">
        <v>1</v>
      </c>
      <c r="M217" s="54"/>
      <c r="N217" s="54" t="s">
        <v>2513</v>
      </c>
      <c r="O217" s="54" t="s">
        <v>2356</v>
      </c>
      <c r="P217" s="54"/>
      <c r="Q217" s="54" t="s">
        <v>2357</v>
      </c>
      <c r="R217" s="54" t="s">
        <v>2358</v>
      </c>
      <c r="S217" s="54"/>
      <c r="T217" s="54"/>
      <c r="U217" s="54"/>
      <c r="V217" s="54"/>
      <c r="W217" s="54" t="s">
        <v>2359</v>
      </c>
      <c r="X217" s="54"/>
      <c r="Y217" s="54"/>
      <c r="Z217" s="54">
        <v>0</v>
      </c>
      <c r="AA217" s="54"/>
      <c r="AB217" s="54"/>
      <c r="AC217" s="54"/>
      <c r="AD217" s="54"/>
      <c r="AE217" s="54" t="s">
        <v>3270</v>
      </c>
      <c r="AF217" s="54">
        <v>1982</v>
      </c>
      <c r="AG217" s="54" t="s">
        <v>2361</v>
      </c>
      <c r="AH217" s="54" t="s">
        <v>2365</v>
      </c>
      <c r="AI217" s="54" t="s">
        <v>2366</v>
      </c>
      <c r="AJ217" s="54">
        <v>3217104710820010</v>
      </c>
      <c r="AK217" s="54"/>
      <c r="AL217" s="54"/>
      <c r="AM217" s="54"/>
      <c r="AN217" s="54"/>
      <c r="AO217" s="54"/>
      <c r="AP217" s="54"/>
      <c r="AQ217" s="54" t="s">
        <v>5147</v>
      </c>
      <c r="AR217" s="54"/>
      <c r="AS217" s="54"/>
      <c r="AT217" s="54" t="s">
        <v>2359</v>
      </c>
      <c r="AU217" s="54"/>
      <c r="AV217" s="54">
        <v>0</v>
      </c>
      <c r="AW217" s="54"/>
      <c r="AX217" s="54" t="s">
        <v>3271</v>
      </c>
      <c r="AY217" s="54"/>
      <c r="AZ217" s="54"/>
      <c r="BA217" s="54"/>
      <c r="BB217" s="54" t="s">
        <v>2369</v>
      </c>
      <c r="BC217" s="54" t="s">
        <v>2370</v>
      </c>
      <c r="BD217" s="54" t="s">
        <v>2371</v>
      </c>
      <c r="BE217" s="54"/>
      <c r="BF217" s="54">
        <v>1</v>
      </c>
      <c r="BG217" s="54">
        <v>-6.9625000000000004</v>
      </c>
      <c r="BH217" s="54">
        <v>107.4346</v>
      </c>
      <c r="BI217" s="54">
        <v>3217122701900010</v>
      </c>
      <c r="BJ217" s="54">
        <v>41</v>
      </c>
      <c r="BK217" s="54">
        <v>135</v>
      </c>
      <c r="BL217" s="54">
        <v>55</v>
      </c>
      <c r="BM217" s="54">
        <v>1</v>
      </c>
      <c r="BN217" s="54">
        <v>2</v>
      </c>
    </row>
    <row r="218" spans="1:66" s="219" customFormat="1" hidden="1" x14ac:dyDescent="0.3">
      <c r="A218" s="54">
        <v>212</v>
      </c>
      <c r="B218" s="54" t="s">
        <v>1739</v>
      </c>
      <c r="C218" s="54" t="s">
        <v>2227</v>
      </c>
      <c r="D218" s="54" t="s">
        <v>53</v>
      </c>
      <c r="E218" s="54">
        <v>3104797455</v>
      </c>
      <c r="F218" s="54" t="s">
        <v>2446</v>
      </c>
      <c r="G218" s="108">
        <v>40281</v>
      </c>
      <c r="H218" s="54">
        <v>3217115304100000</v>
      </c>
      <c r="I218" s="54" t="s">
        <v>2353</v>
      </c>
      <c r="J218" s="54" t="s">
        <v>2530</v>
      </c>
      <c r="K218" s="54">
        <v>4</v>
      </c>
      <c r="L218" s="54">
        <v>5</v>
      </c>
      <c r="M218" s="54"/>
      <c r="N218" s="54" t="s">
        <v>2425</v>
      </c>
      <c r="O218" s="54" t="s">
        <v>2426</v>
      </c>
      <c r="P218" s="54">
        <v>40562</v>
      </c>
      <c r="Q218" s="54" t="s">
        <v>2357</v>
      </c>
      <c r="R218" s="54" t="s">
        <v>2358</v>
      </c>
      <c r="S218" s="54"/>
      <c r="T218" s="54"/>
      <c r="U218" s="54"/>
      <c r="V218" s="54"/>
      <c r="W218" s="54" t="s">
        <v>2359</v>
      </c>
      <c r="X218" s="54"/>
      <c r="Y218" s="54" t="s">
        <v>4722</v>
      </c>
      <c r="Z218" s="54">
        <v>1966</v>
      </c>
      <c r="AA218" s="54" t="s">
        <v>2402</v>
      </c>
      <c r="AB218" s="54" t="s">
        <v>2362</v>
      </c>
      <c r="AC218" s="54" t="s">
        <v>2363</v>
      </c>
      <c r="AD218" s="54">
        <v>3217112103660000</v>
      </c>
      <c r="AE218" s="54" t="s">
        <v>2921</v>
      </c>
      <c r="AF218" s="54">
        <v>1976</v>
      </c>
      <c r="AG218" s="54" t="s">
        <v>2361</v>
      </c>
      <c r="AH218" s="54" t="s">
        <v>2365</v>
      </c>
      <c r="AI218" s="54" t="s">
        <v>2366</v>
      </c>
      <c r="AJ218" s="54">
        <v>3217114510760000</v>
      </c>
      <c r="AK218" s="54"/>
      <c r="AL218" s="54"/>
      <c r="AM218" s="54"/>
      <c r="AN218" s="54"/>
      <c r="AO218" s="54"/>
      <c r="AP218" s="54"/>
      <c r="AQ218" s="54" t="s">
        <v>8178</v>
      </c>
      <c r="AR218" s="54"/>
      <c r="AS218" s="54"/>
      <c r="AT218" s="54" t="s">
        <v>2359</v>
      </c>
      <c r="AU218" s="54"/>
      <c r="AV218" s="54">
        <v>1</v>
      </c>
      <c r="AW218" s="54"/>
      <c r="AX218" s="54"/>
      <c r="AY218" s="54"/>
      <c r="AZ218" s="54"/>
      <c r="BA218" s="54"/>
      <c r="BB218" s="54" t="s">
        <v>2369</v>
      </c>
      <c r="BC218" s="54" t="s">
        <v>2370</v>
      </c>
      <c r="BD218" s="54" t="s">
        <v>2371</v>
      </c>
      <c r="BE218" s="54" t="s">
        <v>2697</v>
      </c>
      <c r="BF218" s="54">
        <v>1</v>
      </c>
      <c r="BG218" s="54">
        <v>-6.9625000000000004</v>
      </c>
      <c r="BH218" s="54">
        <v>107.4346</v>
      </c>
      <c r="BI218" s="54">
        <v>3217111404050120</v>
      </c>
      <c r="BJ218" s="54">
        <v>42</v>
      </c>
      <c r="BK218" s="54">
        <v>13</v>
      </c>
      <c r="BL218" s="54">
        <v>54</v>
      </c>
      <c r="BM218" s="54">
        <v>1</v>
      </c>
      <c r="BN218" s="54">
        <v>1</v>
      </c>
    </row>
    <row r="219" spans="1:66" s="219" customFormat="1" hidden="1" x14ac:dyDescent="0.3">
      <c r="A219" s="54">
        <v>213</v>
      </c>
      <c r="B219" s="54" t="s">
        <v>2814</v>
      </c>
      <c r="C219" s="54" t="s">
        <v>2198</v>
      </c>
      <c r="D219" s="54" t="s">
        <v>53</v>
      </c>
      <c r="E219" s="54">
        <v>101089598</v>
      </c>
      <c r="F219" s="54" t="s">
        <v>2815</v>
      </c>
      <c r="G219" s="108">
        <v>40273</v>
      </c>
      <c r="H219" s="54">
        <v>3217124504100000</v>
      </c>
      <c r="I219" s="54" t="s">
        <v>2353</v>
      </c>
      <c r="J219" s="54" t="s">
        <v>2816</v>
      </c>
      <c r="K219" s="54">
        <v>7</v>
      </c>
      <c r="L219" s="54">
        <v>5</v>
      </c>
      <c r="M219" s="54"/>
      <c r="N219" s="54" t="s">
        <v>2817</v>
      </c>
      <c r="O219" s="54" t="s">
        <v>2818</v>
      </c>
      <c r="P219" s="54">
        <v>40173</v>
      </c>
      <c r="Q219" s="54" t="s">
        <v>2357</v>
      </c>
      <c r="R219" s="54" t="s">
        <v>2358</v>
      </c>
      <c r="S219" s="54"/>
      <c r="T219" s="54">
        <v>81563650317</v>
      </c>
      <c r="U219" s="54"/>
      <c r="V219" s="54"/>
      <c r="W219" s="54" t="s">
        <v>2359</v>
      </c>
      <c r="X219" s="54"/>
      <c r="Y219" s="54" t="s">
        <v>2819</v>
      </c>
      <c r="Z219" s="54">
        <v>1979</v>
      </c>
      <c r="AA219" s="54" t="s">
        <v>2402</v>
      </c>
      <c r="AB219" s="54" t="s">
        <v>2493</v>
      </c>
      <c r="AC219" s="54" t="s">
        <v>2375</v>
      </c>
      <c r="AD219" s="54">
        <v>3217120104790020</v>
      </c>
      <c r="AE219" s="54" t="s">
        <v>2820</v>
      </c>
      <c r="AF219" s="54">
        <v>1985</v>
      </c>
      <c r="AG219" s="54" t="s">
        <v>2402</v>
      </c>
      <c r="AH219" s="54" t="s">
        <v>2388</v>
      </c>
      <c r="AI219" s="54" t="s">
        <v>2363</v>
      </c>
      <c r="AJ219" s="54">
        <v>3217124106850030</v>
      </c>
      <c r="AK219" s="54"/>
      <c r="AL219" s="54"/>
      <c r="AM219" s="54" t="s">
        <v>2367</v>
      </c>
      <c r="AN219" s="54"/>
      <c r="AO219" s="54"/>
      <c r="AP219" s="54"/>
      <c r="AQ219" s="54" t="s">
        <v>8179</v>
      </c>
      <c r="AR219" s="54"/>
      <c r="AS219" s="54"/>
      <c r="AT219" s="54" t="s">
        <v>2359</v>
      </c>
      <c r="AU219" s="54"/>
      <c r="AV219" s="54">
        <v>0</v>
      </c>
      <c r="AW219" s="54"/>
      <c r="AX219" s="54" t="s">
        <v>2821</v>
      </c>
      <c r="AY219" s="54"/>
      <c r="AZ219" s="54"/>
      <c r="BA219" s="54"/>
      <c r="BB219" s="54" t="s">
        <v>2359</v>
      </c>
      <c r="BC219" s="54"/>
      <c r="BD219" s="54" t="s">
        <v>2371</v>
      </c>
      <c r="BE219" s="54" t="s">
        <v>2406</v>
      </c>
      <c r="BF219" s="54">
        <v>2</v>
      </c>
      <c r="BG219" s="54">
        <v>-6.9025903480000004</v>
      </c>
      <c r="BH219" s="54">
        <v>107.595613</v>
      </c>
      <c r="BI219" s="54"/>
      <c r="BJ219" s="54">
        <v>45</v>
      </c>
      <c r="BK219" s="54">
        <v>139</v>
      </c>
      <c r="BL219" s="54">
        <v>0</v>
      </c>
      <c r="BM219" s="54">
        <v>0</v>
      </c>
      <c r="BN219" s="54">
        <v>0</v>
      </c>
    </row>
    <row r="220" spans="1:66" hidden="1" x14ac:dyDescent="0.3">
      <c r="A220" s="3">
        <v>214</v>
      </c>
      <c r="B220" s="3" t="s">
        <v>3797</v>
      </c>
      <c r="C220" s="3" t="s">
        <v>4242</v>
      </c>
      <c r="D220" s="3" t="s">
        <v>53</v>
      </c>
      <c r="E220" s="3">
        <v>119585690</v>
      </c>
      <c r="F220" s="3" t="s">
        <v>2352</v>
      </c>
      <c r="G220" s="157">
        <v>40637</v>
      </c>
      <c r="H220" s="3">
        <v>3217124404100000</v>
      </c>
      <c r="I220" s="3" t="s">
        <v>2353</v>
      </c>
      <c r="J220" s="3" t="s">
        <v>4723</v>
      </c>
      <c r="K220" s="3">
        <v>4</v>
      </c>
      <c r="L220" s="3">
        <v>9</v>
      </c>
      <c r="M220" s="3"/>
      <c r="N220" s="3" t="s">
        <v>4475</v>
      </c>
      <c r="O220" s="3" t="s">
        <v>2356</v>
      </c>
      <c r="P220" s="3">
        <v>40564</v>
      </c>
      <c r="Q220" s="3" t="s">
        <v>2357</v>
      </c>
      <c r="R220" s="3" t="s">
        <v>2358</v>
      </c>
      <c r="S220" s="3"/>
      <c r="T220" s="3">
        <v>83842126889</v>
      </c>
      <c r="U220" s="3"/>
      <c r="V220" s="3"/>
      <c r="W220" s="3" t="s">
        <v>2359</v>
      </c>
      <c r="X220" s="3"/>
      <c r="Y220" s="3" t="s">
        <v>4009</v>
      </c>
      <c r="Z220" s="3">
        <v>1967</v>
      </c>
      <c r="AA220" s="3" t="s">
        <v>2361</v>
      </c>
      <c r="AB220" s="3" t="s">
        <v>2362</v>
      </c>
      <c r="AC220" s="3" t="s">
        <v>2403</v>
      </c>
      <c r="AD220" s="3">
        <v>3217120304670030</v>
      </c>
      <c r="AE220" s="3" t="s">
        <v>4724</v>
      </c>
      <c r="AF220" s="3">
        <v>1972</v>
      </c>
      <c r="AG220" s="3" t="s">
        <v>2361</v>
      </c>
      <c r="AH220" s="3" t="s">
        <v>2365</v>
      </c>
      <c r="AI220" s="3" t="s">
        <v>2366</v>
      </c>
      <c r="AJ220" s="3">
        <v>3217124502700000</v>
      </c>
      <c r="AK220" s="3"/>
      <c r="AL220" s="3"/>
      <c r="AM220" s="3" t="s">
        <v>2367</v>
      </c>
      <c r="AN220" s="3"/>
      <c r="AO220" s="3"/>
      <c r="AP220" s="3"/>
      <c r="AQ220" s="3" t="s">
        <v>5146</v>
      </c>
      <c r="AR220" s="3"/>
      <c r="AS220" s="3"/>
      <c r="AT220" s="3" t="s">
        <v>2359</v>
      </c>
      <c r="AU220" s="3"/>
      <c r="AV220" s="3">
        <v>1</v>
      </c>
      <c r="AW220" s="3"/>
      <c r="AX220" s="3"/>
      <c r="AY220" s="3"/>
      <c r="AZ220" s="3"/>
      <c r="BA220" s="3"/>
      <c r="BB220" s="3" t="s">
        <v>2369</v>
      </c>
      <c r="BC220" s="3" t="s">
        <v>2370</v>
      </c>
      <c r="BD220" s="3" t="s">
        <v>2371</v>
      </c>
      <c r="BE220" s="3" t="s">
        <v>2477</v>
      </c>
      <c r="BF220" s="3">
        <v>2</v>
      </c>
      <c r="BG220" s="3">
        <v>-6.9661</v>
      </c>
      <c r="BH220" s="3">
        <v>107.4057</v>
      </c>
      <c r="BI220" s="3">
        <v>3217121604055620</v>
      </c>
      <c r="BJ220" s="3">
        <v>43</v>
      </c>
      <c r="BK220" s="3">
        <v>137</v>
      </c>
      <c r="BL220" s="3">
        <v>54</v>
      </c>
      <c r="BM220" s="3">
        <v>1</v>
      </c>
      <c r="BN220" s="3">
        <v>3</v>
      </c>
    </row>
    <row r="221" spans="1:66" s="219" customFormat="1" hidden="1" x14ac:dyDescent="0.3">
      <c r="A221" s="54">
        <v>215</v>
      </c>
      <c r="B221" s="54" t="s">
        <v>2069</v>
      </c>
      <c r="C221" s="54" t="s">
        <v>2199</v>
      </c>
      <c r="D221" s="54" t="s">
        <v>53</v>
      </c>
      <c r="E221" s="54">
        <v>103632988</v>
      </c>
      <c r="F221" s="54" t="s">
        <v>2352</v>
      </c>
      <c r="G221" s="108">
        <v>40419</v>
      </c>
      <c r="H221" s="54">
        <v>3273066908100000</v>
      </c>
      <c r="I221" s="54" t="s">
        <v>2353</v>
      </c>
      <c r="J221" s="54" t="s">
        <v>2354</v>
      </c>
      <c r="K221" s="54">
        <v>1</v>
      </c>
      <c r="L221" s="54">
        <v>4</v>
      </c>
      <c r="M221" s="54"/>
      <c r="N221" s="54" t="s">
        <v>2355</v>
      </c>
      <c r="O221" s="54" t="s">
        <v>2356</v>
      </c>
      <c r="P221" s="54">
        <v>40564</v>
      </c>
      <c r="Q221" s="54" t="s">
        <v>2357</v>
      </c>
      <c r="R221" s="54" t="s">
        <v>2358</v>
      </c>
      <c r="S221" s="54"/>
      <c r="T221" s="54">
        <v>82282132822</v>
      </c>
      <c r="U221" s="54"/>
      <c r="V221" s="54"/>
      <c r="W221" s="54" t="s">
        <v>2359</v>
      </c>
      <c r="X221" s="54"/>
      <c r="Y221" s="54" t="s">
        <v>2822</v>
      </c>
      <c r="Z221" s="54">
        <v>1979</v>
      </c>
      <c r="AA221" s="54" t="s">
        <v>2402</v>
      </c>
      <c r="AB221" s="54" t="s">
        <v>2388</v>
      </c>
      <c r="AC221" s="54" t="s">
        <v>2363</v>
      </c>
      <c r="AD221" s="54"/>
      <c r="AE221" s="54" t="s">
        <v>2823</v>
      </c>
      <c r="AF221" s="54">
        <v>1979</v>
      </c>
      <c r="AG221" s="54" t="s">
        <v>2402</v>
      </c>
      <c r="AH221" s="54" t="s">
        <v>2365</v>
      </c>
      <c r="AI221" s="54" t="s">
        <v>2366</v>
      </c>
      <c r="AJ221" s="54"/>
      <c r="AK221" s="54"/>
      <c r="AL221" s="54"/>
      <c r="AM221" s="54" t="s">
        <v>2367</v>
      </c>
      <c r="AN221" s="54"/>
      <c r="AO221" s="54"/>
      <c r="AP221" s="54"/>
      <c r="AQ221" s="54" t="s">
        <v>8179</v>
      </c>
      <c r="AR221" s="54"/>
      <c r="AS221" s="54"/>
      <c r="AT221" s="54" t="s">
        <v>2359</v>
      </c>
      <c r="AU221" s="54"/>
      <c r="AV221" s="54">
        <v>0</v>
      </c>
      <c r="AW221" s="54"/>
      <c r="AX221" s="54"/>
      <c r="AY221" s="54"/>
      <c r="AZ221" s="54"/>
      <c r="BA221" s="54"/>
      <c r="BB221" s="54" t="s">
        <v>2369</v>
      </c>
      <c r="BC221" s="54" t="s">
        <v>2370</v>
      </c>
      <c r="BD221" s="54" t="s">
        <v>2371</v>
      </c>
      <c r="BE221" s="54" t="s">
        <v>2372</v>
      </c>
      <c r="BF221" s="54">
        <v>3</v>
      </c>
      <c r="BG221" s="54">
        <v>-6.9676999999999998</v>
      </c>
      <c r="BH221" s="54">
        <v>107.4117</v>
      </c>
      <c r="BI221" s="54"/>
      <c r="BJ221" s="54">
        <v>45</v>
      </c>
      <c r="BK221" s="54">
        <v>133</v>
      </c>
      <c r="BL221" s="54">
        <v>0</v>
      </c>
      <c r="BM221" s="54">
        <v>0</v>
      </c>
      <c r="BN221" s="54">
        <v>0</v>
      </c>
    </row>
    <row r="222" spans="1:66" hidden="1" x14ac:dyDescent="0.3">
      <c r="A222" s="3">
        <v>216</v>
      </c>
      <c r="B222" s="3" t="s">
        <v>4725</v>
      </c>
      <c r="C222" s="3" t="s">
        <v>4372</v>
      </c>
      <c r="D222" s="3" t="s">
        <v>53</v>
      </c>
      <c r="E222" s="3">
        <v>117247966</v>
      </c>
      <c r="F222" s="3" t="s">
        <v>2373</v>
      </c>
      <c r="G222" s="157">
        <v>40671</v>
      </c>
      <c r="H222" s="3">
        <v>3217124805110000</v>
      </c>
      <c r="I222" s="3" t="s">
        <v>2353</v>
      </c>
      <c r="J222" s="3" t="s">
        <v>2895</v>
      </c>
      <c r="K222" s="3">
        <v>2</v>
      </c>
      <c r="L222" s="3">
        <v>3</v>
      </c>
      <c r="M222" s="3"/>
      <c r="N222" s="3" t="s">
        <v>4475</v>
      </c>
      <c r="O222" s="3" t="s">
        <v>2356</v>
      </c>
      <c r="P222" s="3">
        <v>40764</v>
      </c>
      <c r="Q222" s="3" t="s">
        <v>2357</v>
      </c>
      <c r="R222" s="3" t="s">
        <v>2358</v>
      </c>
      <c r="S222" s="3"/>
      <c r="T222" s="3">
        <v>85315025337</v>
      </c>
      <c r="U222" s="3"/>
      <c r="V222" s="3"/>
      <c r="W222" s="3" t="s">
        <v>2359</v>
      </c>
      <c r="X222" s="3"/>
      <c r="Y222" s="3" t="s">
        <v>4726</v>
      </c>
      <c r="Z222" s="3">
        <v>1980</v>
      </c>
      <c r="AA222" s="3" t="s">
        <v>2361</v>
      </c>
      <c r="AB222" s="3" t="s">
        <v>2362</v>
      </c>
      <c r="AC222" s="3" t="s">
        <v>2363</v>
      </c>
      <c r="AD222" s="3">
        <v>3217121610800000</v>
      </c>
      <c r="AE222" s="3" t="s">
        <v>4727</v>
      </c>
      <c r="AF222" s="3">
        <v>1984</v>
      </c>
      <c r="AG222" s="3" t="s">
        <v>2402</v>
      </c>
      <c r="AH222" s="3" t="s">
        <v>2365</v>
      </c>
      <c r="AI222" s="3" t="s">
        <v>2366</v>
      </c>
      <c r="AJ222" s="3">
        <v>3217124808840030</v>
      </c>
      <c r="AK222" s="3"/>
      <c r="AL222" s="3"/>
      <c r="AM222" s="3" t="s">
        <v>2367</v>
      </c>
      <c r="AN222" s="3"/>
      <c r="AO222" s="3"/>
      <c r="AP222" s="3"/>
      <c r="AQ222" s="3" t="s">
        <v>5151</v>
      </c>
      <c r="AR222" s="3"/>
      <c r="AS222" s="3"/>
      <c r="AT222" s="3" t="s">
        <v>2359</v>
      </c>
      <c r="AU222" s="3"/>
      <c r="AV222" s="3">
        <v>0</v>
      </c>
      <c r="AW222" s="3"/>
      <c r="AX222" s="3" t="s">
        <v>4050</v>
      </c>
      <c r="AY222" s="3"/>
      <c r="AZ222" s="3"/>
      <c r="BA222" s="3"/>
      <c r="BB222" s="3" t="s">
        <v>2369</v>
      </c>
      <c r="BC222" s="3" t="s">
        <v>2370</v>
      </c>
      <c r="BD222" s="3" t="s">
        <v>2371</v>
      </c>
      <c r="BE222" s="3" t="s">
        <v>2553</v>
      </c>
      <c r="BF222" s="3">
        <v>1</v>
      </c>
      <c r="BG222" s="3">
        <v>-7.0068000000000001</v>
      </c>
      <c r="BH222" s="3">
        <v>107.2349</v>
      </c>
      <c r="BI222" s="3">
        <v>3217121010120030</v>
      </c>
      <c r="BJ222" s="3">
        <v>44</v>
      </c>
      <c r="BK222" s="3">
        <v>132</v>
      </c>
      <c r="BL222" s="3">
        <v>56</v>
      </c>
      <c r="BM222" s="3">
        <v>1</v>
      </c>
      <c r="BN222" s="3">
        <v>2</v>
      </c>
    </row>
    <row r="223" spans="1:66" hidden="1" x14ac:dyDescent="0.3">
      <c r="A223" s="3">
        <v>217</v>
      </c>
      <c r="B223" s="3" t="s">
        <v>4728</v>
      </c>
      <c r="C223" s="3" t="s">
        <v>4273</v>
      </c>
      <c r="D223" s="3" t="s">
        <v>53</v>
      </c>
      <c r="E223" s="3">
        <v>119321593</v>
      </c>
      <c r="F223" s="3" t="s">
        <v>2446</v>
      </c>
      <c r="G223" s="157">
        <v>40664</v>
      </c>
      <c r="H223" s="3">
        <v>3217114105110000</v>
      </c>
      <c r="I223" s="3" t="s">
        <v>2353</v>
      </c>
      <c r="J223" s="3" t="s">
        <v>2424</v>
      </c>
      <c r="K223" s="3">
        <v>3</v>
      </c>
      <c r="L223" s="3">
        <v>14</v>
      </c>
      <c r="M223" s="3"/>
      <c r="N223" s="3" t="s">
        <v>2425</v>
      </c>
      <c r="O223" s="3" t="s">
        <v>2426</v>
      </c>
      <c r="P223" s="3">
        <v>40562</v>
      </c>
      <c r="Q223" s="3" t="s">
        <v>2357</v>
      </c>
      <c r="R223" s="3" t="s">
        <v>2358</v>
      </c>
      <c r="S223" s="3"/>
      <c r="T223" s="3">
        <v>83174558699</v>
      </c>
      <c r="U223" s="3"/>
      <c r="V223" s="3"/>
      <c r="W223" s="3" t="s">
        <v>2369</v>
      </c>
      <c r="X223" s="3">
        <v>201521000249425</v>
      </c>
      <c r="Y223" s="3" t="s">
        <v>4729</v>
      </c>
      <c r="Z223" s="3">
        <v>1975</v>
      </c>
      <c r="AA223" s="3" t="s">
        <v>2361</v>
      </c>
      <c r="AB223" s="3" t="s">
        <v>2362</v>
      </c>
      <c r="AC223" s="3" t="s">
        <v>2403</v>
      </c>
      <c r="AD223" s="3"/>
      <c r="AE223" s="3" t="s">
        <v>4730</v>
      </c>
      <c r="AF223" s="3">
        <v>1981</v>
      </c>
      <c r="AG223" s="3" t="s">
        <v>2402</v>
      </c>
      <c r="AH223" s="3" t="s">
        <v>2365</v>
      </c>
      <c r="AI223" s="3" t="s">
        <v>2366</v>
      </c>
      <c r="AJ223" s="3"/>
      <c r="AK223" s="3"/>
      <c r="AL223" s="3"/>
      <c r="AM223" s="3" t="s">
        <v>2367</v>
      </c>
      <c r="AN223" s="3"/>
      <c r="AO223" s="3"/>
      <c r="AP223" s="3"/>
      <c r="AQ223" s="3" t="s">
        <v>5149</v>
      </c>
      <c r="AR223" s="3"/>
      <c r="AS223" s="3"/>
      <c r="AT223" s="3" t="s">
        <v>2359</v>
      </c>
      <c r="AU223" s="3"/>
      <c r="AV223" s="3">
        <v>0</v>
      </c>
      <c r="AW223" s="3"/>
      <c r="AX223" s="3" t="s">
        <v>4110</v>
      </c>
      <c r="AY223" s="3"/>
      <c r="AZ223" s="3"/>
      <c r="BA223" s="3"/>
      <c r="BB223" s="3" t="s">
        <v>2369</v>
      </c>
      <c r="BC223" s="3" t="s">
        <v>2443</v>
      </c>
      <c r="BD223" s="3" t="s">
        <v>2371</v>
      </c>
      <c r="BE223" s="3" t="s">
        <v>2430</v>
      </c>
      <c r="BF223" s="3">
        <v>2</v>
      </c>
      <c r="BG223" s="3">
        <v>-6.9514541999999997</v>
      </c>
      <c r="BH223" s="3">
        <v>107.4179645</v>
      </c>
      <c r="BI223" s="3"/>
      <c r="BJ223" s="3">
        <v>40</v>
      </c>
      <c r="BK223" s="3">
        <v>141</v>
      </c>
      <c r="BL223" s="3">
        <v>43</v>
      </c>
      <c r="BM223" s="3">
        <v>1</v>
      </c>
      <c r="BN223" s="3">
        <v>2</v>
      </c>
    </row>
    <row r="224" spans="1:66" hidden="1" x14ac:dyDescent="0.3">
      <c r="A224" s="3">
        <v>218</v>
      </c>
      <c r="B224" s="3" t="s">
        <v>3828</v>
      </c>
      <c r="C224" s="3" t="s">
        <v>4274</v>
      </c>
      <c r="D224" s="3" t="s">
        <v>52</v>
      </c>
      <c r="E224" s="3">
        <v>3111396906</v>
      </c>
      <c r="F224" s="3" t="s">
        <v>2377</v>
      </c>
      <c r="G224" s="157">
        <v>40664</v>
      </c>
      <c r="H224" s="3">
        <v>3217120105110000</v>
      </c>
      <c r="I224" s="3" t="s">
        <v>2353</v>
      </c>
      <c r="J224" s="3" t="s">
        <v>2394</v>
      </c>
      <c r="K224" s="3">
        <v>4</v>
      </c>
      <c r="L224" s="3">
        <v>9</v>
      </c>
      <c r="M224" s="3"/>
      <c r="N224" s="3" t="s">
        <v>4475</v>
      </c>
      <c r="O224" s="3" t="s">
        <v>2356</v>
      </c>
      <c r="P224" s="3">
        <v>40762</v>
      </c>
      <c r="Q224" s="3" t="s">
        <v>2357</v>
      </c>
      <c r="R224" s="3" t="s">
        <v>2358</v>
      </c>
      <c r="S224" s="3"/>
      <c r="T224" s="3"/>
      <c r="U224" s="3"/>
      <c r="V224" s="3"/>
      <c r="W224" s="3" t="s">
        <v>2359</v>
      </c>
      <c r="X224" s="3"/>
      <c r="Y224" s="3" t="s">
        <v>4731</v>
      </c>
      <c r="Z224" s="3">
        <v>1985</v>
      </c>
      <c r="AA224" s="3" t="s">
        <v>2361</v>
      </c>
      <c r="AB224" s="3" t="s">
        <v>2362</v>
      </c>
      <c r="AC224" s="3" t="s">
        <v>2363</v>
      </c>
      <c r="AD224" s="3">
        <v>3217121811850000</v>
      </c>
      <c r="AE224" s="3" t="s">
        <v>2404</v>
      </c>
      <c r="AF224" s="3">
        <v>1990</v>
      </c>
      <c r="AG224" s="3" t="s">
        <v>4732</v>
      </c>
      <c r="AH224" s="3" t="s">
        <v>2365</v>
      </c>
      <c r="AI224" s="3" t="s">
        <v>2366</v>
      </c>
      <c r="AJ224" s="3">
        <v>3217124708900020</v>
      </c>
      <c r="AK224" s="3"/>
      <c r="AL224" s="3"/>
      <c r="AM224" s="3"/>
      <c r="AN224" s="3"/>
      <c r="AO224" s="3"/>
      <c r="AP224" s="3"/>
      <c r="AQ224" s="3" t="s">
        <v>5149</v>
      </c>
      <c r="AR224" s="3"/>
      <c r="AS224" s="3"/>
      <c r="AT224" s="3" t="s">
        <v>2359</v>
      </c>
      <c r="AU224" s="3"/>
      <c r="AV224" s="3">
        <v>1</v>
      </c>
      <c r="AW224" s="3"/>
      <c r="AX224" s="3" t="s">
        <v>4733</v>
      </c>
      <c r="AY224" s="3"/>
      <c r="AZ224" s="3"/>
      <c r="BA224" s="3"/>
      <c r="BB224" s="3" t="s">
        <v>2369</v>
      </c>
      <c r="BC224" s="3" t="s">
        <v>2370</v>
      </c>
      <c r="BD224" s="3" t="s">
        <v>2371</v>
      </c>
      <c r="BE224" s="3"/>
      <c r="BF224" s="3">
        <v>1</v>
      </c>
      <c r="BG224" s="3">
        <v>-6.9625000000000004</v>
      </c>
      <c r="BH224" s="3">
        <v>107.4346</v>
      </c>
      <c r="BI224" s="3">
        <v>3217121306120110</v>
      </c>
      <c r="BJ224" s="3">
        <v>52</v>
      </c>
      <c r="BK224" s="3">
        <v>143</v>
      </c>
      <c r="BL224" s="3">
        <v>64</v>
      </c>
      <c r="BM224" s="3">
        <v>1</v>
      </c>
      <c r="BN224" s="3">
        <v>2</v>
      </c>
    </row>
    <row r="225" spans="1:66" s="219" customFormat="1" hidden="1" x14ac:dyDescent="0.3">
      <c r="A225" s="54">
        <v>219</v>
      </c>
      <c r="B225" s="54" t="s">
        <v>1852</v>
      </c>
      <c r="C225" s="54" t="s">
        <v>1580</v>
      </c>
      <c r="D225" s="54" t="s">
        <v>52</v>
      </c>
      <c r="E225" s="54">
        <v>96364157</v>
      </c>
      <c r="F225" s="54" t="s">
        <v>2373</v>
      </c>
      <c r="G225" s="108">
        <v>40012</v>
      </c>
      <c r="H225" s="54">
        <v>321711180709003</v>
      </c>
      <c r="I225" s="54" t="s">
        <v>2353</v>
      </c>
      <c r="J225" s="54" t="s">
        <v>2593</v>
      </c>
      <c r="K225" s="54">
        <v>3</v>
      </c>
      <c r="L225" s="54">
        <v>13</v>
      </c>
      <c r="M225" s="54"/>
      <c r="N225" s="54" t="s">
        <v>2425</v>
      </c>
      <c r="O225" s="54" t="s">
        <v>2426</v>
      </c>
      <c r="P225" s="54">
        <v>40562</v>
      </c>
      <c r="Q225" s="54" t="s">
        <v>2357</v>
      </c>
      <c r="R225" s="54" t="s">
        <v>2374</v>
      </c>
      <c r="S225" s="54"/>
      <c r="T225" s="54"/>
      <c r="U225" s="54"/>
      <c r="V225" s="54"/>
      <c r="W225" s="54" t="s">
        <v>2359</v>
      </c>
      <c r="X225" s="54"/>
      <c r="Y225" s="54"/>
      <c r="Z225" s="54">
        <v>0</v>
      </c>
      <c r="AA225" s="54"/>
      <c r="AB225" s="54"/>
      <c r="AC225" s="54"/>
      <c r="AD225" s="54"/>
      <c r="AE225" s="54" t="s">
        <v>3499</v>
      </c>
      <c r="AF225" s="54">
        <v>0</v>
      </c>
      <c r="AG225" s="54"/>
      <c r="AH225" s="54" t="s">
        <v>2365</v>
      </c>
      <c r="AI225" s="54" t="s">
        <v>2366</v>
      </c>
      <c r="AJ225" s="54"/>
      <c r="AK225" s="54"/>
      <c r="AL225" s="54"/>
      <c r="AM225" s="54"/>
      <c r="AN225" s="54"/>
      <c r="AO225" s="54"/>
      <c r="AP225" s="54"/>
      <c r="AQ225" s="54" t="s">
        <v>5147</v>
      </c>
      <c r="AR225" s="54"/>
      <c r="AS225" s="54"/>
      <c r="AT225" s="54" t="s">
        <v>2359</v>
      </c>
      <c r="AU225" s="54"/>
      <c r="AV225" s="54">
        <v>0</v>
      </c>
      <c r="AW225" s="54"/>
      <c r="AX225" s="54"/>
      <c r="AY225" s="54"/>
      <c r="AZ225" s="54"/>
      <c r="BA225" s="54"/>
      <c r="BB225" s="54" t="s">
        <v>2369</v>
      </c>
      <c r="BC225" s="54" t="s">
        <v>2370</v>
      </c>
      <c r="BD225" s="54" t="s">
        <v>2371</v>
      </c>
      <c r="BE225" s="54" t="s">
        <v>2905</v>
      </c>
      <c r="BF225" s="54">
        <v>1</v>
      </c>
      <c r="BG225" s="54">
        <v>-6.9625000000000004</v>
      </c>
      <c r="BH225" s="54">
        <v>107.4346</v>
      </c>
      <c r="BI225" s="54"/>
      <c r="BJ225" s="54">
        <v>41</v>
      </c>
      <c r="BK225" s="54">
        <v>133</v>
      </c>
      <c r="BL225" s="54">
        <v>54</v>
      </c>
      <c r="BM225" s="54">
        <v>2</v>
      </c>
      <c r="BN225" s="54">
        <v>1</v>
      </c>
    </row>
    <row r="226" spans="1:66" x14ac:dyDescent="0.3">
      <c r="A226" s="3">
        <v>220</v>
      </c>
      <c r="B226" s="3" t="s">
        <v>3943</v>
      </c>
      <c r="C226" s="3" t="s">
        <v>4402</v>
      </c>
      <c r="D226" s="3" t="s">
        <v>52</v>
      </c>
      <c r="E226" s="3">
        <v>106441699</v>
      </c>
      <c r="F226" s="3" t="s">
        <v>2377</v>
      </c>
      <c r="G226" s="157">
        <v>40510</v>
      </c>
      <c r="H226" s="3">
        <v>3217112811100000</v>
      </c>
      <c r="I226" s="3" t="s">
        <v>2353</v>
      </c>
      <c r="J226" s="3" t="s">
        <v>3236</v>
      </c>
      <c r="K226" s="3">
        <v>6</v>
      </c>
      <c r="L226" s="3">
        <v>1</v>
      </c>
      <c r="M226" s="3"/>
      <c r="N226" s="3" t="s">
        <v>4604</v>
      </c>
      <c r="O226" s="3" t="s">
        <v>2426</v>
      </c>
      <c r="P226" s="3">
        <v>40562</v>
      </c>
      <c r="Q226" s="3" t="s">
        <v>2357</v>
      </c>
      <c r="R226" s="3" t="s">
        <v>2358</v>
      </c>
      <c r="S226" s="3"/>
      <c r="T226" s="3"/>
      <c r="U226" s="3"/>
      <c r="V226" s="3"/>
      <c r="W226" s="3" t="s">
        <v>2369</v>
      </c>
      <c r="X226" s="3">
        <v>201521000249147</v>
      </c>
      <c r="Y226" s="3" t="s">
        <v>4080</v>
      </c>
      <c r="Z226" s="3">
        <v>1982</v>
      </c>
      <c r="AA226" s="3" t="s">
        <v>2402</v>
      </c>
      <c r="AB226" s="3" t="s">
        <v>2362</v>
      </c>
      <c r="AC226" s="3" t="s">
        <v>2363</v>
      </c>
      <c r="AD226" s="3">
        <v>3217110812820000</v>
      </c>
      <c r="AE226" s="3" t="s">
        <v>4081</v>
      </c>
      <c r="AF226" s="3">
        <v>1991</v>
      </c>
      <c r="AG226" s="3" t="s">
        <v>2402</v>
      </c>
      <c r="AH226" s="3" t="s">
        <v>2365</v>
      </c>
      <c r="AI226" s="3" t="s">
        <v>2366</v>
      </c>
      <c r="AJ226" s="3">
        <v>3217114203910000</v>
      </c>
      <c r="AK226" s="3"/>
      <c r="AL226" s="3"/>
      <c r="AM226" s="3" t="s">
        <v>2367</v>
      </c>
      <c r="AN226" s="3"/>
      <c r="AO226" s="3"/>
      <c r="AP226" s="3"/>
      <c r="AQ226" s="3" t="s">
        <v>5148</v>
      </c>
      <c r="AR226" s="3"/>
      <c r="AS226" s="3"/>
      <c r="AT226" s="3" t="s">
        <v>2359</v>
      </c>
      <c r="AU226" s="3"/>
      <c r="AV226" s="3">
        <v>0</v>
      </c>
      <c r="AW226" s="3"/>
      <c r="AX226" s="3">
        <v>9530376333</v>
      </c>
      <c r="AY226" s="3"/>
      <c r="AZ226" s="3"/>
      <c r="BA226" s="3"/>
      <c r="BB226" s="3" t="s">
        <v>2369</v>
      </c>
      <c r="BC226" s="3" t="s">
        <v>2370</v>
      </c>
      <c r="BD226" s="3" t="s">
        <v>2371</v>
      </c>
      <c r="BE226" s="3" t="s">
        <v>2691</v>
      </c>
      <c r="BF226" s="3">
        <v>1</v>
      </c>
      <c r="BG226" s="3">
        <v>-6.9743000000000004</v>
      </c>
      <c r="BH226" s="3">
        <v>107.43559999999999</v>
      </c>
      <c r="BI226" s="3">
        <v>3217112910150000</v>
      </c>
      <c r="BJ226" s="3">
        <v>35</v>
      </c>
      <c r="BK226" s="3">
        <v>130</v>
      </c>
      <c r="BL226" s="3">
        <v>0</v>
      </c>
      <c r="BM226" s="3">
        <v>0</v>
      </c>
      <c r="BN226" s="3">
        <v>1</v>
      </c>
    </row>
    <row r="227" spans="1:66" s="219" customFormat="1" hidden="1" x14ac:dyDescent="0.3">
      <c r="A227" s="54">
        <v>221</v>
      </c>
      <c r="B227" s="54" t="s">
        <v>1706</v>
      </c>
      <c r="C227" s="54" t="s">
        <v>2200</v>
      </c>
      <c r="D227" s="54" t="s">
        <v>52</v>
      </c>
      <c r="E227" s="54">
        <v>3099750355</v>
      </c>
      <c r="F227" s="54" t="s">
        <v>2373</v>
      </c>
      <c r="G227" s="108">
        <v>39962</v>
      </c>
      <c r="H227" s="54">
        <v>3217112903090000</v>
      </c>
      <c r="I227" s="54" t="s">
        <v>2353</v>
      </c>
      <c r="J227" s="54" t="s">
        <v>2616</v>
      </c>
      <c r="K227" s="54">
        <v>4</v>
      </c>
      <c r="L227" s="54">
        <v>7</v>
      </c>
      <c r="M227" s="54"/>
      <c r="N227" s="54" t="s">
        <v>2617</v>
      </c>
      <c r="O227" s="54" t="s">
        <v>2426</v>
      </c>
      <c r="P227" s="54">
        <v>40561</v>
      </c>
      <c r="Q227" s="54" t="s">
        <v>2357</v>
      </c>
      <c r="R227" s="54" t="s">
        <v>2358</v>
      </c>
      <c r="S227" s="54"/>
      <c r="T227" s="54"/>
      <c r="U227" s="54"/>
      <c r="V227" s="54"/>
      <c r="W227" s="54" t="s">
        <v>2359</v>
      </c>
      <c r="X227" s="54"/>
      <c r="Y227" s="54" t="s">
        <v>4734</v>
      </c>
      <c r="Z227" s="54">
        <v>1976</v>
      </c>
      <c r="AA227" s="54" t="s">
        <v>2390</v>
      </c>
      <c r="AB227" s="54" t="s">
        <v>2362</v>
      </c>
      <c r="AC227" s="54" t="s">
        <v>2363</v>
      </c>
      <c r="AD227" s="54">
        <v>3217110803760010</v>
      </c>
      <c r="AE227" s="54" t="s">
        <v>2824</v>
      </c>
      <c r="AF227" s="54">
        <v>1986</v>
      </c>
      <c r="AG227" s="54" t="s">
        <v>2402</v>
      </c>
      <c r="AH227" s="54" t="s">
        <v>2365</v>
      </c>
      <c r="AI227" s="54" t="s">
        <v>2366</v>
      </c>
      <c r="AJ227" s="54">
        <v>3217116903860000</v>
      </c>
      <c r="AK227" s="54"/>
      <c r="AL227" s="54"/>
      <c r="AM227" s="54"/>
      <c r="AN227" s="54"/>
      <c r="AO227" s="54"/>
      <c r="AP227" s="54"/>
      <c r="AQ227" s="54" t="s">
        <v>8179</v>
      </c>
      <c r="AR227" s="54"/>
      <c r="AS227" s="54"/>
      <c r="AT227" s="54" t="s">
        <v>2359</v>
      </c>
      <c r="AU227" s="54"/>
      <c r="AV227" s="54">
        <v>1</v>
      </c>
      <c r="AW227" s="54"/>
      <c r="AX227" s="54" t="s">
        <v>4735</v>
      </c>
      <c r="AY227" s="54"/>
      <c r="AZ227" s="54"/>
      <c r="BA227" s="54"/>
      <c r="BB227" s="54" t="s">
        <v>2369</v>
      </c>
      <c r="BC227" s="54" t="s">
        <v>2370</v>
      </c>
      <c r="BD227" s="54" t="s">
        <v>2371</v>
      </c>
      <c r="BE227" s="54" t="s">
        <v>2669</v>
      </c>
      <c r="BF227" s="54">
        <v>1</v>
      </c>
      <c r="BG227" s="54">
        <v>-6.9625000000000004</v>
      </c>
      <c r="BH227" s="54">
        <v>107.4346</v>
      </c>
      <c r="BI227" s="54">
        <v>3217111907170000</v>
      </c>
      <c r="BJ227" s="54">
        <v>44</v>
      </c>
      <c r="BK227" s="54">
        <v>136</v>
      </c>
      <c r="BL227" s="54">
        <v>56</v>
      </c>
      <c r="BM227" s="54">
        <v>1</v>
      </c>
      <c r="BN227" s="54">
        <v>2</v>
      </c>
    </row>
    <row r="228" spans="1:66" s="219" customFormat="1" hidden="1" x14ac:dyDescent="0.3">
      <c r="A228" s="54">
        <v>222</v>
      </c>
      <c r="B228" s="54" t="s">
        <v>1686</v>
      </c>
      <c r="C228" s="54" t="s">
        <v>2170</v>
      </c>
      <c r="D228" s="54" t="s">
        <v>52</v>
      </c>
      <c r="E228" s="54">
        <v>3102966602</v>
      </c>
      <c r="F228" s="54" t="s">
        <v>2446</v>
      </c>
      <c r="G228" s="108">
        <v>40326</v>
      </c>
      <c r="H228" s="54">
        <v>3217112805100000</v>
      </c>
      <c r="I228" s="54" t="s">
        <v>2353</v>
      </c>
      <c r="J228" s="54" t="s">
        <v>2695</v>
      </c>
      <c r="K228" s="54">
        <v>4</v>
      </c>
      <c r="L228" s="54">
        <v>12</v>
      </c>
      <c r="M228" s="54"/>
      <c r="N228" s="54" t="s">
        <v>2425</v>
      </c>
      <c r="O228" s="54" t="s">
        <v>2426</v>
      </c>
      <c r="P228" s="54">
        <v>40562</v>
      </c>
      <c r="Q228" s="54" t="s">
        <v>2357</v>
      </c>
      <c r="R228" s="54" t="s">
        <v>2358</v>
      </c>
      <c r="S228" s="54"/>
      <c r="T228" s="54"/>
      <c r="U228" s="54"/>
      <c r="V228" s="54"/>
      <c r="W228" s="54" t="s">
        <v>2359</v>
      </c>
      <c r="X228" s="54"/>
      <c r="Y228" s="54"/>
      <c r="Z228" s="54">
        <v>0</v>
      </c>
      <c r="AA228" s="54"/>
      <c r="AB228" s="54" t="s">
        <v>2362</v>
      </c>
      <c r="AC228" s="54"/>
      <c r="AD228" s="54"/>
      <c r="AE228" s="54" t="s">
        <v>2696</v>
      </c>
      <c r="AF228" s="54">
        <v>0</v>
      </c>
      <c r="AG228" s="54"/>
      <c r="AH228" s="54" t="s">
        <v>2365</v>
      </c>
      <c r="AI228" s="54" t="s">
        <v>2366</v>
      </c>
      <c r="AJ228" s="54"/>
      <c r="AK228" s="54"/>
      <c r="AL228" s="54"/>
      <c r="AM228" s="54"/>
      <c r="AN228" s="54"/>
      <c r="AO228" s="54"/>
      <c r="AP228" s="54"/>
      <c r="AQ228" s="54" t="s">
        <v>8180</v>
      </c>
      <c r="AR228" s="54"/>
      <c r="AS228" s="54"/>
      <c r="AT228" s="54" t="s">
        <v>2359</v>
      </c>
      <c r="AU228" s="54"/>
      <c r="AV228" s="54">
        <v>1</v>
      </c>
      <c r="AW228" s="54"/>
      <c r="AX228" s="54"/>
      <c r="AY228" s="54"/>
      <c r="AZ228" s="54"/>
      <c r="BA228" s="54"/>
      <c r="BB228" s="54" t="s">
        <v>2359</v>
      </c>
      <c r="BC228" s="54"/>
      <c r="BD228" s="54" t="s">
        <v>2371</v>
      </c>
      <c r="BE228" s="54" t="s">
        <v>2697</v>
      </c>
      <c r="BF228" s="54">
        <v>1</v>
      </c>
      <c r="BG228" s="54">
        <v>-6.9625000000000004</v>
      </c>
      <c r="BH228" s="54">
        <v>107.4346</v>
      </c>
      <c r="BI228" s="54"/>
      <c r="BJ228" s="54">
        <v>43</v>
      </c>
      <c r="BK228" s="54">
        <v>138</v>
      </c>
      <c r="BL228" s="54">
        <v>55</v>
      </c>
      <c r="BM228" s="54">
        <v>0</v>
      </c>
      <c r="BN228" s="54">
        <v>1</v>
      </c>
    </row>
    <row r="229" spans="1:66" s="219" customFormat="1" hidden="1" x14ac:dyDescent="0.3">
      <c r="A229" s="54">
        <v>223</v>
      </c>
      <c r="B229" s="54" t="s">
        <v>1771</v>
      </c>
      <c r="C229" s="54" t="s">
        <v>1407</v>
      </c>
      <c r="D229" s="54" t="s">
        <v>52</v>
      </c>
      <c r="E229" s="54">
        <v>98717254</v>
      </c>
      <c r="F229" s="54" t="s">
        <v>2373</v>
      </c>
      <c r="G229" s="108">
        <v>39940</v>
      </c>
      <c r="H229" s="54">
        <v>3217110705090000</v>
      </c>
      <c r="I229" s="54" t="s">
        <v>2353</v>
      </c>
      <c r="J229" s="54" t="s">
        <v>3134</v>
      </c>
      <c r="K229" s="54">
        <v>2</v>
      </c>
      <c r="L229" s="54">
        <v>7</v>
      </c>
      <c r="M229" s="54"/>
      <c r="N229" s="54" t="s">
        <v>2425</v>
      </c>
      <c r="O229" s="54" t="s">
        <v>2426</v>
      </c>
      <c r="P229" s="54">
        <v>40562</v>
      </c>
      <c r="Q229" s="54" t="s">
        <v>2357</v>
      </c>
      <c r="R229" s="54" t="s">
        <v>2358</v>
      </c>
      <c r="S229" s="54"/>
      <c r="T229" s="54"/>
      <c r="U229" s="54"/>
      <c r="V229" s="54"/>
      <c r="W229" s="54" t="s">
        <v>2359</v>
      </c>
      <c r="X229" s="54"/>
      <c r="Y229" s="54" t="s">
        <v>3135</v>
      </c>
      <c r="Z229" s="54">
        <v>1980</v>
      </c>
      <c r="AA229" s="54" t="s">
        <v>2390</v>
      </c>
      <c r="AB229" s="54" t="s">
        <v>2493</v>
      </c>
      <c r="AC229" s="54" t="s">
        <v>2375</v>
      </c>
      <c r="AD229" s="54">
        <v>3217110307780000</v>
      </c>
      <c r="AE229" s="54" t="s">
        <v>3170</v>
      </c>
      <c r="AF229" s="54">
        <v>1979</v>
      </c>
      <c r="AG229" s="54" t="s">
        <v>2361</v>
      </c>
      <c r="AH229" s="54" t="s">
        <v>2365</v>
      </c>
      <c r="AI229" s="54" t="s">
        <v>2366</v>
      </c>
      <c r="AJ229" s="54">
        <v>3217114206790010</v>
      </c>
      <c r="AK229" s="54"/>
      <c r="AL229" s="54"/>
      <c r="AM229" s="54"/>
      <c r="AN229" s="54"/>
      <c r="AO229" s="54"/>
      <c r="AP229" s="54"/>
      <c r="AQ229" s="54" t="s">
        <v>5147</v>
      </c>
      <c r="AR229" s="54"/>
      <c r="AS229" s="54"/>
      <c r="AT229" s="54" t="s">
        <v>2359</v>
      </c>
      <c r="AU229" s="54"/>
      <c r="AV229" s="54">
        <v>0</v>
      </c>
      <c r="AW229" s="54"/>
      <c r="AX229" s="54" t="s">
        <v>3136</v>
      </c>
      <c r="AY229" s="54"/>
      <c r="AZ229" s="54"/>
      <c r="BA229" s="54"/>
      <c r="BB229" s="54" t="s">
        <v>2369</v>
      </c>
      <c r="BC229" s="54" t="s">
        <v>2370</v>
      </c>
      <c r="BD229" s="54" t="s">
        <v>2371</v>
      </c>
      <c r="BE229" s="54" t="s">
        <v>3137</v>
      </c>
      <c r="BF229" s="54">
        <v>1</v>
      </c>
      <c r="BG229" s="54">
        <v>-6.9625000000000004</v>
      </c>
      <c r="BH229" s="54">
        <v>107.4346</v>
      </c>
      <c r="BI229" s="54">
        <v>3217111012120000</v>
      </c>
      <c r="BJ229" s="54">
        <v>44</v>
      </c>
      <c r="BK229" s="54">
        <v>145</v>
      </c>
      <c r="BL229" s="54">
        <v>57</v>
      </c>
      <c r="BM229" s="54">
        <v>1</v>
      </c>
      <c r="BN229" s="54">
        <v>1</v>
      </c>
    </row>
    <row r="230" spans="1:66" s="219" customFormat="1" hidden="1" x14ac:dyDescent="0.3">
      <c r="A230" s="54">
        <v>224</v>
      </c>
      <c r="B230" s="54" t="s">
        <v>1853</v>
      </c>
      <c r="C230" s="54" t="s">
        <v>1581</v>
      </c>
      <c r="D230" s="54" t="s">
        <v>52</v>
      </c>
      <c r="E230" s="54">
        <v>3084300849</v>
      </c>
      <c r="F230" s="54" t="s">
        <v>2373</v>
      </c>
      <c r="G230" s="108">
        <v>39760</v>
      </c>
      <c r="H230" s="54">
        <v>3217120811080000</v>
      </c>
      <c r="I230" s="54" t="s">
        <v>2353</v>
      </c>
      <c r="J230" s="54" t="s">
        <v>3500</v>
      </c>
      <c r="K230" s="54">
        <v>1</v>
      </c>
      <c r="L230" s="54">
        <v>9</v>
      </c>
      <c r="M230" s="54"/>
      <c r="N230" s="54" t="s">
        <v>2409</v>
      </c>
      <c r="O230" s="54" t="s">
        <v>2356</v>
      </c>
      <c r="P230" s="54">
        <v>40764</v>
      </c>
      <c r="Q230" s="54" t="s">
        <v>2357</v>
      </c>
      <c r="R230" s="54" t="s">
        <v>2374</v>
      </c>
      <c r="S230" s="54"/>
      <c r="T230" s="54"/>
      <c r="U230" s="54"/>
      <c r="V230" s="54"/>
      <c r="W230" s="54" t="s">
        <v>2359</v>
      </c>
      <c r="X230" s="54"/>
      <c r="Y230" s="54"/>
      <c r="Z230" s="54">
        <v>1983</v>
      </c>
      <c r="AA230" s="54" t="s">
        <v>2361</v>
      </c>
      <c r="AB230" s="54" t="s">
        <v>2362</v>
      </c>
      <c r="AC230" s="54" t="s">
        <v>2363</v>
      </c>
      <c r="AD230" s="54"/>
      <c r="AE230" s="54" t="s">
        <v>3501</v>
      </c>
      <c r="AF230" s="54">
        <v>1982</v>
      </c>
      <c r="AG230" s="54" t="s">
        <v>2390</v>
      </c>
      <c r="AH230" s="54" t="s">
        <v>2365</v>
      </c>
      <c r="AI230" s="54" t="s">
        <v>2366</v>
      </c>
      <c r="AJ230" s="54"/>
      <c r="AK230" s="54"/>
      <c r="AL230" s="54"/>
      <c r="AM230" s="54"/>
      <c r="AN230" s="54" t="s">
        <v>2365</v>
      </c>
      <c r="AO230" s="54"/>
      <c r="AP230" s="54"/>
      <c r="AQ230" s="54" t="s">
        <v>5147</v>
      </c>
      <c r="AR230" s="54"/>
      <c r="AS230" s="54"/>
      <c r="AT230" s="54" t="s">
        <v>2359</v>
      </c>
      <c r="AU230" s="54"/>
      <c r="AV230" s="54">
        <v>0</v>
      </c>
      <c r="AW230" s="54"/>
      <c r="AX230" s="54" t="s">
        <v>3502</v>
      </c>
      <c r="AY230" s="54"/>
      <c r="AZ230" s="54"/>
      <c r="BA230" s="54"/>
      <c r="BB230" s="54" t="s">
        <v>2369</v>
      </c>
      <c r="BC230" s="54" t="s">
        <v>2370</v>
      </c>
      <c r="BD230" s="54" t="s">
        <v>2371</v>
      </c>
      <c r="BE230" s="54"/>
      <c r="BF230" s="54">
        <v>1</v>
      </c>
      <c r="BG230" s="54">
        <v>-6.9625000000000004</v>
      </c>
      <c r="BH230" s="54">
        <v>107.4346</v>
      </c>
      <c r="BI230" s="54">
        <v>3217121102130010</v>
      </c>
      <c r="BJ230" s="54">
        <v>41</v>
      </c>
      <c r="BK230" s="54">
        <v>142</v>
      </c>
      <c r="BL230" s="54">
        <v>58</v>
      </c>
      <c r="BM230" s="54">
        <v>3</v>
      </c>
      <c r="BN230" s="54">
        <v>1</v>
      </c>
    </row>
    <row r="231" spans="1:66" s="219" customFormat="1" hidden="1" x14ac:dyDescent="0.3">
      <c r="A231" s="54">
        <v>225</v>
      </c>
      <c r="B231" s="54" t="s">
        <v>1751</v>
      </c>
      <c r="C231" s="54" t="s">
        <v>2259</v>
      </c>
      <c r="D231" s="54" t="s">
        <v>52</v>
      </c>
      <c r="E231" s="54">
        <v>96166303</v>
      </c>
      <c r="F231" s="54" t="s">
        <v>2373</v>
      </c>
      <c r="G231" s="108">
        <v>39946</v>
      </c>
      <c r="H231" s="54">
        <v>3217111305090000</v>
      </c>
      <c r="I231" s="54" t="s">
        <v>2353</v>
      </c>
      <c r="J231" s="54" t="s">
        <v>2593</v>
      </c>
      <c r="K231" s="54">
        <v>2</v>
      </c>
      <c r="L231" s="54">
        <v>13</v>
      </c>
      <c r="M231" s="54"/>
      <c r="N231" s="54" t="s">
        <v>2425</v>
      </c>
      <c r="O231" s="54" t="s">
        <v>2426</v>
      </c>
      <c r="P231" s="54">
        <v>40562</v>
      </c>
      <c r="Q231" s="54" t="s">
        <v>2357</v>
      </c>
      <c r="R231" s="54" t="s">
        <v>2358</v>
      </c>
      <c r="S231" s="54"/>
      <c r="T231" s="54"/>
      <c r="U231" s="54"/>
      <c r="V231" s="54"/>
      <c r="W231" s="54" t="s">
        <v>2359</v>
      </c>
      <c r="X231" s="54"/>
      <c r="Y231" s="54" t="s">
        <v>4736</v>
      </c>
      <c r="Z231" s="54">
        <v>0</v>
      </c>
      <c r="AA231" s="54" t="s">
        <v>2390</v>
      </c>
      <c r="AB231" s="54" t="s">
        <v>2362</v>
      </c>
      <c r="AC231" s="54" t="s">
        <v>2363</v>
      </c>
      <c r="AD231" s="54"/>
      <c r="AE231" s="54" t="s">
        <v>3029</v>
      </c>
      <c r="AF231" s="54">
        <v>0</v>
      </c>
      <c r="AG231" s="54" t="s">
        <v>2390</v>
      </c>
      <c r="AH231" s="54" t="s">
        <v>2365</v>
      </c>
      <c r="AI231" s="54" t="s">
        <v>2366</v>
      </c>
      <c r="AJ231" s="54"/>
      <c r="AK231" s="54"/>
      <c r="AL231" s="54"/>
      <c r="AM231" s="54"/>
      <c r="AN231" s="54"/>
      <c r="AO231" s="54"/>
      <c r="AP231" s="54"/>
      <c r="AQ231" s="54" t="s">
        <v>8182</v>
      </c>
      <c r="AR231" s="54"/>
      <c r="AS231" s="54"/>
      <c r="AT231" s="54" t="s">
        <v>2359</v>
      </c>
      <c r="AU231" s="54"/>
      <c r="AV231" s="54">
        <v>1</v>
      </c>
      <c r="AW231" s="54"/>
      <c r="AX231" s="54"/>
      <c r="AY231" s="54"/>
      <c r="AZ231" s="54"/>
      <c r="BA231" s="54"/>
      <c r="BB231" s="54" t="s">
        <v>2369</v>
      </c>
      <c r="BC231" s="54" t="s">
        <v>2370</v>
      </c>
      <c r="BD231" s="54" t="s">
        <v>2371</v>
      </c>
      <c r="BE231" s="54" t="s">
        <v>2376</v>
      </c>
      <c r="BF231" s="54">
        <v>1</v>
      </c>
      <c r="BG231" s="54">
        <v>-6.9625000000000004</v>
      </c>
      <c r="BH231" s="54">
        <v>107.4346</v>
      </c>
      <c r="BI231" s="54"/>
      <c r="BJ231" s="54">
        <v>41</v>
      </c>
      <c r="BK231" s="54">
        <v>138</v>
      </c>
      <c r="BL231" s="54">
        <v>54</v>
      </c>
      <c r="BM231" s="54">
        <v>1</v>
      </c>
      <c r="BN231" s="54">
        <v>1</v>
      </c>
    </row>
    <row r="232" spans="1:66" s="219" customFormat="1" hidden="1" x14ac:dyDescent="0.3">
      <c r="A232" s="54">
        <v>226</v>
      </c>
      <c r="B232" s="54" t="s">
        <v>1702</v>
      </c>
      <c r="C232" s="54" t="s">
        <v>2202</v>
      </c>
      <c r="D232" s="54" t="s">
        <v>52</v>
      </c>
      <c r="E232" s="54">
        <v>103072949</v>
      </c>
      <c r="F232" s="54" t="s">
        <v>2446</v>
      </c>
      <c r="G232" s="108">
        <v>40319</v>
      </c>
      <c r="H232" s="54">
        <v>3217122105100000</v>
      </c>
      <c r="I232" s="54" t="s">
        <v>2353</v>
      </c>
      <c r="J232" s="54" t="s">
        <v>2825</v>
      </c>
      <c r="K232" s="54">
        <v>3</v>
      </c>
      <c r="L232" s="54">
        <v>5</v>
      </c>
      <c r="M232" s="54"/>
      <c r="N232" s="54" t="s">
        <v>2409</v>
      </c>
      <c r="O232" s="54" t="s">
        <v>2356</v>
      </c>
      <c r="P232" s="54">
        <v>40562</v>
      </c>
      <c r="Q232" s="54" t="s">
        <v>2357</v>
      </c>
      <c r="R232" s="54" t="s">
        <v>2358</v>
      </c>
      <c r="S232" s="54"/>
      <c r="T232" s="54"/>
      <c r="U232" s="54"/>
      <c r="V232" s="54"/>
      <c r="W232" s="54" t="s">
        <v>2359</v>
      </c>
      <c r="X232" s="54"/>
      <c r="Y232" s="54"/>
      <c r="Z232" s="54">
        <v>0</v>
      </c>
      <c r="AA232" s="54"/>
      <c r="AB232" s="54" t="s">
        <v>2362</v>
      </c>
      <c r="AC232" s="54" t="s">
        <v>2375</v>
      </c>
      <c r="AD232" s="54"/>
      <c r="AE232" s="54" t="s">
        <v>2826</v>
      </c>
      <c r="AF232" s="54">
        <v>0</v>
      </c>
      <c r="AG232" s="54"/>
      <c r="AH232" s="54" t="s">
        <v>2365</v>
      </c>
      <c r="AI232" s="54" t="s">
        <v>2366</v>
      </c>
      <c r="AJ232" s="54"/>
      <c r="AK232" s="54"/>
      <c r="AL232" s="54"/>
      <c r="AM232" s="54"/>
      <c r="AN232" s="54"/>
      <c r="AO232" s="54"/>
      <c r="AP232" s="54"/>
      <c r="AQ232" s="54" t="s">
        <v>8179</v>
      </c>
      <c r="AR232" s="54"/>
      <c r="AS232" s="54"/>
      <c r="AT232" s="54" t="s">
        <v>2359</v>
      </c>
      <c r="AU232" s="54"/>
      <c r="AV232" s="54">
        <v>1</v>
      </c>
      <c r="AW232" s="54"/>
      <c r="AX232" s="54"/>
      <c r="AY232" s="54"/>
      <c r="AZ232" s="54"/>
      <c r="BA232" s="54"/>
      <c r="BB232" s="54" t="s">
        <v>2359</v>
      </c>
      <c r="BC232" s="54"/>
      <c r="BD232" s="54" t="s">
        <v>2371</v>
      </c>
      <c r="BE232" s="54" t="s">
        <v>2376</v>
      </c>
      <c r="BF232" s="54">
        <v>1</v>
      </c>
      <c r="BG232" s="54">
        <v>-6.9625000000000004</v>
      </c>
      <c r="BH232" s="54">
        <v>107.4346</v>
      </c>
      <c r="BI232" s="54"/>
      <c r="BJ232" s="54">
        <v>43</v>
      </c>
      <c r="BK232" s="54">
        <v>138</v>
      </c>
      <c r="BL232" s="54">
        <v>58</v>
      </c>
      <c r="BM232" s="54">
        <v>1</v>
      </c>
      <c r="BN232" s="54">
        <v>3</v>
      </c>
    </row>
    <row r="233" spans="1:66" hidden="1" x14ac:dyDescent="0.3">
      <c r="A233" s="3">
        <v>227</v>
      </c>
      <c r="B233" s="3" t="s">
        <v>4737</v>
      </c>
      <c r="C233" s="3" t="s">
        <v>4340</v>
      </c>
      <c r="D233" s="3" t="s">
        <v>52</v>
      </c>
      <c r="E233" s="3">
        <v>117265926</v>
      </c>
      <c r="F233" s="3" t="s">
        <v>2446</v>
      </c>
      <c r="G233" s="157">
        <v>40730</v>
      </c>
      <c r="H233" s="3">
        <v>3217110607110000</v>
      </c>
      <c r="I233" s="3" t="s">
        <v>2353</v>
      </c>
      <c r="J233" s="3" t="s">
        <v>4738</v>
      </c>
      <c r="K233" s="3">
        <v>4</v>
      </c>
      <c r="L233" s="3">
        <v>9</v>
      </c>
      <c r="M233" s="3" t="s">
        <v>4739</v>
      </c>
      <c r="N233" s="3" t="s">
        <v>4740</v>
      </c>
      <c r="O233" s="3" t="s">
        <v>2426</v>
      </c>
      <c r="P233" s="3">
        <v>40562</v>
      </c>
      <c r="Q233" s="3" t="s">
        <v>2357</v>
      </c>
      <c r="R233" s="3" t="s">
        <v>2358</v>
      </c>
      <c r="S233" s="3"/>
      <c r="T233" s="3">
        <v>82216638990</v>
      </c>
      <c r="U233" s="3"/>
      <c r="V233" s="3"/>
      <c r="W233" s="3" t="s">
        <v>2359</v>
      </c>
      <c r="X233" s="3"/>
      <c r="Y233" s="3" t="s">
        <v>4204</v>
      </c>
      <c r="Z233" s="3">
        <v>1973</v>
      </c>
      <c r="AA233" s="3" t="s">
        <v>2361</v>
      </c>
      <c r="AB233" s="3" t="s">
        <v>2362</v>
      </c>
      <c r="AC233" s="3" t="s">
        <v>2403</v>
      </c>
      <c r="AD233" s="3"/>
      <c r="AE233" s="3" t="s">
        <v>705</v>
      </c>
      <c r="AF233" s="3">
        <v>1994</v>
      </c>
      <c r="AG233" s="3" t="s">
        <v>2361</v>
      </c>
      <c r="AH233" s="3" t="s">
        <v>2365</v>
      </c>
      <c r="AI233" s="3" t="s">
        <v>2366</v>
      </c>
      <c r="AJ233" s="3">
        <v>3217115305940000</v>
      </c>
      <c r="AK233" s="3"/>
      <c r="AL233" s="3"/>
      <c r="AM233" s="3" t="s">
        <v>2367</v>
      </c>
      <c r="AN233" s="3"/>
      <c r="AO233" s="3"/>
      <c r="AP233" s="3"/>
      <c r="AQ233" s="3" t="s">
        <v>5152</v>
      </c>
      <c r="AR233" s="3"/>
      <c r="AS233" s="3"/>
      <c r="AT233" s="3" t="s">
        <v>2359</v>
      </c>
      <c r="AU233" s="3"/>
      <c r="AV233" s="3">
        <v>0</v>
      </c>
      <c r="AW233" s="3"/>
      <c r="AX233" s="3" t="s">
        <v>4741</v>
      </c>
      <c r="AY233" s="3"/>
      <c r="AZ233" s="3"/>
      <c r="BA233" s="3"/>
      <c r="BB233" s="3" t="s">
        <v>2369</v>
      </c>
      <c r="BC233" s="3" t="s">
        <v>2370</v>
      </c>
      <c r="BD233" s="3" t="s">
        <v>2371</v>
      </c>
      <c r="BE233" s="3" t="s">
        <v>4742</v>
      </c>
      <c r="BF233" s="3">
        <v>1</v>
      </c>
      <c r="BG233" s="3">
        <v>-69.369</v>
      </c>
      <c r="BH233" s="3">
        <v>1.073</v>
      </c>
      <c r="BI233" s="3">
        <v>3217111108120020</v>
      </c>
      <c r="BJ233" s="3">
        <v>44</v>
      </c>
      <c r="BK233" s="3">
        <v>143</v>
      </c>
      <c r="BL233" s="3">
        <v>56</v>
      </c>
      <c r="BM233" s="3">
        <v>1</v>
      </c>
      <c r="BN233" s="3">
        <v>4</v>
      </c>
    </row>
    <row r="234" spans="1:66" s="219" customFormat="1" hidden="1" x14ac:dyDescent="0.3">
      <c r="A234" s="54">
        <v>228</v>
      </c>
      <c r="B234" s="54" t="s">
        <v>1797</v>
      </c>
      <c r="C234" s="54" t="s">
        <v>1435</v>
      </c>
      <c r="D234" s="54" t="s">
        <v>52</v>
      </c>
      <c r="E234" s="54">
        <v>87585892</v>
      </c>
      <c r="F234" s="54" t="s">
        <v>2373</v>
      </c>
      <c r="G234" s="108">
        <v>39770</v>
      </c>
      <c r="H234" s="54">
        <v>3217121811080000</v>
      </c>
      <c r="I234" s="54" t="s">
        <v>2353</v>
      </c>
      <c r="J234" s="54" t="s">
        <v>2757</v>
      </c>
      <c r="K234" s="54">
        <v>2</v>
      </c>
      <c r="L234" s="54">
        <v>2</v>
      </c>
      <c r="M234" s="54"/>
      <c r="N234" s="54" t="s">
        <v>2513</v>
      </c>
      <c r="O234" s="54" t="s">
        <v>2356</v>
      </c>
      <c r="P234" s="54">
        <v>40562</v>
      </c>
      <c r="Q234" s="54" t="s">
        <v>2357</v>
      </c>
      <c r="R234" s="54" t="s">
        <v>2358</v>
      </c>
      <c r="S234" s="54"/>
      <c r="T234" s="54">
        <v>83821682747</v>
      </c>
      <c r="U234" s="54"/>
      <c r="V234" s="54"/>
      <c r="W234" s="54" t="s">
        <v>2359</v>
      </c>
      <c r="X234" s="54"/>
      <c r="Y234" s="54" t="s">
        <v>3272</v>
      </c>
      <c r="Z234" s="54">
        <v>1972</v>
      </c>
      <c r="AA234" s="54" t="s">
        <v>2361</v>
      </c>
      <c r="AB234" s="54" t="s">
        <v>2362</v>
      </c>
      <c r="AC234" s="54" t="s">
        <v>2363</v>
      </c>
      <c r="AD234" s="54">
        <v>3217120107720230</v>
      </c>
      <c r="AE234" s="54" t="s">
        <v>3273</v>
      </c>
      <c r="AF234" s="54">
        <v>1977</v>
      </c>
      <c r="AG234" s="54" t="s">
        <v>2361</v>
      </c>
      <c r="AH234" s="54" t="s">
        <v>2365</v>
      </c>
      <c r="AI234" s="54" t="s">
        <v>2366</v>
      </c>
      <c r="AJ234" s="54">
        <v>3217124404770010</v>
      </c>
      <c r="AK234" s="54"/>
      <c r="AL234" s="54"/>
      <c r="AM234" s="54"/>
      <c r="AN234" s="54"/>
      <c r="AO234" s="54"/>
      <c r="AP234" s="54"/>
      <c r="AQ234" s="54" t="s">
        <v>5147</v>
      </c>
      <c r="AR234" s="54"/>
      <c r="AS234" s="54"/>
      <c r="AT234" s="54" t="s">
        <v>2359</v>
      </c>
      <c r="AU234" s="54"/>
      <c r="AV234" s="54">
        <v>0</v>
      </c>
      <c r="AW234" s="54"/>
      <c r="AX234" s="54"/>
      <c r="AY234" s="54"/>
      <c r="AZ234" s="54"/>
      <c r="BA234" s="54"/>
      <c r="BB234" s="54" t="s">
        <v>2369</v>
      </c>
      <c r="BC234" s="54" t="s">
        <v>2370</v>
      </c>
      <c r="BD234" s="54" t="s">
        <v>2371</v>
      </c>
      <c r="BE234" s="54"/>
      <c r="BF234" s="54">
        <v>1</v>
      </c>
      <c r="BG234" s="54">
        <v>-7.0068000000000001</v>
      </c>
      <c r="BH234" s="54">
        <v>107.2349</v>
      </c>
      <c r="BI234" s="54">
        <v>3217121607120080</v>
      </c>
      <c r="BJ234" s="54">
        <v>51</v>
      </c>
      <c r="BK234" s="54">
        <v>123</v>
      </c>
      <c r="BL234" s="54">
        <v>43</v>
      </c>
      <c r="BM234" s="54">
        <v>2</v>
      </c>
      <c r="BN234" s="54">
        <v>1</v>
      </c>
    </row>
    <row r="235" spans="1:66" hidden="1" x14ac:dyDescent="0.3">
      <c r="A235" s="3">
        <v>229</v>
      </c>
      <c r="B235" s="3" t="s">
        <v>4743</v>
      </c>
      <c r="C235" s="3" t="s">
        <v>4337</v>
      </c>
      <c r="D235" s="3" t="s">
        <v>52</v>
      </c>
      <c r="E235" s="3">
        <v>107265915</v>
      </c>
      <c r="F235" s="3" t="s">
        <v>2373</v>
      </c>
      <c r="G235" s="157">
        <v>40538</v>
      </c>
      <c r="H235" s="3">
        <v>3217112612100000</v>
      </c>
      <c r="I235" s="3" t="s">
        <v>2353</v>
      </c>
      <c r="J235" s="3" t="s">
        <v>4738</v>
      </c>
      <c r="K235" s="3">
        <v>4</v>
      </c>
      <c r="L235" s="3">
        <v>9</v>
      </c>
      <c r="M235" s="3" t="s">
        <v>4739</v>
      </c>
      <c r="N235" s="3" t="s">
        <v>4744</v>
      </c>
      <c r="O235" s="3" t="s">
        <v>2426</v>
      </c>
      <c r="P235" s="3">
        <v>40562</v>
      </c>
      <c r="Q235" s="3" t="s">
        <v>2357</v>
      </c>
      <c r="R235" s="3" t="s">
        <v>2374</v>
      </c>
      <c r="S235" s="3"/>
      <c r="T235" s="3">
        <v>82216638990</v>
      </c>
      <c r="U235" s="3"/>
      <c r="V235" s="3"/>
      <c r="W235" s="3" t="s">
        <v>2359</v>
      </c>
      <c r="X235" s="3"/>
      <c r="Y235" s="3" t="s">
        <v>4205</v>
      </c>
      <c r="Z235" s="3">
        <v>1982</v>
      </c>
      <c r="AA235" s="3" t="s">
        <v>2361</v>
      </c>
      <c r="AB235" s="3" t="s">
        <v>2362</v>
      </c>
      <c r="AC235" s="3" t="s">
        <v>2403</v>
      </c>
      <c r="AD235" s="3"/>
      <c r="AE235" s="3" t="s">
        <v>4206</v>
      </c>
      <c r="AF235" s="3">
        <v>1980</v>
      </c>
      <c r="AG235" s="3" t="s">
        <v>2361</v>
      </c>
      <c r="AH235" s="3" t="s">
        <v>2365</v>
      </c>
      <c r="AI235" s="3" t="s">
        <v>2366</v>
      </c>
      <c r="AJ235" s="3">
        <v>3217115310700000</v>
      </c>
      <c r="AK235" s="3"/>
      <c r="AL235" s="3"/>
      <c r="AM235" s="3" t="s">
        <v>2367</v>
      </c>
      <c r="AN235" s="3"/>
      <c r="AO235" s="3"/>
      <c r="AP235" s="3"/>
      <c r="AQ235" s="3" t="s">
        <v>5152</v>
      </c>
      <c r="AR235" s="3"/>
      <c r="AS235" s="3"/>
      <c r="AT235" s="3" t="s">
        <v>2359</v>
      </c>
      <c r="AU235" s="3"/>
      <c r="AV235" s="3">
        <v>0</v>
      </c>
      <c r="AW235" s="3"/>
      <c r="AX235" s="3" t="s">
        <v>4745</v>
      </c>
      <c r="AY235" s="3"/>
      <c r="AZ235" s="3"/>
      <c r="BA235" s="3"/>
      <c r="BB235" s="3" t="s">
        <v>2369</v>
      </c>
      <c r="BC235" s="3" t="s">
        <v>2868</v>
      </c>
      <c r="BD235" s="3" t="s">
        <v>2371</v>
      </c>
      <c r="BE235" s="3" t="s">
        <v>4742</v>
      </c>
      <c r="BF235" s="3">
        <v>1</v>
      </c>
      <c r="BG235" s="3">
        <v>-6.9351000000000003</v>
      </c>
      <c r="BH235" s="3">
        <v>107.38939999999999</v>
      </c>
      <c r="BI235" s="3">
        <v>3217112301070010</v>
      </c>
      <c r="BJ235" s="3">
        <v>57</v>
      </c>
      <c r="BK235" s="3">
        <v>140</v>
      </c>
      <c r="BL235" s="3">
        <v>55</v>
      </c>
      <c r="BM235" s="3">
        <v>1</v>
      </c>
      <c r="BN235" s="3">
        <v>3</v>
      </c>
    </row>
    <row r="236" spans="1:66" s="219" customFormat="1" hidden="1" x14ac:dyDescent="0.3">
      <c r="A236" s="54">
        <v>230</v>
      </c>
      <c r="B236" s="54" t="s">
        <v>1904</v>
      </c>
      <c r="C236" s="54" t="s">
        <v>1558</v>
      </c>
      <c r="D236" s="54" t="s">
        <v>52</v>
      </c>
      <c r="E236" s="54">
        <v>87884013</v>
      </c>
      <c r="F236" s="54" t="s">
        <v>2377</v>
      </c>
      <c r="G236" s="108">
        <v>39779</v>
      </c>
      <c r="H236" s="54">
        <v>3217122711080000</v>
      </c>
      <c r="I236" s="54" t="s">
        <v>2353</v>
      </c>
      <c r="J236" s="54" t="s">
        <v>3718</v>
      </c>
      <c r="K236" s="54">
        <v>1</v>
      </c>
      <c r="L236" s="54">
        <v>8</v>
      </c>
      <c r="M236" s="54" t="s">
        <v>2398</v>
      </c>
      <c r="N236" s="54" t="s">
        <v>2399</v>
      </c>
      <c r="O236" s="54" t="s">
        <v>2356</v>
      </c>
      <c r="P236" s="54">
        <v>40564</v>
      </c>
      <c r="Q236" s="54" t="s">
        <v>2357</v>
      </c>
      <c r="R236" s="54" t="s">
        <v>2358</v>
      </c>
      <c r="S236" s="54"/>
      <c r="T236" s="54">
        <v>83101908154</v>
      </c>
      <c r="U236" s="54"/>
      <c r="V236" s="54"/>
      <c r="W236" s="54" t="s">
        <v>2359</v>
      </c>
      <c r="X236" s="54"/>
      <c r="Y236" s="54" t="s">
        <v>3719</v>
      </c>
      <c r="Z236" s="54">
        <v>1986</v>
      </c>
      <c r="AA236" s="54" t="s">
        <v>2402</v>
      </c>
      <c r="AB236" s="54" t="s">
        <v>2362</v>
      </c>
      <c r="AC236" s="54" t="s">
        <v>2363</v>
      </c>
      <c r="AD236" s="54"/>
      <c r="AE236" s="54" t="s">
        <v>3720</v>
      </c>
      <c r="AF236" s="54">
        <v>1987</v>
      </c>
      <c r="AG236" s="54" t="s">
        <v>2390</v>
      </c>
      <c r="AH236" s="54" t="s">
        <v>2365</v>
      </c>
      <c r="AI236" s="54" t="s">
        <v>2366</v>
      </c>
      <c r="AJ236" s="54"/>
      <c r="AK236" s="54"/>
      <c r="AL236" s="54"/>
      <c r="AM236" s="54"/>
      <c r="AN236" s="54"/>
      <c r="AO236" s="54"/>
      <c r="AP236" s="54"/>
      <c r="AQ236" s="54" t="s">
        <v>5147</v>
      </c>
      <c r="AR236" s="54"/>
      <c r="AS236" s="54"/>
      <c r="AT236" s="54" t="s">
        <v>2359</v>
      </c>
      <c r="AU236" s="54"/>
      <c r="AV236" s="54">
        <v>0</v>
      </c>
      <c r="AW236" s="54"/>
      <c r="AX236" s="54"/>
      <c r="AY236" s="54"/>
      <c r="AZ236" s="54"/>
      <c r="BA236" s="54"/>
      <c r="BB236" s="54" t="s">
        <v>2369</v>
      </c>
      <c r="BC236" s="54" t="s">
        <v>2370</v>
      </c>
      <c r="BD236" s="54" t="s">
        <v>2371</v>
      </c>
      <c r="BE236" s="54"/>
      <c r="BF236" s="54">
        <v>1</v>
      </c>
      <c r="BG236" s="54">
        <v>-6.9486999999999997</v>
      </c>
      <c r="BH236" s="54">
        <v>107.3831</v>
      </c>
      <c r="BI236" s="54">
        <v>3217122411170010</v>
      </c>
      <c r="BJ236" s="54">
        <v>49</v>
      </c>
      <c r="BK236" s="54">
        <v>152</v>
      </c>
      <c r="BL236" s="54">
        <v>58</v>
      </c>
      <c r="BM236" s="54">
        <v>1</v>
      </c>
      <c r="BN236" s="54">
        <v>1</v>
      </c>
    </row>
    <row r="237" spans="1:66" s="219" customFormat="1" hidden="1" x14ac:dyDescent="0.3">
      <c r="A237" s="54">
        <v>231</v>
      </c>
      <c r="B237" s="54" t="s">
        <v>2698</v>
      </c>
      <c r="C237" s="54" t="s">
        <v>2169</v>
      </c>
      <c r="D237" s="54" t="s">
        <v>52</v>
      </c>
      <c r="E237" s="54">
        <v>103758722</v>
      </c>
      <c r="F237" s="54" t="s">
        <v>2373</v>
      </c>
      <c r="G237" s="108">
        <v>40358</v>
      </c>
      <c r="H237" s="54">
        <v>3217122906100000</v>
      </c>
      <c r="I237" s="54" t="s">
        <v>2353</v>
      </c>
      <c r="J237" s="54" t="s">
        <v>2699</v>
      </c>
      <c r="K237" s="54">
        <v>3</v>
      </c>
      <c r="L237" s="54">
        <v>10</v>
      </c>
      <c r="M237" s="54"/>
      <c r="N237" s="54" t="s">
        <v>2513</v>
      </c>
      <c r="O237" s="54" t="s">
        <v>2356</v>
      </c>
      <c r="P237" s="54"/>
      <c r="Q237" s="54" t="s">
        <v>2357</v>
      </c>
      <c r="R237" s="54" t="s">
        <v>2358</v>
      </c>
      <c r="S237" s="54"/>
      <c r="T237" s="54">
        <v>83174848548</v>
      </c>
      <c r="U237" s="54"/>
      <c r="V237" s="54"/>
      <c r="W237" s="54" t="s">
        <v>2359</v>
      </c>
      <c r="X237" s="54"/>
      <c r="Y237" s="54" t="s">
        <v>4746</v>
      </c>
      <c r="Z237" s="54">
        <v>1980</v>
      </c>
      <c r="AA237" s="54" t="s">
        <v>2402</v>
      </c>
      <c r="AB237" s="54" t="s">
        <v>2362</v>
      </c>
      <c r="AC237" s="54" t="s">
        <v>2363</v>
      </c>
      <c r="AD237" s="54">
        <v>3217120101840070</v>
      </c>
      <c r="AE237" s="54" t="s">
        <v>2700</v>
      </c>
      <c r="AF237" s="54">
        <v>1982</v>
      </c>
      <c r="AG237" s="54" t="s">
        <v>2402</v>
      </c>
      <c r="AH237" s="54" t="s">
        <v>2365</v>
      </c>
      <c r="AI237" s="54" t="s">
        <v>2366</v>
      </c>
      <c r="AJ237" s="54">
        <v>3217124404900020</v>
      </c>
      <c r="AK237" s="54"/>
      <c r="AL237" s="54"/>
      <c r="AM237" s="54" t="s">
        <v>2367</v>
      </c>
      <c r="AN237" s="54"/>
      <c r="AO237" s="54"/>
      <c r="AP237" s="54"/>
      <c r="AQ237" s="54" t="s">
        <v>8180</v>
      </c>
      <c r="AR237" s="54"/>
      <c r="AS237" s="54"/>
      <c r="AT237" s="54" t="s">
        <v>2359</v>
      </c>
      <c r="AU237" s="54"/>
      <c r="AV237" s="54">
        <v>0</v>
      </c>
      <c r="AW237" s="54"/>
      <c r="AX237" s="54" t="s">
        <v>2701</v>
      </c>
      <c r="AY237" s="54"/>
      <c r="AZ237" s="54"/>
      <c r="BA237" s="54"/>
      <c r="BB237" s="54" t="s">
        <v>2369</v>
      </c>
      <c r="BC237" s="54" t="s">
        <v>2370</v>
      </c>
      <c r="BD237" s="54" t="s">
        <v>2371</v>
      </c>
      <c r="BE237" s="54" t="s">
        <v>2553</v>
      </c>
      <c r="BF237" s="54">
        <v>1</v>
      </c>
      <c r="BG237" s="54">
        <v>-7.0068000000000001</v>
      </c>
      <c r="BH237" s="54">
        <v>107.2349</v>
      </c>
      <c r="BI237" s="54">
        <v>3217122221012000</v>
      </c>
      <c r="BJ237" s="54">
        <v>55</v>
      </c>
      <c r="BK237" s="54">
        <v>143</v>
      </c>
      <c r="BL237" s="54">
        <v>0</v>
      </c>
      <c r="BM237" s="54">
        <v>0</v>
      </c>
      <c r="BN237" s="54">
        <v>0</v>
      </c>
    </row>
    <row r="238" spans="1:66" s="219" customFormat="1" hidden="1" x14ac:dyDescent="0.3">
      <c r="A238" s="54">
        <v>232</v>
      </c>
      <c r="B238" s="54" t="s">
        <v>2827</v>
      </c>
      <c r="C238" s="54" t="s">
        <v>2203</v>
      </c>
      <c r="D238" s="54" t="s">
        <v>52</v>
      </c>
      <c r="E238" s="54">
        <v>91544652</v>
      </c>
      <c r="F238" s="54" t="s">
        <v>2352</v>
      </c>
      <c r="G238" s="108">
        <v>40170</v>
      </c>
      <c r="H238" s="54">
        <v>3217122312090000</v>
      </c>
      <c r="I238" s="54" t="s">
        <v>2353</v>
      </c>
      <c r="J238" s="54" t="s">
        <v>2732</v>
      </c>
      <c r="K238" s="54">
        <v>1</v>
      </c>
      <c r="L238" s="54">
        <v>1</v>
      </c>
      <c r="M238" s="54" t="s">
        <v>2733</v>
      </c>
      <c r="N238" s="54" t="s">
        <v>2399</v>
      </c>
      <c r="O238" s="54" t="s">
        <v>2356</v>
      </c>
      <c r="P238" s="54">
        <v>40564</v>
      </c>
      <c r="Q238" s="54" t="s">
        <v>2357</v>
      </c>
      <c r="R238" s="54" t="s">
        <v>2358</v>
      </c>
      <c r="S238" s="54"/>
      <c r="T238" s="54">
        <v>83822760688</v>
      </c>
      <c r="U238" s="54"/>
      <c r="V238" s="54"/>
      <c r="W238" s="54" t="s">
        <v>2359</v>
      </c>
      <c r="X238" s="54"/>
      <c r="Y238" s="54" t="s">
        <v>2828</v>
      </c>
      <c r="Z238" s="54">
        <v>1980</v>
      </c>
      <c r="AA238" s="54" t="s">
        <v>2402</v>
      </c>
      <c r="AB238" s="54" t="s">
        <v>2362</v>
      </c>
      <c r="AC238" s="54" t="s">
        <v>2403</v>
      </c>
      <c r="AD238" s="54">
        <v>3217122304750000</v>
      </c>
      <c r="AE238" s="54" t="s">
        <v>2829</v>
      </c>
      <c r="AF238" s="54">
        <v>1984</v>
      </c>
      <c r="AG238" s="54" t="s">
        <v>2402</v>
      </c>
      <c r="AH238" s="54" t="s">
        <v>2365</v>
      </c>
      <c r="AI238" s="54" t="s">
        <v>2366</v>
      </c>
      <c r="AJ238" s="54">
        <v>3217124707780030</v>
      </c>
      <c r="AK238" s="54"/>
      <c r="AL238" s="54"/>
      <c r="AM238" s="54" t="s">
        <v>2367</v>
      </c>
      <c r="AN238" s="54"/>
      <c r="AO238" s="54"/>
      <c r="AP238" s="54"/>
      <c r="AQ238" s="54" t="s">
        <v>8179</v>
      </c>
      <c r="AR238" s="54"/>
      <c r="AS238" s="54"/>
      <c r="AT238" s="54" t="s">
        <v>2359</v>
      </c>
      <c r="AU238" s="54"/>
      <c r="AV238" s="54">
        <v>0</v>
      </c>
      <c r="AW238" s="54"/>
      <c r="AX238" s="54"/>
      <c r="AY238" s="54"/>
      <c r="AZ238" s="54"/>
      <c r="BA238" s="54"/>
      <c r="BB238" s="54" t="s">
        <v>2369</v>
      </c>
      <c r="BC238" s="54" t="s">
        <v>2370</v>
      </c>
      <c r="BD238" s="54" t="s">
        <v>2371</v>
      </c>
      <c r="BE238" s="54" t="s">
        <v>2406</v>
      </c>
      <c r="BF238" s="54">
        <v>4</v>
      </c>
      <c r="BG238" s="54">
        <v>-6.9542931479999996</v>
      </c>
      <c r="BH238" s="54">
        <v>107.38970519999999</v>
      </c>
      <c r="BI238" s="54"/>
      <c r="BJ238" s="54">
        <v>53</v>
      </c>
      <c r="BK238" s="54">
        <v>144</v>
      </c>
      <c r="BL238" s="54">
        <v>0</v>
      </c>
      <c r="BM238" s="54">
        <v>0</v>
      </c>
      <c r="BN238" s="54">
        <v>0</v>
      </c>
    </row>
    <row r="239" spans="1:66" s="219" customFormat="1" hidden="1" x14ac:dyDescent="0.3">
      <c r="A239" s="54">
        <v>233</v>
      </c>
      <c r="B239" s="54" t="s">
        <v>2592</v>
      </c>
      <c r="C239" s="54" t="s">
        <v>2144</v>
      </c>
      <c r="D239" s="54" t="s">
        <v>52</v>
      </c>
      <c r="E239" s="54">
        <v>106204826</v>
      </c>
      <c r="F239" s="54" t="s">
        <v>2446</v>
      </c>
      <c r="G239" s="108">
        <v>40272</v>
      </c>
      <c r="H239" s="54">
        <v>3217110404100000</v>
      </c>
      <c r="I239" s="54" t="s">
        <v>2353</v>
      </c>
      <c r="J239" s="54" t="s">
        <v>2593</v>
      </c>
      <c r="K239" s="54">
        <v>4</v>
      </c>
      <c r="L239" s="54">
        <v>13</v>
      </c>
      <c r="M239" s="54" t="s">
        <v>2593</v>
      </c>
      <c r="N239" s="54" t="s">
        <v>2425</v>
      </c>
      <c r="O239" s="54" t="s">
        <v>2426</v>
      </c>
      <c r="P239" s="54">
        <v>40562</v>
      </c>
      <c r="Q239" s="54" t="s">
        <v>2357</v>
      </c>
      <c r="R239" s="54" t="s">
        <v>2358</v>
      </c>
      <c r="S239" s="54"/>
      <c r="T239" s="54">
        <v>83104972860</v>
      </c>
      <c r="U239" s="54"/>
      <c r="V239" s="54"/>
      <c r="W239" s="54" t="s">
        <v>2359</v>
      </c>
      <c r="X239" s="54"/>
      <c r="Y239" s="54" t="s">
        <v>2594</v>
      </c>
      <c r="Z239" s="54">
        <v>1969</v>
      </c>
      <c r="AA239" s="54" t="s">
        <v>2361</v>
      </c>
      <c r="AB239" s="54" t="s">
        <v>2362</v>
      </c>
      <c r="AC239" s="54" t="s">
        <v>2403</v>
      </c>
      <c r="AD239" s="54"/>
      <c r="AE239" s="54" t="s">
        <v>2595</v>
      </c>
      <c r="AF239" s="54">
        <v>1977</v>
      </c>
      <c r="AG239" s="54" t="s">
        <v>2361</v>
      </c>
      <c r="AH239" s="54" t="s">
        <v>2365</v>
      </c>
      <c r="AI239" s="54" t="s">
        <v>2366</v>
      </c>
      <c r="AJ239" s="54"/>
      <c r="AK239" s="54"/>
      <c r="AL239" s="54"/>
      <c r="AM239" s="54" t="s">
        <v>2367</v>
      </c>
      <c r="AN239" s="54"/>
      <c r="AO239" s="54"/>
      <c r="AP239" s="54"/>
      <c r="AQ239" s="54" t="s">
        <v>8181</v>
      </c>
      <c r="AR239" s="54"/>
      <c r="AS239" s="54"/>
      <c r="AT239" s="54" t="s">
        <v>2369</v>
      </c>
      <c r="AU239" s="54" t="s">
        <v>2596</v>
      </c>
      <c r="AV239" s="54">
        <v>0</v>
      </c>
      <c r="AW239" s="54" t="s">
        <v>2597</v>
      </c>
      <c r="AX239" s="54"/>
      <c r="AY239" s="54"/>
      <c r="AZ239" s="54"/>
      <c r="BA239" s="54"/>
      <c r="BB239" s="54" t="s">
        <v>2369</v>
      </c>
      <c r="BC239" s="54"/>
      <c r="BD239" s="54" t="s">
        <v>2371</v>
      </c>
      <c r="BE239" s="54" t="s">
        <v>2430</v>
      </c>
      <c r="BF239" s="54">
        <v>1</v>
      </c>
      <c r="BG239" s="54">
        <v>-6.9514541999999997</v>
      </c>
      <c r="BH239" s="54">
        <v>107.4179645</v>
      </c>
      <c r="BI239" s="54"/>
      <c r="BJ239" s="54">
        <v>55</v>
      </c>
      <c r="BK239" s="54">
        <v>145</v>
      </c>
      <c r="BL239" s="54">
        <v>0</v>
      </c>
      <c r="BM239" s="54">
        <v>0</v>
      </c>
      <c r="BN239" s="54">
        <v>0</v>
      </c>
    </row>
    <row r="240" spans="1:66" s="219" customFormat="1" hidden="1" x14ac:dyDescent="0.3">
      <c r="A240" s="54">
        <v>234</v>
      </c>
      <c r="B240" s="54" t="s">
        <v>1870</v>
      </c>
      <c r="C240" s="54" t="s">
        <v>1527</v>
      </c>
      <c r="D240" s="54" t="s">
        <v>52</v>
      </c>
      <c r="E240" s="54">
        <v>81410222</v>
      </c>
      <c r="F240" s="54" t="s">
        <v>2446</v>
      </c>
      <c r="G240" s="108">
        <v>39730</v>
      </c>
      <c r="H240" s="54">
        <v>3217120110080000</v>
      </c>
      <c r="I240" s="54" t="s">
        <v>2353</v>
      </c>
      <c r="J240" s="54" t="s">
        <v>2418</v>
      </c>
      <c r="K240" s="54">
        <v>1</v>
      </c>
      <c r="L240" s="54">
        <v>5</v>
      </c>
      <c r="M240" s="54"/>
      <c r="N240" s="54" t="s">
        <v>2409</v>
      </c>
      <c r="O240" s="54" t="s">
        <v>2356</v>
      </c>
      <c r="P240" s="54">
        <v>40564</v>
      </c>
      <c r="Q240" s="54" t="s">
        <v>2357</v>
      </c>
      <c r="R240" s="54" t="s">
        <v>2358</v>
      </c>
      <c r="S240" s="54"/>
      <c r="T240" s="54">
        <v>83820288357</v>
      </c>
      <c r="U240" s="54"/>
      <c r="V240" s="54"/>
      <c r="W240" s="54" t="s">
        <v>2359</v>
      </c>
      <c r="X240" s="54"/>
      <c r="Y240" s="54" t="s">
        <v>3600</v>
      </c>
      <c r="Z240" s="54">
        <v>1964</v>
      </c>
      <c r="AA240" s="54" t="s">
        <v>2361</v>
      </c>
      <c r="AB240" s="54" t="s">
        <v>2362</v>
      </c>
      <c r="AC240" s="54" t="s">
        <v>2363</v>
      </c>
      <c r="AD240" s="54"/>
      <c r="AE240" s="54" t="s">
        <v>3601</v>
      </c>
      <c r="AF240" s="54">
        <v>1970</v>
      </c>
      <c r="AG240" s="54" t="s">
        <v>2361</v>
      </c>
      <c r="AH240" s="54" t="s">
        <v>2365</v>
      </c>
      <c r="AI240" s="54" t="s">
        <v>2366</v>
      </c>
      <c r="AJ240" s="54"/>
      <c r="AK240" s="54"/>
      <c r="AL240" s="54"/>
      <c r="AM240" s="54"/>
      <c r="AN240" s="54"/>
      <c r="AO240" s="54"/>
      <c r="AP240" s="54"/>
      <c r="AQ240" s="54" t="s">
        <v>5147</v>
      </c>
      <c r="AR240" s="54"/>
      <c r="AS240" s="54"/>
      <c r="AT240" s="54" t="s">
        <v>2359</v>
      </c>
      <c r="AU240" s="54"/>
      <c r="AV240" s="54">
        <v>0</v>
      </c>
      <c r="AW240" s="54"/>
      <c r="AX240" s="54"/>
      <c r="AY240" s="54"/>
      <c r="AZ240" s="54"/>
      <c r="BA240" s="54"/>
      <c r="BB240" s="54" t="s">
        <v>2369</v>
      </c>
      <c r="BC240" s="54" t="s">
        <v>2370</v>
      </c>
      <c r="BD240" s="54" t="s">
        <v>2371</v>
      </c>
      <c r="BE240" s="54"/>
      <c r="BF240" s="54"/>
      <c r="BG240" s="54">
        <v>-6.9554</v>
      </c>
      <c r="BH240" s="54">
        <v>107.39319999999999</v>
      </c>
      <c r="BI240" s="54"/>
      <c r="BJ240" s="54">
        <v>15</v>
      </c>
      <c r="BK240" s="54">
        <v>115</v>
      </c>
      <c r="BL240" s="54">
        <v>55</v>
      </c>
      <c r="BM240" s="54">
        <v>2</v>
      </c>
      <c r="BN240" s="54">
        <v>1</v>
      </c>
    </row>
    <row r="241" spans="1:66" s="219" customFormat="1" hidden="1" x14ac:dyDescent="0.3">
      <c r="A241" s="54">
        <v>235</v>
      </c>
      <c r="B241" s="54" t="s">
        <v>1871</v>
      </c>
      <c r="C241" s="54" t="s">
        <v>1528</v>
      </c>
      <c r="D241" s="54" t="s">
        <v>52</v>
      </c>
      <c r="E241" s="54">
        <v>92386587</v>
      </c>
      <c r="F241" s="54" t="s">
        <v>2373</v>
      </c>
      <c r="G241" s="108">
        <v>39828</v>
      </c>
      <c r="H241" s="54">
        <v>3217121501090000</v>
      </c>
      <c r="I241" s="54" t="s">
        <v>2353</v>
      </c>
      <c r="J241" s="54" t="s">
        <v>2418</v>
      </c>
      <c r="K241" s="54">
        <v>3</v>
      </c>
      <c r="L241" s="54">
        <v>2</v>
      </c>
      <c r="M241" s="54"/>
      <c r="N241" s="54" t="s">
        <v>2438</v>
      </c>
      <c r="O241" s="54" t="s">
        <v>2356</v>
      </c>
      <c r="P241" s="54">
        <v>40564</v>
      </c>
      <c r="Q241" s="54" t="s">
        <v>2357</v>
      </c>
      <c r="R241" s="54" t="s">
        <v>2358</v>
      </c>
      <c r="S241" s="54"/>
      <c r="T241" s="54">
        <v>83149860525</v>
      </c>
      <c r="U241" s="54"/>
      <c r="V241" s="54"/>
      <c r="W241" s="54" t="s">
        <v>2369</v>
      </c>
      <c r="X241" s="54" t="s">
        <v>3602</v>
      </c>
      <c r="Y241" s="54" t="s">
        <v>3603</v>
      </c>
      <c r="Z241" s="54">
        <v>1972</v>
      </c>
      <c r="AA241" s="54" t="s">
        <v>2402</v>
      </c>
      <c r="AB241" s="54" t="s">
        <v>2362</v>
      </c>
      <c r="AC241" s="54" t="s">
        <v>2403</v>
      </c>
      <c r="AD241" s="54"/>
      <c r="AE241" s="54" t="s">
        <v>3604</v>
      </c>
      <c r="AF241" s="54">
        <v>1979</v>
      </c>
      <c r="AG241" s="54" t="s">
        <v>2361</v>
      </c>
      <c r="AH241" s="54" t="s">
        <v>2365</v>
      </c>
      <c r="AI241" s="54" t="s">
        <v>2366</v>
      </c>
      <c r="AJ241" s="54"/>
      <c r="AK241" s="54"/>
      <c r="AL241" s="54"/>
      <c r="AM241" s="54"/>
      <c r="AN241" s="54"/>
      <c r="AO241" s="54"/>
      <c r="AP241" s="54"/>
      <c r="AQ241" s="54" t="s">
        <v>5147</v>
      </c>
      <c r="AR241" s="54"/>
      <c r="AS241" s="54"/>
      <c r="AT241" s="54" t="s">
        <v>2359</v>
      </c>
      <c r="AU241" s="54"/>
      <c r="AV241" s="54">
        <v>0</v>
      </c>
      <c r="AW241" s="54" t="s">
        <v>3605</v>
      </c>
      <c r="AX241" s="54"/>
      <c r="AY241" s="54"/>
      <c r="AZ241" s="54"/>
      <c r="BA241" s="54"/>
      <c r="BB241" s="54" t="s">
        <v>2369</v>
      </c>
      <c r="BC241" s="54" t="s">
        <v>2443</v>
      </c>
      <c r="BD241" s="54" t="s">
        <v>2371</v>
      </c>
      <c r="BE241" s="54"/>
      <c r="BF241" s="54">
        <v>1</v>
      </c>
      <c r="BG241" s="54">
        <v>-6.9554</v>
      </c>
      <c r="BH241" s="54">
        <v>107.39319999999999</v>
      </c>
      <c r="BI241" s="54"/>
      <c r="BJ241" s="54">
        <v>40</v>
      </c>
      <c r="BK241" s="54">
        <v>133</v>
      </c>
      <c r="BL241" s="54">
        <v>55</v>
      </c>
      <c r="BM241" s="54">
        <v>2</v>
      </c>
      <c r="BN241" s="54">
        <v>1</v>
      </c>
    </row>
    <row r="242" spans="1:66" s="219" customFormat="1" hidden="1" x14ac:dyDescent="0.3">
      <c r="A242" s="54">
        <v>236</v>
      </c>
      <c r="B242" s="54" t="s">
        <v>1854</v>
      </c>
      <c r="C242" s="54" t="s">
        <v>1501</v>
      </c>
      <c r="D242" s="54" t="s">
        <v>52</v>
      </c>
      <c r="E242" s="54">
        <v>86727933</v>
      </c>
      <c r="F242" s="54" t="s">
        <v>2373</v>
      </c>
      <c r="G242" s="108">
        <v>39604</v>
      </c>
      <c r="H242" s="54">
        <v>3217120506080000</v>
      </c>
      <c r="I242" s="54" t="s">
        <v>2353</v>
      </c>
      <c r="J242" s="54" t="s">
        <v>3296</v>
      </c>
      <c r="K242" s="54">
        <v>3</v>
      </c>
      <c r="L242" s="54">
        <v>9</v>
      </c>
      <c r="M242" s="54" t="s">
        <v>3297</v>
      </c>
      <c r="N242" s="54" t="s">
        <v>2395</v>
      </c>
      <c r="O242" s="54" t="s">
        <v>2356</v>
      </c>
      <c r="P242" s="54">
        <v>40564</v>
      </c>
      <c r="Q242" s="54" t="s">
        <v>2357</v>
      </c>
      <c r="R242" s="54" t="s">
        <v>2358</v>
      </c>
      <c r="S242" s="54"/>
      <c r="T242" s="54">
        <v>83829356051</v>
      </c>
      <c r="U242" s="54"/>
      <c r="V242" s="54"/>
      <c r="W242" s="54" t="s">
        <v>2369</v>
      </c>
      <c r="X242" s="54" t="s">
        <v>3503</v>
      </c>
      <c r="Y242" s="54" t="s">
        <v>3504</v>
      </c>
      <c r="Z242" s="54">
        <v>1982</v>
      </c>
      <c r="AA242" s="54" t="s">
        <v>2361</v>
      </c>
      <c r="AB242" s="54" t="s">
        <v>2362</v>
      </c>
      <c r="AC242" s="54" t="s">
        <v>2403</v>
      </c>
      <c r="AD242" s="54">
        <v>3217120111820020</v>
      </c>
      <c r="AE242" s="54" t="s">
        <v>3505</v>
      </c>
      <c r="AF242" s="54">
        <v>1984</v>
      </c>
      <c r="AG242" s="54" t="s">
        <v>2402</v>
      </c>
      <c r="AH242" s="54" t="s">
        <v>2365</v>
      </c>
      <c r="AI242" s="54" t="s">
        <v>2366</v>
      </c>
      <c r="AJ242" s="54">
        <v>3217125309840010</v>
      </c>
      <c r="AK242" s="54"/>
      <c r="AL242" s="54"/>
      <c r="AM242" s="54"/>
      <c r="AN242" s="54"/>
      <c r="AO242" s="54"/>
      <c r="AP242" s="54"/>
      <c r="AQ242" s="54" t="s">
        <v>5147</v>
      </c>
      <c r="AR242" s="54"/>
      <c r="AS242" s="54"/>
      <c r="AT242" s="54" t="s">
        <v>2359</v>
      </c>
      <c r="AU242" s="54"/>
      <c r="AV242" s="54">
        <v>0</v>
      </c>
      <c r="AW242" s="54"/>
      <c r="AX242" s="54" t="s">
        <v>3506</v>
      </c>
      <c r="AY242" s="54"/>
      <c r="AZ242" s="54"/>
      <c r="BA242" s="54"/>
      <c r="BB242" s="54" t="s">
        <v>2369</v>
      </c>
      <c r="BC242" s="54" t="s">
        <v>2443</v>
      </c>
      <c r="BD242" s="54" t="s">
        <v>2371</v>
      </c>
      <c r="BE242" s="54"/>
      <c r="BF242" s="54">
        <v>2</v>
      </c>
      <c r="BG242" s="54">
        <v>-6.9661</v>
      </c>
      <c r="BH242" s="54">
        <v>107.4057</v>
      </c>
      <c r="BI242" s="54">
        <v>3217121009120020</v>
      </c>
      <c r="BJ242" s="54">
        <v>38</v>
      </c>
      <c r="BK242" s="54">
        <v>139</v>
      </c>
      <c r="BL242" s="54">
        <v>52</v>
      </c>
      <c r="BM242" s="54">
        <v>2</v>
      </c>
      <c r="BN242" s="54">
        <v>1</v>
      </c>
    </row>
    <row r="243" spans="1:66" s="219" customFormat="1" hidden="1" x14ac:dyDescent="0.3">
      <c r="A243" s="54">
        <v>237</v>
      </c>
      <c r="B243" s="54" t="s">
        <v>2702</v>
      </c>
      <c r="C243" s="54" t="s">
        <v>2172</v>
      </c>
      <c r="D243" s="54" t="s">
        <v>52</v>
      </c>
      <c r="E243" s="54">
        <v>106710290</v>
      </c>
      <c r="F243" s="54" t="s">
        <v>2352</v>
      </c>
      <c r="G243" s="108">
        <v>40246</v>
      </c>
      <c r="H243" s="54">
        <v>3217120903100000</v>
      </c>
      <c r="I243" s="54" t="s">
        <v>2353</v>
      </c>
      <c r="J243" s="54" t="s">
        <v>2354</v>
      </c>
      <c r="K243" s="54">
        <v>2</v>
      </c>
      <c r="L243" s="54">
        <v>4</v>
      </c>
      <c r="M243" s="54"/>
      <c r="N243" s="54" t="s">
        <v>2355</v>
      </c>
      <c r="O243" s="54" t="s">
        <v>2356</v>
      </c>
      <c r="P243" s="54">
        <v>40564</v>
      </c>
      <c r="Q243" s="54" t="s">
        <v>2357</v>
      </c>
      <c r="R243" s="54" t="s">
        <v>2358</v>
      </c>
      <c r="S243" s="54"/>
      <c r="T243" s="54">
        <v>83820744112</v>
      </c>
      <c r="U243" s="54"/>
      <c r="V243" s="54"/>
      <c r="W243" s="54" t="s">
        <v>2369</v>
      </c>
      <c r="X243" s="54">
        <v>1220001102879200</v>
      </c>
      <c r="Y243" s="54" t="s">
        <v>2703</v>
      </c>
      <c r="Z243" s="54">
        <v>1960</v>
      </c>
      <c r="AA243" s="54" t="s">
        <v>2361</v>
      </c>
      <c r="AB243" s="54" t="s">
        <v>2362</v>
      </c>
      <c r="AC243" s="54" t="s">
        <v>2363</v>
      </c>
      <c r="AD243" s="54">
        <v>3217120107600260</v>
      </c>
      <c r="AE243" s="54" t="s">
        <v>2704</v>
      </c>
      <c r="AF243" s="54">
        <v>1975</v>
      </c>
      <c r="AG243" s="54" t="s">
        <v>2367</v>
      </c>
      <c r="AH243" s="54" t="s">
        <v>2365</v>
      </c>
      <c r="AI243" s="54" t="s">
        <v>2366</v>
      </c>
      <c r="AJ243" s="54">
        <v>3217125212750000</v>
      </c>
      <c r="AK243" s="54"/>
      <c r="AL243" s="54"/>
      <c r="AM243" s="54" t="s">
        <v>2367</v>
      </c>
      <c r="AN243" s="54"/>
      <c r="AO243" s="54"/>
      <c r="AP243" s="54"/>
      <c r="AQ243" s="54" t="s">
        <v>8180</v>
      </c>
      <c r="AR243" s="54"/>
      <c r="AS243" s="54"/>
      <c r="AT243" s="54" t="s">
        <v>2359</v>
      </c>
      <c r="AU243" s="54"/>
      <c r="AV243" s="54">
        <v>0</v>
      </c>
      <c r="AW243" s="54"/>
      <c r="AX243" s="54" t="s">
        <v>2705</v>
      </c>
      <c r="AY243" s="54"/>
      <c r="AZ243" s="54"/>
      <c r="BA243" s="54"/>
      <c r="BB243" s="54" t="s">
        <v>2369</v>
      </c>
      <c r="BC243" s="54" t="s">
        <v>2443</v>
      </c>
      <c r="BD243" s="54" t="s">
        <v>2371</v>
      </c>
      <c r="BE243" s="54" t="s">
        <v>2372</v>
      </c>
      <c r="BF243" s="54"/>
      <c r="BG243" s="54">
        <v>-6.9676999999999998</v>
      </c>
      <c r="BH243" s="54">
        <v>107.4117</v>
      </c>
      <c r="BI243" s="54"/>
      <c r="BJ243" s="54">
        <v>57</v>
      </c>
      <c r="BK243" s="54">
        <v>144</v>
      </c>
      <c r="BL243" s="54">
        <v>64</v>
      </c>
      <c r="BM243" s="54">
        <v>1</v>
      </c>
      <c r="BN243" s="54">
        <v>2</v>
      </c>
    </row>
    <row r="244" spans="1:66" s="219" customFormat="1" hidden="1" x14ac:dyDescent="0.3">
      <c r="A244" s="54">
        <v>238</v>
      </c>
      <c r="B244" s="54" t="s">
        <v>1798</v>
      </c>
      <c r="C244" s="54" t="s">
        <v>1436</v>
      </c>
      <c r="D244" s="54" t="s">
        <v>52</v>
      </c>
      <c r="E244" s="54">
        <v>92627488</v>
      </c>
      <c r="F244" s="54" t="s">
        <v>2446</v>
      </c>
      <c r="G244" s="108">
        <v>39974</v>
      </c>
      <c r="H244" s="54">
        <v>3217121006050010</v>
      </c>
      <c r="I244" s="54" t="s">
        <v>2353</v>
      </c>
      <c r="J244" s="54" t="s">
        <v>2418</v>
      </c>
      <c r="K244" s="54">
        <v>1</v>
      </c>
      <c r="L244" s="54">
        <v>5</v>
      </c>
      <c r="M244" s="54"/>
      <c r="N244" s="54" t="s">
        <v>2409</v>
      </c>
      <c r="O244" s="54" t="s">
        <v>2356</v>
      </c>
      <c r="P244" s="54">
        <v>40564</v>
      </c>
      <c r="Q244" s="54" t="s">
        <v>2357</v>
      </c>
      <c r="R244" s="54" t="s">
        <v>2358</v>
      </c>
      <c r="S244" s="54"/>
      <c r="T244" s="54">
        <v>81563936669</v>
      </c>
      <c r="U244" s="54"/>
      <c r="V244" s="54"/>
      <c r="W244" s="54" t="s">
        <v>2359</v>
      </c>
      <c r="X244" s="54"/>
      <c r="Y244" s="54" t="s">
        <v>3274</v>
      </c>
      <c r="Z244" s="54">
        <v>1972</v>
      </c>
      <c r="AA244" s="54" t="s">
        <v>2390</v>
      </c>
      <c r="AB244" s="54" t="s">
        <v>2493</v>
      </c>
      <c r="AC244" s="54" t="s">
        <v>2375</v>
      </c>
      <c r="AD244" s="54"/>
      <c r="AE244" s="54" t="s">
        <v>3275</v>
      </c>
      <c r="AF244" s="54">
        <v>1975</v>
      </c>
      <c r="AG244" s="54" t="s">
        <v>2402</v>
      </c>
      <c r="AH244" s="54" t="s">
        <v>2365</v>
      </c>
      <c r="AI244" s="54" t="s">
        <v>2366</v>
      </c>
      <c r="AJ244" s="54"/>
      <c r="AK244" s="54"/>
      <c r="AL244" s="54"/>
      <c r="AM244" s="54"/>
      <c r="AN244" s="54"/>
      <c r="AO244" s="54"/>
      <c r="AP244" s="54"/>
      <c r="AQ244" s="54" t="s">
        <v>5147</v>
      </c>
      <c r="AR244" s="54"/>
      <c r="AS244" s="54"/>
      <c r="AT244" s="54" t="s">
        <v>2359</v>
      </c>
      <c r="AU244" s="54"/>
      <c r="AV244" s="54">
        <v>0</v>
      </c>
      <c r="AW244" s="54"/>
      <c r="AX244" s="54"/>
      <c r="AY244" s="54"/>
      <c r="AZ244" s="54"/>
      <c r="BA244" s="54"/>
      <c r="BB244" s="54" t="s">
        <v>2369</v>
      </c>
      <c r="BC244" s="54" t="s">
        <v>2370</v>
      </c>
      <c r="BD244" s="54" t="s">
        <v>2371</v>
      </c>
      <c r="BE244" s="54" t="s">
        <v>3111</v>
      </c>
      <c r="BF244" s="54"/>
      <c r="BG244" s="54">
        <v>-6.9554</v>
      </c>
      <c r="BH244" s="54">
        <v>107.39319999999999</v>
      </c>
      <c r="BI244" s="54"/>
      <c r="BJ244" s="54">
        <v>44</v>
      </c>
      <c r="BK244" s="54">
        <v>143</v>
      </c>
      <c r="BL244" s="54">
        <v>55</v>
      </c>
      <c r="BM244" s="54">
        <v>3</v>
      </c>
      <c r="BN244" s="54">
        <v>1</v>
      </c>
    </row>
    <row r="245" spans="1:66" s="219" customFormat="1" hidden="1" x14ac:dyDescent="0.3">
      <c r="A245" s="54">
        <v>239</v>
      </c>
      <c r="B245" s="54" t="s">
        <v>1772</v>
      </c>
      <c r="C245" s="54" t="s">
        <v>1413</v>
      </c>
      <c r="D245" s="54" t="s">
        <v>52</v>
      </c>
      <c r="E245" s="54">
        <v>87982077</v>
      </c>
      <c r="F245" s="54" t="s">
        <v>2446</v>
      </c>
      <c r="G245" s="108">
        <v>39792</v>
      </c>
      <c r="H245" s="54">
        <v>3217121012080000</v>
      </c>
      <c r="I245" s="54" t="s">
        <v>2353</v>
      </c>
      <c r="J245" s="54" t="s">
        <v>2574</v>
      </c>
      <c r="K245" s="54">
        <v>1</v>
      </c>
      <c r="L245" s="54">
        <v>5</v>
      </c>
      <c r="M245" s="54"/>
      <c r="N245" s="54" t="s">
        <v>2513</v>
      </c>
      <c r="O245" s="54" t="s">
        <v>2356</v>
      </c>
      <c r="P245" s="54">
        <v>40764</v>
      </c>
      <c r="Q245" s="54" t="s">
        <v>2357</v>
      </c>
      <c r="R245" s="54" t="s">
        <v>2358</v>
      </c>
      <c r="S245" s="54"/>
      <c r="T245" s="54">
        <v>83141508215</v>
      </c>
      <c r="U245" s="54"/>
      <c r="V245" s="54"/>
      <c r="W245" s="54" t="s">
        <v>2359</v>
      </c>
      <c r="X245" s="54"/>
      <c r="Y245" s="54" t="s">
        <v>3138</v>
      </c>
      <c r="Z245" s="54">
        <v>1979</v>
      </c>
      <c r="AA245" s="54" t="s">
        <v>2390</v>
      </c>
      <c r="AB245" s="54" t="s">
        <v>2362</v>
      </c>
      <c r="AC245" s="54" t="s">
        <v>2363</v>
      </c>
      <c r="AD245" s="54">
        <v>3217120908790000</v>
      </c>
      <c r="AE245" s="54" t="s">
        <v>3139</v>
      </c>
      <c r="AF245" s="54">
        <v>1990</v>
      </c>
      <c r="AG245" s="54" t="s">
        <v>2402</v>
      </c>
      <c r="AH245" s="54" t="s">
        <v>2365</v>
      </c>
      <c r="AI245" s="54" t="s">
        <v>2366</v>
      </c>
      <c r="AJ245" s="54">
        <v>3217124111890000</v>
      </c>
      <c r="AK245" s="54"/>
      <c r="AL245" s="54"/>
      <c r="AM245" s="54"/>
      <c r="AN245" s="54"/>
      <c r="AO245" s="54"/>
      <c r="AP245" s="54"/>
      <c r="AQ245" s="54" t="s">
        <v>5147</v>
      </c>
      <c r="AR245" s="54"/>
      <c r="AS245" s="54"/>
      <c r="AT245" s="54" t="s">
        <v>2359</v>
      </c>
      <c r="AU245" s="54"/>
      <c r="AV245" s="54">
        <v>0</v>
      </c>
      <c r="AW245" s="54"/>
      <c r="AX245" s="54" t="s">
        <v>3140</v>
      </c>
      <c r="AY245" s="54"/>
      <c r="AZ245" s="54"/>
      <c r="BA245" s="54"/>
      <c r="BB245" s="54" t="s">
        <v>2369</v>
      </c>
      <c r="BC245" s="54" t="s">
        <v>2370</v>
      </c>
      <c r="BD245" s="54" t="s">
        <v>2371</v>
      </c>
      <c r="BE245" s="54" t="s">
        <v>3095</v>
      </c>
      <c r="BF245" s="54">
        <v>1</v>
      </c>
      <c r="BG245" s="54">
        <v>-7.0068000000000001</v>
      </c>
      <c r="BH245" s="54">
        <v>107.2349</v>
      </c>
      <c r="BI245" s="54">
        <v>3217122211070000</v>
      </c>
      <c r="BJ245" s="54">
        <v>51</v>
      </c>
      <c r="BK245" s="54">
        <v>149</v>
      </c>
      <c r="BL245" s="54">
        <v>59</v>
      </c>
      <c r="BM245" s="54">
        <v>1</v>
      </c>
      <c r="BN245" s="54">
        <v>2</v>
      </c>
    </row>
    <row r="246" spans="1:66" s="219" customFormat="1" hidden="1" x14ac:dyDescent="0.3">
      <c r="A246" s="54">
        <v>240</v>
      </c>
      <c r="B246" s="54" t="s">
        <v>1872</v>
      </c>
      <c r="C246" s="54" t="s">
        <v>1530</v>
      </c>
      <c r="D246" s="54" t="s">
        <v>52</v>
      </c>
      <c r="E246" s="54">
        <v>97744929</v>
      </c>
      <c r="F246" s="54" t="s">
        <v>2446</v>
      </c>
      <c r="G246" s="108">
        <v>39960</v>
      </c>
      <c r="H246" s="54">
        <v>3217122705090000</v>
      </c>
      <c r="I246" s="54" t="s">
        <v>2353</v>
      </c>
      <c r="J246" s="54" t="s">
        <v>2707</v>
      </c>
      <c r="K246" s="54">
        <v>2</v>
      </c>
      <c r="L246" s="54">
        <v>5</v>
      </c>
      <c r="M246" s="54"/>
      <c r="N246" s="54" t="s">
        <v>2513</v>
      </c>
      <c r="O246" s="54" t="s">
        <v>2356</v>
      </c>
      <c r="P246" s="54">
        <v>40562</v>
      </c>
      <c r="Q246" s="54" t="s">
        <v>2357</v>
      </c>
      <c r="R246" s="54" t="s">
        <v>2358</v>
      </c>
      <c r="S246" s="54"/>
      <c r="T246" s="54">
        <v>83114083179</v>
      </c>
      <c r="U246" s="54"/>
      <c r="V246" s="54"/>
      <c r="W246" s="54" t="s">
        <v>2359</v>
      </c>
      <c r="X246" s="54" t="s">
        <v>3606</v>
      </c>
      <c r="Y246" s="54" t="s">
        <v>3607</v>
      </c>
      <c r="Z246" s="54">
        <v>1974</v>
      </c>
      <c r="AA246" s="54" t="s">
        <v>2361</v>
      </c>
      <c r="AB246" s="54" t="s">
        <v>2362</v>
      </c>
      <c r="AC246" s="54" t="s">
        <v>2363</v>
      </c>
      <c r="AD246" s="54">
        <v>3217122412740000</v>
      </c>
      <c r="AE246" s="54" t="s">
        <v>3080</v>
      </c>
      <c r="AF246" s="54">
        <v>1976</v>
      </c>
      <c r="AG246" s="54" t="s">
        <v>2361</v>
      </c>
      <c r="AH246" s="54" t="s">
        <v>2365</v>
      </c>
      <c r="AI246" s="54" t="s">
        <v>2366</v>
      </c>
      <c r="AJ246" s="54">
        <v>3217125509760000</v>
      </c>
      <c r="AK246" s="54"/>
      <c r="AL246" s="54"/>
      <c r="AM246" s="54"/>
      <c r="AN246" s="54"/>
      <c r="AO246" s="54"/>
      <c r="AP246" s="54"/>
      <c r="AQ246" s="54" t="s">
        <v>5147</v>
      </c>
      <c r="AR246" s="54"/>
      <c r="AS246" s="54"/>
      <c r="AT246" s="54" t="s">
        <v>2369</v>
      </c>
      <c r="AU246" s="54" t="s">
        <v>3606</v>
      </c>
      <c r="AV246" s="54">
        <v>0</v>
      </c>
      <c r="AW246" s="54"/>
      <c r="AX246" s="54"/>
      <c r="AY246" s="54" t="s">
        <v>2460</v>
      </c>
      <c r="AZ246" s="54">
        <v>411601003554502</v>
      </c>
      <c r="BA246" s="54" t="s">
        <v>4747</v>
      </c>
      <c r="BB246" s="54" t="s">
        <v>2369</v>
      </c>
      <c r="BC246" s="54"/>
      <c r="BD246" s="54" t="s">
        <v>2371</v>
      </c>
      <c r="BE246" s="54"/>
      <c r="BF246" s="54">
        <v>3</v>
      </c>
      <c r="BG246" s="54">
        <v>-7.0068000000000001</v>
      </c>
      <c r="BH246" s="54">
        <v>107.2349</v>
      </c>
      <c r="BI246" s="54">
        <v>3217121402080000</v>
      </c>
      <c r="BJ246" s="54">
        <v>13</v>
      </c>
      <c r="BK246" s="54">
        <v>123</v>
      </c>
      <c r="BL246" s="54">
        <v>50</v>
      </c>
      <c r="BM246" s="54">
        <v>2</v>
      </c>
      <c r="BN246" s="54">
        <v>1</v>
      </c>
    </row>
    <row r="247" spans="1:66" s="219" customFormat="1" hidden="1" x14ac:dyDescent="0.3">
      <c r="A247" s="54">
        <v>241</v>
      </c>
      <c r="B247" s="54" t="s">
        <v>2830</v>
      </c>
      <c r="C247" s="54" t="s">
        <v>2201</v>
      </c>
      <c r="D247" s="54" t="s">
        <v>52</v>
      </c>
      <c r="E247" s="54">
        <v>98561782</v>
      </c>
      <c r="F247" s="54" t="s">
        <v>2377</v>
      </c>
      <c r="G247" s="108">
        <v>40071</v>
      </c>
      <c r="H247" s="54">
        <v>3217121509090000</v>
      </c>
      <c r="I247" s="54" t="s">
        <v>2353</v>
      </c>
      <c r="J247" s="54" t="s">
        <v>2831</v>
      </c>
      <c r="K247" s="54">
        <v>2</v>
      </c>
      <c r="L247" s="54">
        <v>4</v>
      </c>
      <c r="M247" s="54"/>
      <c r="N247" s="54" t="s">
        <v>2513</v>
      </c>
      <c r="O247" s="54" t="s">
        <v>2356</v>
      </c>
      <c r="P247" s="54">
        <v>40564</v>
      </c>
      <c r="Q247" s="54" t="s">
        <v>2357</v>
      </c>
      <c r="R247" s="54" t="s">
        <v>2358</v>
      </c>
      <c r="S247" s="54"/>
      <c r="T247" s="54">
        <v>83116550255</v>
      </c>
      <c r="U247" s="54"/>
      <c r="V247" s="54"/>
      <c r="W247" s="54" t="s">
        <v>2359</v>
      </c>
      <c r="X247" s="54"/>
      <c r="Y247" s="54" t="s">
        <v>2832</v>
      </c>
      <c r="Z247" s="54">
        <v>1981</v>
      </c>
      <c r="AA247" s="54" t="s">
        <v>2402</v>
      </c>
      <c r="AB247" s="54" t="s">
        <v>2362</v>
      </c>
      <c r="AC247" s="54" t="s">
        <v>2363</v>
      </c>
      <c r="AD247" s="54">
        <v>3217122406810000</v>
      </c>
      <c r="AE247" s="54" t="s">
        <v>2833</v>
      </c>
      <c r="AF247" s="54">
        <v>1991</v>
      </c>
      <c r="AG247" s="54" t="s">
        <v>2402</v>
      </c>
      <c r="AH247" s="54" t="s">
        <v>2365</v>
      </c>
      <c r="AI247" s="54" t="s">
        <v>2366</v>
      </c>
      <c r="AJ247" s="54">
        <v>3217124811910000</v>
      </c>
      <c r="AK247" s="54"/>
      <c r="AL247" s="54"/>
      <c r="AM247" s="54" t="s">
        <v>2367</v>
      </c>
      <c r="AN247" s="54" t="s">
        <v>2365</v>
      </c>
      <c r="AO247" s="54"/>
      <c r="AP247" s="54"/>
      <c r="AQ247" s="54" t="s">
        <v>8179</v>
      </c>
      <c r="AR247" s="54"/>
      <c r="AS247" s="54"/>
      <c r="AT247" s="54" t="s">
        <v>2369</v>
      </c>
      <c r="AU247" s="54"/>
      <c r="AV247" s="54">
        <v>0</v>
      </c>
      <c r="AW247" s="54"/>
      <c r="AX247" s="54" t="s">
        <v>2834</v>
      </c>
      <c r="AY247" s="54"/>
      <c r="AZ247" s="54"/>
      <c r="BA247" s="54"/>
      <c r="BB247" s="54" t="s">
        <v>2369</v>
      </c>
      <c r="BC247" s="54"/>
      <c r="BD247" s="54" t="s">
        <v>2371</v>
      </c>
      <c r="BE247" s="54" t="s">
        <v>2372</v>
      </c>
      <c r="BF247" s="54">
        <v>1</v>
      </c>
      <c r="BG247" s="54">
        <v>-6.9676999999999998</v>
      </c>
      <c r="BH247" s="54">
        <v>107.4117</v>
      </c>
      <c r="BI247" s="54"/>
      <c r="BJ247" s="54">
        <v>53</v>
      </c>
      <c r="BK247" s="54">
        <v>144</v>
      </c>
      <c r="BL247" s="54">
        <v>0</v>
      </c>
      <c r="BM247" s="54">
        <v>0</v>
      </c>
      <c r="BN247" s="54">
        <v>0</v>
      </c>
    </row>
    <row r="248" spans="1:66" s="219" customFormat="1" hidden="1" x14ac:dyDescent="0.3">
      <c r="A248" s="54">
        <v>242</v>
      </c>
      <c r="B248" s="54" t="s">
        <v>2598</v>
      </c>
      <c r="C248" s="54" t="s">
        <v>2141</v>
      </c>
      <c r="D248" s="54" t="s">
        <v>52</v>
      </c>
      <c r="E248" s="54">
        <v>109366090</v>
      </c>
      <c r="F248" s="54" t="s">
        <v>2373</v>
      </c>
      <c r="G248" s="108">
        <v>40281</v>
      </c>
      <c r="H248" s="54">
        <v>3217111304100000</v>
      </c>
      <c r="I248" s="54" t="s">
        <v>2353</v>
      </c>
      <c r="J248" s="54" t="s">
        <v>2565</v>
      </c>
      <c r="K248" s="54">
        <v>1</v>
      </c>
      <c r="L248" s="54">
        <v>1</v>
      </c>
      <c r="M248" s="54"/>
      <c r="N248" s="54" t="s">
        <v>2566</v>
      </c>
      <c r="O248" s="54" t="s">
        <v>2426</v>
      </c>
      <c r="P248" s="54">
        <v>40562</v>
      </c>
      <c r="Q248" s="54" t="s">
        <v>2357</v>
      </c>
      <c r="R248" s="54" t="s">
        <v>2358</v>
      </c>
      <c r="S248" s="54"/>
      <c r="T248" s="54">
        <v>83879036038</v>
      </c>
      <c r="U248" s="54"/>
      <c r="V248" s="54"/>
      <c r="W248" s="54" t="s">
        <v>2359</v>
      </c>
      <c r="X248" s="54"/>
      <c r="Y248" s="54" t="s">
        <v>2599</v>
      </c>
      <c r="Z248" s="54">
        <v>1985</v>
      </c>
      <c r="AA248" s="54" t="s">
        <v>2361</v>
      </c>
      <c r="AB248" s="54" t="s">
        <v>2362</v>
      </c>
      <c r="AC248" s="54" t="s">
        <v>2363</v>
      </c>
      <c r="AD248" s="54">
        <v>3217112404850000</v>
      </c>
      <c r="AE248" s="54" t="s">
        <v>2600</v>
      </c>
      <c r="AF248" s="54">
        <v>1986</v>
      </c>
      <c r="AG248" s="54" t="s">
        <v>2361</v>
      </c>
      <c r="AH248" s="54" t="s">
        <v>2365</v>
      </c>
      <c r="AI248" s="54" t="s">
        <v>2366</v>
      </c>
      <c r="AJ248" s="54">
        <v>3217115506860020</v>
      </c>
      <c r="AK248" s="54"/>
      <c r="AL248" s="54"/>
      <c r="AM248" s="54" t="s">
        <v>2367</v>
      </c>
      <c r="AN248" s="54"/>
      <c r="AO248" s="54"/>
      <c r="AP248" s="54"/>
      <c r="AQ248" s="54" t="s">
        <v>8181</v>
      </c>
      <c r="AR248" s="54"/>
      <c r="AS248" s="54"/>
      <c r="AT248" s="54" t="s">
        <v>2359</v>
      </c>
      <c r="AU248" s="54"/>
      <c r="AV248" s="54">
        <v>0</v>
      </c>
      <c r="AW248" s="54"/>
      <c r="AX248" s="54" t="s">
        <v>2601</v>
      </c>
      <c r="AY248" s="54"/>
      <c r="AZ248" s="54"/>
      <c r="BA248" s="54"/>
      <c r="BB248" s="54" t="s">
        <v>2369</v>
      </c>
      <c r="BC248" s="54" t="s">
        <v>2370</v>
      </c>
      <c r="BD248" s="54" t="s">
        <v>2371</v>
      </c>
      <c r="BE248" s="54" t="s">
        <v>4593</v>
      </c>
      <c r="BF248" s="54">
        <v>1</v>
      </c>
      <c r="BG248" s="54">
        <v>-6.9668999999999999</v>
      </c>
      <c r="BH248" s="54">
        <v>107.4242</v>
      </c>
      <c r="BI248" s="54"/>
      <c r="BJ248" s="54">
        <v>49</v>
      </c>
      <c r="BK248" s="54">
        <v>144</v>
      </c>
      <c r="BL248" s="54">
        <v>0</v>
      </c>
      <c r="BM248" s="54">
        <v>0</v>
      </c>
      <c r="BN248" s="54">
        <v>0</v>
      </c>
    </row>
    <row r="249" spans="1:66" hidden="1" x14ac:dyDescent="0.3">
      <c r="A249" s="3">
        <v>243</v>
      </c>
      <c r="B249" s="3" t="s">
        <v>4748</v>
      </c>
      <c r="C249" s="3" t="s">
        <v>4373</v>
      </c>
      <c r="D249" s="3" t="s">
        <v>52</v>
      </c>
      <c r="E249" s="3">
        <v>3101167440</v>
      </c>
      <c r="F249" s="3" t="s">
        <v>2373</v>
      </c>
      <c r="G249" s="157">
        <v>40397</v>
      </c>
      <c r="H249" s="3">
        <v>3217120708100000</v>
      </c>
      <c r="I249" s="3" t="s">
        <v>2353</v>
      </c>
      <c r="J249" s="3" t="s">
        <v>3585</v>
      </c>
      <c r="K249" s="3"/>
      <c r="L249" s="3"/>
      <c r="M249" s="3"/>
      <c r="N249" s="3" t="s">
        <v>2415</v>
      </c>
      <c r="O249" s="3" t="s">
        <v>2356</v>
      </c>
      <c r="P249" s="3"/>
      <c r="Q249" s="3" t="s">
        <v>2357</v>
      </c>
      <c r="R249" s="3" t="s">
        <v>2358</v>
      </c>
      <c r="S249" s="3"/>
      <c r="T249" s="3"/>
      <c r="U249" s="3"/>
      <c r="V249" s="3"/>
      <c r="W249" s="3" t="s">
        <v>2359</v>
      </c>
      <c r="X249" s="3"/>
      <c r="Y249" s="3"/>
      <c r="Z249" s="3">
        <v>0</v>
      </c>
      <c r="AA249" s="3" t="s">
        <v>2402</v>
      </c>
      <c r="AB249" s="3" t="s">
        <v>2362</v>
      </c>
      <c r="AC249" s="3" t="s">
        <v>2363</v>
      </c>
      <c r="AD249" s="3"/>
      <c r="AE249" s="3" t="s">
        <v>4118</v>
      </c>
      <c r="AF249" s="3">
        <v>0</v>
      </c>
      <c r="AG249" s="3" t="s">
        <v>2361</v>
      </c>
      <c r="AH249" s="3" t="s">
        <v>2365</v>
      </c>
      <c r="AI249" s="3" t="s">
        <v>2366</v>
      </c>
      <c r="AJ249" s="3"/>
      <c r="AK249" s="3"/>
      <c r="AL249" s="3"/>
      <c r="AM249" s="3"/>
      <c r="AN249" s="3"/>
      <c r="AO249" s="3"/>
      <c r="AP249" s="3"/>
      <c r="AQ249" s="3" t="s">
        <v>5151</v>
      </c>
      <c r="AR249" s="3"/>
      <c r="AS249" s="3"/>
      <c r="AT249" s="3" t="s">
        <v>2359</v>
      </c>
      <c r="AU249" s="3"/>
      <c r="AV249" s="3">
        <v>1</v>
      </c>
      <c r="AW249" s="3"/>
      <c r="AX249" s="3"/>
      <c r="AY249" s="3"/>
      <c r="AZ249" s="3"/>
      <c r="BA249" s="3"/>
      <c r="BB249" s="3" t="s">
        <v>2369</v>
      </c>
      <c r="BC249" s="3" t="s">
        <v>2370</v>
      </c>
      <c r="BD249" s="3" t="s">
        <v>2371</v>
      </c>
      <c r="BE249" s="3" t="s">
        <v>4459</v>
      </c>
      <c r="BF249" s="3">
        <v>1</v>
      </c>
      <c r="BG249" s="3">
        <v>-6.9625000000000004</v>
      </c>
      <c r="BH249" s="3">
        <v>107.4346</v>
      </c>
      <c r="BI249" s="3"/>
      <c r="BJ249" s="3">
        <v>46</v>
      </c>
      <c r="BK249" s="3">
        <v>142</v>
      </c>
      <c r="BL249" s="3">
        <v>54</v>
      </c>
      <c r="BM249" s="3">
        <v>1</v>
      </c>
      <c r="BN249" s="3">
        <v>3</v>
      </c>
    </row>
    <row r="250" spans="1:66" s="219" customFormat="1" hidden="1" x14ac:dyDescent="0.3">
      <c r="A250" s="54">
        <v>244</v>
      </c>
      <c r="B250" s="54" t="s">
        <v>2706</v>
      </c>
      <c r="C250" s="54" t="s">
        <v>2171</v>
      </c>
      <c r="D250" s="54" t="s">
        <v>52</v>
      </c>
      <c r="E250" s="54">
        <v>105488142</v>
      </c>
      <c r="F250" s="54" t="s">
        <v>2446</v>
      </c>
      <c r="G250" s="108">
        <v>40232</v>
      </c>
      <c r="H250" s="54">
        <v>3217122302100000</v>
      </c>
      <c r="I250" s="54" t="s">
        <v>2353</v>
      </c>
      <c r="J250" s="54" t="s">
        <v>2707</v>
      </c>
      <c r="K250" s="54">
        <v>1</v>
      </c>
      <c r="L250" s="54">
        <v>5</v>
      </c>
      <c r="M250" s="54"/>
      <c r="N250" s="54" t="s">
        <v>2513</v>
      </c>
      <c r="O250" s="54" t="s">
        <v>2356</v>
      </c>
      <c r="P250" s="54"/>
      <c r="Q250" s="54" t="s">
        <v>2357</v>
      </c>
      <c r="R250" s="54" t="s">
        <v>2358</v>
      </c>
      <c r="S250" s="54"/>
      <c r="T250" s="54">
        <v>83816071629</v>
      </c>
      <c r="U250" s="54"/>
      <c r="V250" s="54"/>
      <c r="W250" s="54" t="s">
        <v>2359</v>
      </c>
      <c r="X250" s="54"/>
      <c r="Y250" s="54" t="s">
        <v>2708</v>
      </c>
      <c r="Z250" s="54">
        <v>1974</v>
      </c>
      <c r="AA250" s="54" t="s">
        <v>2402</v>
      </c>
      <c r="AB250" s="54" t="s">
        <v>2362</v>
      </c>
      <c r="AC250" s="54" t="s">
        <v>2363</v>
      </c>
      <c r="AD250" s="54">
        <v>3217120302740000</v>
      </c>
      <c r="AE250" s="54" t="s">
        <v>2709</v>
      </c>
      <c r="AF250" s="54">
        <v>1976</v>
      </c>
      <c r="AG250" s="54" t="s">
        <v>2402</v>
      </c>
      <c r="AH250" s="54" t="s">
        <v>2365</v>
      </c>
      <c r="AI250" s="54" t="s">
        <v>2366</v>
      </c>
      <c r="AJ250" s="54">
        <v>3217124208760010</v>
      </c>
      <c r="AK250" s="54"/>
      <c r="AL250" s="54"/>
      <c r="AM250" s="54" t="s">
        <v>2367</v>
      </c>
      <c r="AN250" s="54"/>
      <c r="AO250" s="54"/>
      <c r="AP250" s="54"/>
      <c r="AQ250" s="54" t="s">
        <v>8180</v>
      </c>
      <c r="AR250" s="54"/>
      <c r="AS250" s="54"/>
      <c r="AT250" s="54" t="s">
        <v>2369</v>
      </c>
      <c r="AU250" s="54" t="s">
        <v>2710</v>
      </c>
      <c r="AV250" s="54">
        <v>0</v>
      </c>
      <c r="AW250" s="54"/>
      <c r="AX250" s="54"/>
      <c r="AY250" s="54" t="s">
        <v>2460</v>
      </c>
      <c r="AZ250" s="54">
        <v>411601003787503</v>
      </c>
      <c r="BA250" s="54" t="s">
        <v>1679</v>
      </c>
      <c r="BB250" s="54" t="s">
        <v>2369</v>
      </c>
      <c r="BC250" s="54"/>
      <c r="BD250" s="54" t="s">
        <v>2371</v>
      </c>
      <c r="BE250" s="54" t="s">
        <v>2553</v>
      </c>
      <c r="BF250" s="54">
        <v>2</v>
      </c>
      <c r="BG250" s="54">
        <v>-7.0068000000000001</v>
      </c>
      <c r="BH250" s="54">
        <v>107.2349</v>
      </c>
      <c r="BI250" s="54">
        <v>3217123011070010</v>
      </c>
      <c r="BJ250" s="54">
        <v>42</v>
      </c>
      <c r="BK250" s="54">
        <v>133</v>
      </c>
      <c r="BL250" s="54">
        <v>0</v>
      </c>
      <c r="BM250" s="54">
        <v>0</v>
      </c>
      <c r="BN250" s="54">
        <v>0</v>
      </c>
    </row>
    <row r="251" spans="1:66" s="219" customFormat="1" hidden="1" x14ac:dyDescent="0.3">
      <c r="A251" s="54">
        <v>245</v>
      </c>
      <c r="B251" s="54" t="s">
        <v>1773</v>
      </c>
      <c r="C251" s="54" t="s">
        <v>1597</v>
      </c>
      <c r="D251" s="54" t="s">
        <v>52</v>
      </c>
      <c r="E251" s="54">
        <v>3095530711</v>
      </c>
      <c r="F251" s="54" t="s">
        <v>2446</v>
      </c>
      <c r="G251" s="108">
        <v>39948</v>
      </c>
      <c r="H251" s="54">
        <v>3217111505090000</v>
      </c>
      <c r="I251" s="54" t="s">
        <v>2353</v>
      </c>
      <c r="J251" s="54" t="s">
        <v>2593</v>
      </c>
      <c r="K251" s="54">
        <v>2</v>
      </c>
      <c r="L251" s="54">
        <v>13</v>
      </c>
      <c r="M251" s="54"/>
      <c r="N251" s="54" t="s">
        <v>2425</v>
      </c>
      <c r="O251" s="54" t="s">
        <v>2426</v>
      </c>
      <c r="P251" s="54">
        <v>40562</v>
      </c>
      <c r="Q251" s="54" t="s">
        <v>2357</v>
      </c>
      <c r="R251" s="54" t="s">
        <v>2358</v>
      </c>
      <c r="S251" s="54"/>
      <c r="T251" s="54"/>
      <c r="U251" s="54"/>
      <c r="V251" s="54"/>
      <c r="W251" s="54" t="s">
        <v>2359</v>
      </c>
      <c r="X251" s="54"/>
      <c r="Y251" s="54"/>
      <c r="Z251" s="54">
        <v>0</v>
      </c>
      <c r="AA251" s="54" t="s">
        <v>2402</v>
      </c>
      <c r="AB251" s="54" t="s">
        <v>2362</v>
      </c>
      <c r="AC251" s="54" t="s">
        <v>2363</v>
      </c>
      <c r="AD251" s="54"/>
      <c r="AE251" s="54" t="s">
        <v>3141</v>
      </c>
      <c r="AF251" s="54">
        <v>0</v>
      </c>
      <c r="AG251" s="54" t="s">
        <v>2361</v>
      </c>
      <c r="AH251" s="54" t="s">
        <v>2365</v>
      </c>
      <c r="AI251" s="54" t="s">
        <v>2366</v>
      </c>
      <c r="AJ251" s="54"/>
      <c r="AK251" s="54"/>
      <c r="AL251" s="54"/>
      <c r="AM251" s="54"/>
      <c r="AN251" s="54"/>
      <c r="AO251" s="54"/>
      <c r="AP251" s="54"/>
      <c r="AQ251" s="54" t="s">
        <v>5147</v>
      </c>
      <c r="AR251" s="54"/>
      <c r="AS251" s="54"/>
      <c r="AT251" s="54" t="s">
        <v>2359</v>
      </c>
      <c r="AU251" s="54"/>
      <c r="AV251" s="54">
        <v>0</v>
      </c>
      <c r="AW251" s="54"/>
      <c r="AX251" s="54"/>
      <c r="AY251" s="54"/>
      <c r="AZ251" s="54"/>
      <c r="BA251" s="54"/>
      <c r="BB251" s="54" t="s">
        <v>2369</v>
      </c>
      <c r="BC251" s="54" t="s">
        <v>2370</v>
      </c>
      <c r="BD251" s="54" t="s">
        <v>2371</v>
      </c>
      <c r="BE251" s="54"/>
      <c r="BF251" s="54">
        <v>1</v>
      </c>
      <c r="BG251" s="54">
        <v>-6.9625000000000004</v>
      </c>
      <c r="BH251" s="54">
        <v>107.4346</v>
      </c>
      <c r="BI251" s="54">
        <v>3217111905080000</v>
      </c>
      <c r="BJ251" s="54">
        <v>46</v>
      </c>
      <c r="BK251" s="54">
        <v>142</v>
      </c>
      <c r="BL251" s="54">
        <v>54</v>
      </c>
      <c r="BM251" s="54">
        <v>1</v>
      </c>
      <c r="BN251" s="54">
        <v>1</v>
      </c>
    </row>
    <row r="252" spans="1:66" hidden="1" x14ac:dyDescent="0.3">
      <c r="A252" s="3">
        <v>246</v>
      </c>
      <c r="B252" s="3" t="s">
        <v>4749</v>
      </c>
      <c r="C252" s="3" t="s">
        <v>4438</v>
      </c>
      <c r="D252" s="3" t="s">
        <v>52</v>
      </c>
      <c r="E252" s="3">
        <v>3117723919</v>
      </c>
      <c r="F252" s="3" t="s">
        <v>2377</v>
      </c>
      <c r="G252" s="157">
        <v>40600</v>
      </c>
      <c r="H252" s="3">
        <v>3217112602110000</v>
      </c>
      <c r="I252" s="3" t="s">
        <v>2353</v>
      </c>
      <c r="J252" s="3" t="s">
        <v>4750</v>
      </c>
      <c r="K252" s="3">
        <v>2</v>
      </c>
      <c r="L252" s="3">
        <v>14</v>
      </c>
      <c r="M252" s="3"/>
      <c r="N252" s="3" t="s">
        <v>4508</v>
      </c>
      <c r="O252" s="3" t="s">
        <v>2426</v>
      </c>
      <c r="P252" s="3">
        <v>40562</v>
      </c>
      <c r="Q252" s="3" t="s">
        <v>2357</v>
      </c>
      <c r="R252" s="3" t="s">
        <v>2358</v>
      </c>
      <c r="S252" s="3"/>
      <c r="T252" s="3"/>
      <c r="U252" s="3"/>
      <c r="V252" s="3"/>
      <c r="W252" s="3" t="s">
        <v>2359</v>
      </c>
      <c r="X252" s="3"/>
      <c r="Y252" s="3" t="s">
        <v>4014</v>
      </c>
      <c r="Z252" s="3">
        <v>1977</v>
      </c>
      <c r="AA252" s="3" t="s">
        <v>2402</v>
      </c>
      <c r="AB252" s="3" t="s">
        <v>2362</v>
      </c>
      <c r="AC252" s="3" t="s">
        <v>2403</v>
      </c>
      <c r="AD252" s="3">
        <v>3217111105770000</v>
      </c>
      <c r="AE252" s="3" t="s">
        <v>4439</v>
      </c>
      <c r="AF252" s="3">
        <v>1988</v>
      </c>
      <c r="AG252" s="3" t="s">
        <v>2361</v>
      </c>
      <c r="AH252" s="3" t="s">
        <v>2365</v>
      </c>
      <c r="AI252" s="3" t="s">
        <v>2366</v>
      </c>
      <c r="AJ252" s="3">
        <v>3217115111880010</v>
      </c>
      <c r="AK252" s="3"/>
      <c r="AL252" s="3"/>
      <c r="AM252" s="3" t="s">
        <v>4751</v>
      </c>
      <c r="AN252" s="3"/>
      <c r="AO252" s="3"/>
      <c r="AP252" s="3"/>
      <c r="AQ252" s="3" t="s">
        <v>5149</v>
      </c>
      <c r="AR252" s="3"/>
      <c r="AS252" s="3"/>
      <c r="AT252" s="3" t="s">
        <v>2359</v>
      </c>
      <c r="AU252" s="3"/>
      <c r="AV252" s="3">
        <v>0</v>
      </c>
      <c r="AW252" s="3"/>
      <c r="AX252" s="3"/>
      <c r="AY252" s="3"/>
      <c r="AZ252" s="3"/>
      <c r="BA252" s="3"/>
      <c r="BB252" s="3" t="s">
        <v>2369</v>
      </c>
      <c r="BC252" s="3" t="s">
        <v>2370</v>
      </c>
      <c r="BD252" s="3" t="s">
        <v>2371</v>
      </c>
      <c r="BE252" s="3"/>
      <c r="BF252" s="3">
        <v>1</v>
      </c>
      <c r="BG252" s="3">
        <v>-6.9203999999999999</v>
      </c>
      <c r="BH252" s="3">
        <v>107.4177</v>
      </c>
      <c r="BI252" s="3">
        <v>3217112602110000</v>
      </c>
      <c r="BJ252" s="3">
        <v>50</v>
      </c>
      <c r="BK252" s="3">
        <v>150</v>
      </c>
      <c r="BL252" s="3">
        <v>0</v>
      </c>
      <c r="BM252" s="3">
        <v>0</v>
      </c>
      <c r="BN252" s="3">
        <v>1</v>
      </c>
    </row>
    <row r="253" spans="1:66" s="219" customFormat="1" hidden="1" x14ac:dyDescent="0.3">
      <c r="A253" s="54">
        <v>247</v>
      </c>
      <c r="B253" s="54" t="s">
        <v>2298</v>
      </c>
      <c r="C253" s="54" t="s">
        <v>1582</v>
      </c>
      <c r="D253" s="54" t="s">
        <v>52</v>
      </c>
      <c r="E253" s="54">
        <v>89870453</v>
      </c>
      <c r="F253" s="54" t="s">
        <v>2377</v>
      </c>
      <c r="G253" s="108">
        <v>39780</v>
      </c>
      <c r="H253" s="54">
        <v>3217122811080000</v>
      </c>
      <c r="I253" s="54" t="s">
        <v>2353</v>
      </c>
      <c r="J253" s="54" t="s">
        <v>2831</v>
      </c>
      <c r="K253" s="54">
        <v>3</v>
      </c>
      <c r="L253" s="54">
        <v>4</v>
      </c>
      <c r="M253" s="54"/>
      <c r="N253" s="54" t="s">
        <v>4475</v>
      </c>
      <c r="O253" s="54" t="s">
        <v>2356</v>
      </c>
      <c r="P253" s="54">
        <v>40564</v>
      </c>
      <c r="Q253" s="54" t="s">
        <v>2357</v>
      </c>
      <c r="R253" s="54" t="s">
        <v>2358</v>
      </c>
      <c r="S253" s="54"/>
      <c r="T253" s="54">
        <v>83829752999</v>
      </c>
      <c r="U253" s="54"/>
      <c r="V253" s="54"/>
      <c r="W253" s="54" t="s">
        <v>2369</v>
      </c>
      <c r="X253" s="54" t="s">
        <v>3142</v>
      </c>
      <c r="Y253" s="54" t="s">
        <v>3143</v>
      </c>
      <c r="Z253" s="54">
        <v>1980</v>
      </c>
      <c r="AA253" s="54" t="s">
        <v>2361</v>
      </c>
      <c r="AB253" s="54" t="s">
        <v>2362</v>
      </c>
      <c r="AC253" s="54" t="s">
        <v>2363</v>
      </c>
      <c r="AD253" s="54">
        <v>3217120305800060</v>
      </c>
      <c r="AE253" s="54" t="s">
        <v>3144</v>
      </c>
      <c r="AF253" s="54">
        <v>1989</v>
      </c>
      <c r="AG253" s="54" t="s">
        <v>2361</v>
      </c>
      <c r="AH253" s="54" t="s">
        <v>2365</v>
      </c>
      <c r="AI253" s="54" t="s">
        <v>2366</v>
      </c>
      <c r="AJ253" s="54">
        <v>3217125003890020</v>
      </c>
      <c r="AK253" s="54"/>
      <c r="AL253" s="54"/>
      <c r="AM253" s="54"/>
      <c r="AN253" s="54"/>
      <c r="AO253" s="54"/>
      <c r="AP253" s="54"/>
      <c r="AQ253" s="54" t="s">
        <v>5147</v>
      </c>
      <c r="AR253" s="54"/>
      <c r="AS253" s="54"/>
      <c r="AT253" s="54" t="s">
        <v>2369</v>
      </c>
      <c r="AU253" s="54" t="s">
        <v>3145</v>
      </c>
      <c r="AV253" s="54">
        <v>0</v>
      </c>
      <c r="AW253" s="54"/>
      <c r="AX253" s="54" t="s">
        <v>4752</v>
      </c>
      <c r="AY253" s="54" t="s">
        <v>2460</v>
      </c>
      <c r="AZ253" s="54">
        <v>411601003426505</v>
      </c>
      <c r="BA253" s="54" t="s">
        <v>3146</v>
      </c>
      <c r="BB253" s="54" t="s">
        <v>2369</v>
      </c>
      <c r="BC253" s="54"/>
      <c r="BD253" s="54" t="s">
        <v>2371</v>
      </c>
      <c r="BE253" s="54"/>
      <c r="BF253" s="54">
        <v>2</v>
      </c>
      <c r="BG253" s="54">
        <v>-6.9676999999999998</v>
      </c>
      <c r="BH253" s="54">
        <v>107.4117</v>
      </c>
      <c r="BI253" s="54">
        <v>3217122107120010</v>
      </c>
      <c r="BJ253" s="54">
        <v>22</v>
      </c>
      <c r="BK253" s="54">
        <v>123</v>
      </c>
      <c r="BL253" s="54">
        <v>55</v>
      </c>
      <c r="BM253" s="54">
        <v>2</v>
      </c>
      <c r="BN253" s="54">
        <v>1</v>
      </c>
    </row>
    <row r="254" spans="1:66" hidden="1" x14ac:dyDescent="0.3">
      <c r="A254" s="3">
        <v>248</v>
      </c>
      <c r="B254" s="3" t="s">
        <v>4753</v>
      </c>
      <c r="C254" s="3" t="s">
        <v>4374</v>
      </c>
      <c r="D254" s="3" t="s">
        <v>52</v>
      </c>
      <c r="E254" s="3">
        <v>3123990992</v>
      </c>
      <c r="F254" s="3" t="s">
        <v>2373</v>
      </c>
      <c r="G254" s="157">
        <v>40944</v>
      </c>
      <c r="H254" s="3">
        <v>3217126906100000</v>
      </c>
      <c r="I254" s="3" t="s">
        <v>2353</v>
      </c>
      <c r="J254" s="3" t="s">
        <v>4754</v>
      </c>
      <c r="K254" s="3">
        <v>2</v>
      </c>
      <c r="L254" s="3"/>
      <c r="M254" s="3"/>
      <c r="N254" s="3" t="s">
        <v>4755</v>
      </c>
      <c r="O254" s="3" t="s">
        <v>3065</v>
      </c>
      <c r="P254" s="3">
        <v>40563</v>
      </c>
      <c r="Q254" s="3" t="s">
        <v>2607</v>
      </c>
      <c r="R254" s="3" t="s">
        <v>2358</v>
      </c>
      <c r="S254" s="3"/>
      <c r="T254" s="3"/>
      <c r="U254" s="3"/>
      <c r="V254" s="3"/>
      <c r="W254" s="3" t="s">
        <v>2359</v>
      </c>
      <c r="X254" s="3"/>
      <c r="Y254" s="3" t="s">
        <v>4103</v>
      </c>
      <c r="Z254" s="3">
        <v>1964</v>
      </c>
      <c r="AA254" s="3" t="s">
        <v>2361</v>
      </c>
      <c r="AB254" s="3" t="s">
        <v>2362</v>
      </c>
      <c r="AC254" s="3" t="s">
        <v>2363</v>
      </c>
      <c r="AD254" s="3">
        <v>3217144903740000</v>
      </c>
      <c r="AE254" s="3" t="s">
        <v>4104</v>
      </c>
      <c r="AF254" s="3">
        <v>1974</v>
      </c>
      <c r="AG254" s="3" t="s">
        <v>2361</v>
      </c>
      <c r="AH254" s="3" t="s">
        <v>2365</v>
      </c>
      <c r="AI254" s="3" t="s">
        <v>2366</v>
      </c>
      <c r="AJ254" s="3">
        <v>3217144903740000</v>
      </c>
      <c r="AK254" s="3"/>
      <c r="AL254" s="3"/>
      <c r="AM254" s="3"/>
      <c r="AN254" s="3"/>
      <c r="AO254" s="3"/>
      <c r="AP254" s="3"/>
      <c r="AQ254" s="3" t="s">
        <v>5151</v>
      </c>
      <c r="AR254" s="3" t="s">
        <v>4101</v>
      </c>
      <c r="AS254" s="3" t="s">
        <v>4102</v>
      </c>
      <c r="AT254" s="3" t="s">
        <v>2359</v>
      </c>
      <c r="AU254" s="3"/>
      <c r="AV254" s="3">
        <v>1</v>
      </c>
      <c r="AW254" s="3"/>
      <c r="AX254" s="3"/>
      <c r="AY254" s="3"/>
      <c r="AZ254" s="3"/>
      <c r="BA254" s="3"/>
      <c r="BB254" s="3" t="s">
        <v>2369</v>
      </c>
      <c r="BC254" s="3" t="s">
        <v>2370</v>
      </c>
      <c r="BD254" s="3" t="s">
        <v>2371</v>
      </c>
      <c r="BE254" s="3" t="s">
        <v>4105</v>
      </c>
      <c r="BF254" s="3">
        <v>2</v>
      </c>
      <c r="BG254" s="3">
        <v>-6.9625000000000004</v>
      </c>
      <c r="BH254" s="3">
        <v>107.4346</v>
      </c>
      <c r="BI254" s="3">
        <v>3217141511110000</v>
      </c>
      <c r="BJ254" s="3">
        <v>42</v>
      </c>
      <c r="BK254" s="3">
        <v>142</v>
      </c>
      <c r="BL254" s="3">
        <v>55</v>
      </c>
      <c r="BM254" s="3">
        <v>1</v>
      </c>
      <c r="BN254" s="3">
        <v>4</v>
      </c>
    </row>
    <row r="255" spans="1:66" s="219" customFormat="1" hidden="1" x14ac:dyDescent="0.3">
      <c r="A255" s="54">
        <v>249</v>
      </c>
      <c r="B255" s="54" t="s">
        <v>1774</v>
      </c>
      <c r="C255" s="54" t="s">
        <v>1408</v>
      </c>
      <c r="D255" s="54" t="s">
        <v>53</v>
      </c>
      <c r="E255" s="54">
        <v>86792522</v>
      </c>
      <c r="F255" s="54" t="s">
        <v>2352</v>
      </c>
      <c r="G255" s="108">
        <v>39762</v>
      </c>
      <c r="H255" s="54">
        <v>3204355011080000</v>
      </c>
      <c r="I255" s="54" t="s">
        <v>2353</v>
      </c>
      <c r="J255" s="54" t="s">
        <v>3147</v>
      </c>
      <c r="K255" s="54">
        <v>3</v>
      </c>
      <c r="L255" s="54">
        <v>5</v>
      </c>
      <c r="M255" s="54"/>
      <c r="N255" s="54" t="s">
        <v>3147</v>
      </c>
      <c r="O255" s="54" t="s">
        <v>3148</v>
      </c>
      <c r="P255" s="54">
        <v>40383</v>
      </c>
      <c r="Q255" s="54" t="s">
        <v>2357</v>
      </c>
      <c r="R255" s="54" t="s">
        <v>2358</v>
      </c>
      <c r="S255" s="54"/>
      <c r="T255" s="54">
        <v>81575456447</v>
      </c>
      <c r="U255" s="54"/>
      <c r="V255" s="54"/>
      <c r="W255" s="54" t="s">
        <v>2359</v>
      </c>
      <c r="X255" s="54"/>
      <c r="Y255" s="54" t="s">
        <v>3149</v>
      </c>
      <c r="Z255" s="54">
        <v>1978</v>
      </c>
      <c r="AA255" s="54" t="s">
        <v>2390</v>
      </c>
      <c r="AB255" s="54" t="s">
        <v>2362</v>
      </c>
      <c r="AC255" s="54" t="s">
        <v>2375</v>
      </c>
      <c r="AD255" s="54">
        <v>3204350106780010</v>
      </c>
      <c r="AE255" s="54" t="s">
        <v>3150</v>
      </c>
      <c r="AF255" s="54">
        <v>1982</v>
      </c>
      <c r="AG255" s="54" t="s">
        <v>2390</v>
      </c>
      <c r="AH255" s="54" t="s">
        <v>2365</v>
      </c>
      <c r="AI255" s="54" t="s">
        <v>2366</v>
      </c>
      <c r="AJ255" s="54">
        <v>3204355007820350</v>
      </c>
      <c r="AK255" s="54"/>
      <c r="AL255" s="54"/>
      <c r="AM255" s="54"/>
      <c r="AN255" s="54"/>
      <c r="AO255" s="54"/>
      <c r="AP255" s="54"/>
      <c r="AQ255" s="54" t="s">
        <v>5147</v>
      </c>
      <c r="AR255" s="54"/>
      <c r="AS255" s="54"/>
      <c r="AT255" s="54" t="s">
        <v>2359</v>
      </c>
      <c r="AU255" s="54"/>
      <c r="AV255" s="54">
        <v>0</v>
      </c>
      <c r="AW255" s="54"/>
      <c r="AX255" s="54" t="s">
        <v>3151</v>
      </c>
      <c r="AY255" s="54"/>
      <c r="AZ255" s="54"/>
      <c r="BA255" s="54"/>
      <c r="BB255" s="54" t="s">
        <v>2369</v>
      </c>
      <c r="BC255" s="54" t="s">
        <v>2370</v>
      </c>
      <c r="BD255" s="54" t="s">
        <v>2371</v>
      </c>
      <c r="BE255" s="54" t="s">
        <v>4756</v>
      </c>
      <c r="BF255" s="54">
        <v>2</v>
      </c>
      <c r="BG255" s="54">
        <v>-7.0424103999999996</v>
      </c>
      <c r="BH255" s="54">
        <v>107.7684206</v>
      </c>
      <c r="BI255" s="54">
        <v>3204351004070020</v>
      </c>
      <c r="BJ255" s="54">
        <v>43</v>
      </c>
      <c r="BK255" s="54">
        <v>145</v>
      </c>
      <c r="BL255" s="54">
        <v>57</v>
      </c>
      <c r="BM255" s="54">
        <v>3</v>
      </c>
      <c r="BN255" s="54">
        <v>1</v>
      </c>
    </row>
    <row r="256" spans="1:66" hidden="1" x14ac:dyDescent="0.3">
      <c r="A256" s="3">
        <v>250</v>
      </c>
      <c r="B256" s="3" t="s">
        <v>3829</v>
      </c>
      <c r="C256" s="3" t="s">
        <v>4275</v>
      </c>
      <c r="D256" s="3" t="s">
        <v>53</v>
      </c>
      <c r="E256" s="3">
        <v>127685179</v>
      </c>
      <c r="F256" s="3" t="s">
        <v>3116</v>
      </c>
      <c r="G256" s="157">
        <v>40915</v>
      </c>
      <c r="H256" s="3">
        <v>3173014701121010</v>
      </c>
      <c r="I256" s="3" t="s">
        <v>2353</v>
      </c>
      <c r="J256" s="3" t="s">
        <v>4757</v>
      </c>
      <c r="K256" s="3">
        <v>2</v>
      </c>
      <c r="L256" s="3">
        <v>10</v>
      </c>
      <c r="M256" s="3"/>
      <c r="N256" s="3" t="s">
        <v>4758</v>
      </c>
      <c r="O256" s="3" t="s">
        <v>4759</v>
      </c>
      <c r="P256" s="3"/>
      <c r="Q256" s="3" t="s">
        <v>2470</v>
      </c>
      <c r="R256" s="3" t="s">
        <v>2374</v>
      </c>
      <c r="S256" s="3"/>
      <c r="T256" s="3">
        <v>8889318660</v>
      </c>
      <c r="U256" s="3"/>
      <c r="V256" s="3"/>
      <c r="W256" s="3" t="s">
        <v>2359</v>
      </c>
      <c r="X256" s="3"/>
      <c r="Y256" s="3" t="s">
        <v>3999</v>
      </c>
      <c r="Z256" s="3">
        <v>1989</v>
      </c>
      <c r="AA256" s="3" t="s">
        <v>2390</v>
      </c>
      <c r="AB256" s="3" t="s">
        <v>2388</v>
      </c>
      <c r="AC256" s="3" t="s">
        <v>2375</v>
      </c>
      <c r="AD256" s="3">
        <v>3217111605890010</v>
      </c>
      <c r="AE256" s="3" t="s">
        <v>4760</v>
      </c>
      <c r="AF256" s="3">
        <v>1990</v>
      </c>
      <c r="AG256" s="3" t="s">
        <v>2390</v>
      </c>
      <c r="AH256" s="3" t="s">
        <v>2365</v>
      </c>
      <c r="AI256" s="3" t="s">
        <v>2366</v>
      </c>
      <c r="AJ256" s="3">
        <v>3173017105900000</v>
      </c>
      <c r="AK256" s="3" t="s">
        <v>4761</v>
      </c>
      <c r="AL256" s="3"/>
      <c r="AM256" s="3" t="s">
        <v>2361</v>
      </c>
      <c r="AN256" s="3" t="s">
        <v>2472</v>
      </c>
      <c r="AO256" s="3" t="s">
        <v>2363</v>
      </c>
      <c r="AP256" s="3"/>
      <c r="AQ256" s="3" t="s">
        <v>5149</v>
      </c>
      <c r="AR256" s="3"/>
      <c r="AS256" s="3"/>
      <c r="AT256" s="3" t="s">
        <v>2359</v>
      </c>
      <c r="AU256" s="3"/>
      <c r="AV256" s="3">
        <v>1</v>
      </c>
      <c r="AW256" s="3"/>
      <c r="AX256" s="3" t="s">
        <v>3998</v>
      </c>
      <c r="AY256" s="3"/>
      <c r="AZ256" s="3"/>
      <c r="BA256" s="3"/>
      <c r="BB256" s="3" t="s">
        <v>2369</v>
      </c>
      <c r="BC256" s="3" t="s">
        <v>2370</v>
      </c>
      <c r="BD256" s="3" t="s">
        <v>2371</v>
      </c>
      <c r="BE256" s="3" t="s">
        <v>4742</v>
      </c>
      <c r="BF256" s="3">
        <v>1</v>
      </c>
      <c r="BG256" s="3">
        <v>-6.9351000000000003</v>
      </c>
      <c r="BH256" s="3">
        <v>107.38939999999999</v>
      </c>
      <c r="BI256" s="3">
        <v>3173011712121090</v>
      </c>
      <c r="BJ256" s="3">
        <v>43</v>
      </c>
      <c r="BK256" s="3">
        <v>139</v>
      </c>
      <c r="BL256" s="3">
        <v>56</v>
      </c>
      <c r="BM256" s="3">
        <v>1</v>
      </c>
      <c r="BN256" s="3">
        <v>4</v>
      </c>
    </row>
    <row r="257" spans="1:66" hidden="1" x14ac:dyDescent="0.3">
      <c r="A257" s="3">
        <v>251</v>
      </c>
      <c r="B257" s="3" t="s">
        <v>3830</v>
      </c>
      <c r="C257" s="3" t="s">
        <v>4276</v>
      </c>
      <c r="D257" s="3" t="s">
        <v>53</v>
      </c>
      <c r="E257" s="3">
        <v>108798847</v>
      </c>
      <c r="F257" s="3" t="s">
        <v>2377</v>
      </c>
      <c r="G257" s="157">
        <v>40370</v>
      </c>
      <c r="H257" s="3">
        <v>3217125107100000</v>
      </c>
      <c r="I257" s="3" t="s">
        <v>2353</v>
      </c>
      <c r="J257" s="3" t="s">
        <v>3171</v>
      </c>
      <c r="K257" s="3">
        <v>2</v>
      </c>
      <c r="L257" s="3">
        <v>13</v>
      </c>
      <c r="M257" s="3"/>
      <c r="N257" s="3" t="s">
        <v>4475</v>
      </c>
      <c r="O257" s="3" t="s">
        <v>2356</v>
      </c>
      <c r="P257" s="3">
        <v>40563</v>
      </c>
      <c r="Q257" s="3" t="s">
        <v>2357</v>
      </c>
      <c r="R257" s="3" t="s">
        <v>2358</v>
      </c>
      <c r="S257" s="3"/>
      <c r="T257" s="3">
        <v>85295934948</v>
      </c>
      <c r="U257" s="3"/>
      <c r="V257" s="3"/>
      <c r="W257" s="3" t="s">
        <v>2359</v>
      </c>
      <c r="X257" s="3"/>
      <c r="Y257" s="3" t="s">
        <v>4161</v>
      </c>
      <c r="Z257" s="3">
        <v>1988</v>
      </c>
      <c r="AA257" s="3" t="s">
        <v>2361</v>
      </c>
      <c r="AB257" s="3" t="s">
        <v>2362</v>
      </c>
      <c r="AC257" s="3" t="s">
        <v>2363</v>
      </c>
      <c r="AD257" s="3">
        <v>3217120704680010</v>
      </c>
      <c r="AE257" s="3" t="s">
        <v>4162</v>
      </c>
      <c r="AF257" s="3">
        <v>1982</v>
      </c>
      <c r="AG257" s="3" t="s">
        <v>2402</v>
      </c>
      <c r="AH257" s="3" t="s">
        <v>2365</v>
      </c>
      <c r="AI257" s="3" t="s">
        <v>2366</v>
      </c>
      <c r="AJ257" s="3">
        <v>3217125604920000</v>
      </c>
      <c r="AK257" s="3"/>
      <c r="AL257" s="3"/>
      <c r="AM257" s="3" t="s">
        <v>2367</v>
      </c>
      <c r="AN257" s="3"/>
      <c r="AO257" s="3"/>
      <c r="AP257" s="3"/>
      <c r="AQ257" s="3" t="s">
        <v>5149</v>
      </c>
      <c r="AR257" s="3"/>
      <c r="AS257" s="3"/>
      <c r="AT257" s="3" t="s">
        <v>2369</v>
      </c>
      <c r="AU257" s="3"/>
      <c r="AV257" s="3">
        <v>0</v>
      </c>
      <c r="AW257" s="3"/>
      <c r="AX257" s="3" t="s">
        <v>4160</v>
      </c>
      <c r="AY257" s="3"/>
      <c r="AZ257" s="3"/>
      <c r="BA257" s="3"/>
      <c r="BB257" s="3" t="s">
        <v>2369</v>
      </c>
      <c r="BC257" s="3"/>
      <c r="BD257" s="3" t="s">
        <v>2371</v>
      </c>
      <c r="BE257" s="3" t="s">
        <v>2372</v>
      </c>
      <c r="BF257" s="3">
        <v>1</v>
      </c>
      <c r="BG257" s="3">
        <v>-6.9676999999999998</v>
      </c>
      <c r="BH257" s="3">
        <v>107.4117</v>
      </c>
      <c r="BI257" s="3">
        <v>3217122301080000</v>
      </c>
      <c r="BJ257" s="3">
        <v>44</v>
      </c>
      <c r="BK257" s="3">
        <v>138</v>
      </c>
      <c r="BL257" s="3">
        <v>56</v>
      </c>
      <c r="BM257" s="3">
        <v>2</v>
      </c>
      <c r="BN257" s="3">
        <v>2</v>
      </c>
    </row>
    <row r="258" spans="1:66" hidden="1" x14ac:dyDescent="0.3">
      <c r="A258" s="3">
        <v>252</v>
      </c>
      <c r="B258" s="3" t="s">
        <v>4762</v>
      </c>
      <c r="C258" s="3"/>
      <c r="D258" s="3" t="s">
        <v>52</v>
      </c>
      <c r="E258" s="3"/>
      <c r="F258" s="3" t="s">
        <v>2373</v>
      </c>
      <c r="G258" s="157">
        <v>40675</v>
      </c>
      <c r="H258" s="3">
        <v>3217126511110000</v>
      </c>
      <c r="I258" s="3" t="s">
        <v>2353</v>
      </c>
      <c r="J258" s="3" t="s">
        <v>2585</v>
      </c>
      <c r="K258" s="3"/>
      <c r="L258" s="3"/>
      <c r="M258" s="3"/>
      <c r="N258" s="3" t="s">
        <v>2513</v>
      </c>
      <c r="O258" s="3" t="s">
        <v>2356</v>
      </c>
      <c r="P258" s="3"/>
      <c r="Q258" s="3" t="s">
        <v>2357</v>
      </c>
      <c r="R258" s="3" t="s">
        <v>2358</v>
      </c>
      <c r="S258" s="3"/>
      <c r="T258" s="3"/>
      <c r="U258" s="3"/>
      <c r="V258" s="3"/>
      <c r="W258" s="3" t="s">
        <v>2359</v>
      </c>
      <c r="X258" s="3"/>
      <c r="Y258" s="3"/>
      <c r="Z258" s="3">
        <v>0</v>
      </c>
      <c r="AA258" s="3" t="s">
        <v>2402</v>
      </c>
      <c r="AB258" s="3" t="s">
        <v>2362</v>
      </c>
      <c r="AC258" s="3" t="s">
        <v>2363</v>
      </c>
      <c r="AD258" s="3"/>
      <c r="AE258" s="3" t="s">
        <v>4763</v>
      </c>
      <c r="AF258" s="3">
        <v>0</v>
      </c>
      <c r="AG258" s="3" t="s">
        <v>2361</v>
      </c>
      <c r="AH258" s="3" t="s">
        <v>2365</v>
      </c>
      <c r="AI258" s="3" t="s">
        <v>2366</v>
      </c>
      <c r="AJ258" s="3"/>
      <c r="AK258" s="3"/>
      <c r="AL258" s="3"/>
      <c r="AM258" s="3"/>
      <c r="AN258" s="3"/>
      <c r="AO258" s="3"/>
      <c r="AP258" s="3"/>
      <c r="AQ258" s="3" t="s">
        <v>5152</v>
      </c>
      <c r="AR258" s="3"/>
      <c r="AS258" s="3"/>
      <c r="AT258" s="3" t="s">
        <v>2359</v>
      </c>
      <c r="AU258" s="3"/>
      <c r="AV258" s="3">
        <v>1</v>
      </c>
      <c r="AW258" s="3"/>
      <c r="AX258" s="3"/>
      <c r="AY258" s="3"/>
      <c r="AZ258" s="3"/>
      <c r="BA258" s="3"/>
      <c r="BB258" s="3" t="s">
        <v>2369</v>
      </c>
      <c r="BC258" s="3" t="s">
        <v>2370</v>
      </c>
      <c r="BD258" s="3" t="s">
        <v>2371</v>
      </c>
      <c r="BE258" s="3" t="s">
        <v>4764</v>
      </c>
      <c r="BF258" s="3">
        <v>1</v>
      </c>
      <c r="BG258" s="3">
        <v>-6.9625000000000004</v>
      </c>
      <c r="BH258" s="3">
        <v>107.4346</v>
      </c>
      <c r="BI258" s="3"/>
      <c r="BJ258" s="3">
        <v>40</v>
      </c>
      <c r="BK258" s="3">
        <v>138</v>
      </c>
      <c r="BL258" s="3">
        <v>49</v>
      </c>
      <c r="BM258" s="3">
        <v>1</v>
      </c>
      <c r="BN258" s="3">
        <v>2</v>
      </c>
    </row>
    <row r="259" spans="1:66" hidden="1" x14ac:dyDescent="0.3">
      <c r="A259" s="3">
        <v>253</v>
      </c>
      <c r="B259" s="3" t="s">
        <v>3960</v>
      </c>
      <c r="C259" s="3" t="s">
        <v>4338</v>
      </c>
      <c r="D259" s="3" t="s">
        <v>53</v>
      </c>
      <c r="E259" s="3">
        <v>107802147</v>
      </c>
      <c r="F259" s="3" t="s">
        <v>2373</v>
      </c>
      <c r="G259" s="157">
        <v>40396</v>
      </c>
      <c r="H259" s="3">
        <v>3217124608100000</v>
      </c>
      <c r="I259" s="3" t="s">
        <v>2353</v>
      </c>
      <c r="J259" s="3" t="s">
        <v>4765</v>
      </c>
      <c r="K259" s="3">
        <v>2</v>
      </c>
      <c r="L259" s="3">
        <v>7</v>
      </c>
      <c r="M259" s="3">
        <v>2</v>
      </c>
      <c r="N259" s="3" t="s">
        <v>4527</v>
      </c>
      <c r="O259" s="3" t="s">
        <v>2356</v>
      </c>
      <c r="P259" s="3">
        <v>40564</v>
      </c>
      <c r="Q259" s="3" t="s">
        <v>2357</v>
      </c>
      <c r="R259" s="3" t="s">
        <v>2374</v>
      </c>
      <c r="S259" s="3"/>
      <c r="T259" s="3">
        <v>83817746919</v>
      </c>
      <c r="U259" s="3"/>
      <c r="V259" s="3"/>
      <c r="W259" s="3" t="s">
        <v>2359</v>
      </c>
      <c r="X259" s="3"/>
      <c r="Y259" s="3" t="s">
        <v>4766</v>
      </c>
      <c r="Z259" s="3">
        <v>1964</v>
      </c>
      <c r="AA259" s="3" t="s">
        <v>2390</v>
      </c>
      <c r="AB259" s="3" t="s">
        <v>2362</v>
      </c>
      <c r="AC259" s="3" t="s">
        <v>2375</v>
      </c>
      <c r="AD259" s="3">
        <v>3217120607640000</v>
      </c>
      <c r="AE259" s="3" t="s">
        <v>4767</v>
      </c>
      <c r="AF259" s="3">
        <v>1970</v>
      </c>
      <c r="AG259" s="3"/>
      <c r="AH259" s="3" t="s">
        <v>2365</v>
      </c>
      <c r="AI259" s="3" t="s">
        <v>2366</v>
      </c>
      <c r="AJ259" s="3">
        <v>3217124708700030</v>
      </c>
      <c r="AK259" s="3"/>
      <c r="AL259" s="3"/>
      <c r="AM259" s="3" t="s">
        <v>2367</v>
      </c>
      <c r="AN259" s="3"/>
      <c r="AO259" s="3"/>
      <c r="AP259" s="3"/>
      <c r="AQ259" s="3" t="s">
        <v>5152</v>
      </c>
      <c r="AR259" s="3"/>
      <c r="AS259" s="3"/>
      <c r="AT259" s="3" t="s">
        <v>2359</v>
      </c>
      <c r="AU259" s="3"/>
      <c r="AV259" s="3">
        <v>0</v>
      </c>
      <c r="AW259" s="3"/>
      <c r="AX259" s="3"/>
      <c r="AY259" s="3"/>
      <c r="AZ259" s="3"/>
      <c r="BA259" s="3"/>
      <c r="BB259" s="3" t="s">
        <v>2369</v>
      </c>
      <c r="BC259" s="3" t="s">
        <v>2370</v>
      </c>
      <c r="BD259" s="3" t="s">
        <v>2371</v>
      </c>
      <c r="BE259" s="3" t="s">
        <v>2413</v>
      </c>
      <c r="BF259" s="3">
        <v>3</v>
      </c>
      <c r="BG259" s="3">
        <v>-6.9547990180000001</v>
      </c>
      <c r="BH259" s="3">
        <v>107.3802853</v>
      </c>
      <c r="BI259" s="3">
        <v>3217121710070010</v>
      </c>
      <c r="BJ259" s="3">
        <v>45</v>
      </c>
      <c r="BK259" s="3">
        <v>136</v>
      </c>
      <c r="BL259" s="3">
        <v>51</v>
      </c>
      <c r="BM259" s="3">
        <v>1</v>
      </c>
      <c r="BN259" s="3">
        <v>2</v>
      </c>
    </row>
    <row r="260" spans="1:66" s="219" customFormat="1" hidden="1" x14ac:dyDescent="0.3">
      <c r="A260" s="54">
        <v>254</v>
      </c>
      <c r="B260" s="54" t="s">
        <v>2602</v>
      </c>
      <c r="C260" s="54" t="s">
        <v>2142</v>
      </c>
      <c r="D260" s="54" t="s">
        <v>53</v>
      </c>
      <c r="E260" s="54">
        <v>106274666</v>
      </c>
      <c r="F260" s="54" t="s">
        <v>2603</v>
      </c>
      <c r="G260" s="108">
        <v>40339</v>
      </c>
      <c r="H260" s="54">
        <v>3217025006100000</v>
      </c>
      <c r="I260" s="54" t="s">
        <v>2353</v>
      </c>
      <c r="J260" s="54" t="s">
        <v>2604</v>
      </c>
      <c r="K260" s="54">
        <v>3</v>
      </c>
      <c r="L260" s="54">
        <v>1</v>
      </c>
      <c r="M260" s="54"/>
      <c r="N260" s="54" t="s">
        <v>2605</v>
      </c>
      <c r="O260" s="54" t="s">
        <v>2606</v>
      </c>
      <c r="P260" s="54"/>
      <c r="Q260" s="54" t="s">
        <v>2607</v>
      </c>
      <c r="R260" s="54" t="s">
        <v>2374</v>
      </c>
      <c r="S260" s="54"/>
      <c r="T260" s="54"/>
      <c r="U260" s="54"/>
      <c r="V260" s="54"/>
      <c r="W260" s="54" t="s">
        <v>2359</v>
      </c>
      <c r="X260" s="54"/>
      <c r="Y260" s="54"/>
      <c r="Z260" s="54">
        <v>0</v>
      </c>
      <c r="AA260" s="54"/>
      <c r="AB260" s="54" t="s">
        <v>2362</v>
      </c>
      <c r="AC260" s="54" t="s">
        <v>2375</v>
      </c>
      <c r="AD260" s="54"/>
      <c r="AE260" s="54" t="s">
        <v>2608</v>
      </c>
      <c r="AF260" s="54">
        <v>0</v>
      </c>
      <c r="AG260" s="54"/>
      <c r="AH260" s="54" t="s">
        <v>2365</v>
      </c>
      <c r="AI260" s="54" t="s">
        <v>2366</v>
      </c>
      <c r="AJ260" s="54"/>
      <c r="AK260" s="54"/>
      <c r="AL260" s="54"/>
      <c r="AM260" s="54"/>
      <c r="AN260" s="54"/>
      <c r="AO260" s="54"/>
      <c r="AP260" s="54"/>
      <c r="AQ260" s="54" t="s">
        <v>8181</v>
      </c>
      <c r="AR260" s="54"/>
      <c r="AS260" s="54"/>
      <c r="AT260" s="54" t="s">
        <v>2359</v>
      </c>
      <c r="AU260" s="54"/>
      <c r="AV260" s="54">
        <v>1</v>
      </c>
      <c r="AW260" s="54"/>
      <c r="AX260" s="54"/>
      <c r="AY260" s="54"/>
      <c r="AZ260" s="54"/>
      <c r="BA260" s="54"/>
      <c r="BB260" s="54" t="s">
        <v>2359</v>
      </c>
      <c r="BC260" s="54"/>
      <c r="BD260" s="54" t="s">
        <v>2371</v>
      </c>
      <c r="BE260" s="54" t="s">
        <v>2376</v>
      </c>
      <c r="BF260" s="54">
        <v>1</v>
      </c>
      <c r="BG260" s="54">
        <v>-6.9625000000000004</v>
      </c>
      <c r="BH260" s="54">
        <v>107.4346</v>
      </c>
      <c r="BI260" s="54"/>
      <c r="BJ260" s="54">
        <v>43</v>
      </c>
      <c r="BK260" s="54">
        <v>133</v>
      </c>
      <c r="BL260" s="54">
        <v>54</v>
      </c>
      <c r="BM260" s="54">
        <v>1</v>
      </c>
      <c r="BN260" s="54">
        <v>5</v>
      </c>
    </row>
    <row r="261" spans="1:66" s="219" customFormat="1" hidden="1" x14ac:dyDescent="0.3">
      <c r="A261" s="54">
        <v>255</v>
      </c>
      <c r="B261" s="54" t="s">
        <v>2835</v>
      </c>
      <c r="C261" s="54" t="s">
        <v>2204</v>
      </c>
      <c r="D261" s="54" t="s">
        <v>53</v>
      </c>
      <c r="E261" s="54">
        <v>106381607</v>
      </c>
      <c r="F261" s="54" t="s">
        <v>2373</v>
      </c>
      <c r="G261" s="108">
        <v>40305</v>
      </c>
      <c r="H261" s="54">
        <v>3217114706100000</v>
      </c>
      <c r="I261" s="54" t="s">
        <v>2353</v>
      </c>
      <c r="J261" s="54" t="s">
        <v>2565</v>
      </c>
      <c r="K261" s="54">
        <v>4</v>
      </c>
      <c r="L261" s="54">
        <v>1</v>
      </c>
      <c r="M261" s="54"/>
      <c r="N261" s="54" t="s">
        <v>2566</v>
      </c>
      <c r="O261" s="54" t="s">
        <v>2426</v>
      </c>
      <c r="P261" s="54">
        <v>40562</v>
      </c>
      <c r="Q261" s="54" t="s">
        <v>2357</v>
      </c>
      <c r="R261" s="54" t="s">
        <v>2358</v>
      </c>
      <c r="S261" s="54"/>
      <c r="T261" s="54"/>
      <c r="U261" s="54"/>
      <c r="V261" s="54"/>
      <c r="W261" s="54" t="s">
        <v>2359</v>
      </c>
      <c r="X261" s="54"/>
      <c r="Y261" s="54" t="s">
        <v>2836</v>
      </c>
      <c r="Z261" s="54">
        <v>1984</v>
      </c>
      <c r="AA261" s="54" t="s">
        <v>2390</v>
      </c>
      <c r="AB261" s="54" t="s">
        <v>2362</v>
      </c>
      <c r="AC261" s="54" t="s">
        <v>2403</v>
      </c>
      <c r="AD261" s="54"/>
      <c r="AE261" s="54" t="s">
        <v>2837</v>
      </c>
      <c r="AF261" s="54">
        <v>1990</v>
      </c>
      <c r="AG261" s="54" t="s">
        <v>2361</v>
      </c>
      <c r="AH261" s="54" t="s">
        <v>2365</v>
      </c>
      <c r="AI261" s="54" t="s">
        <v>2366</v>
      </c>
      <c r="AJ261" s="54"/>
      <c r="AK261" s="54"/>
      <c r="AL261" s="54"/>
      <c r="AM261" s="54" t="s">
        <v>2367</v>
      </c>
      <c r="AN261" s="54"/>
      <c r="AO261" s="54"/>
      <c r="AP261" s="54"/>
      <c r="AQ261" s="54" t="s">
        <v>8179</v>
      </c>
      <c r="AR261" s="54"/>
      <c r="AS261" s="54"/>
      <c r="AT261" s="54" t="s">
        <v>2359</v>
      </c>
      <c r="AU261" s="54"/>
      <c r="AV261" s="54">
        <v>0</v>
      </c>
      <c r="AW261" s="54"/>
      <c r="AX261" s="54"/>
      <c r="AY261" s="54"/>
      <c r="AZ261" s="54"/>
      <c r="BA261" s="54"/>
      <c r="BB261" s="54" t="s">
        <v>2369</v>
      </c>
      <c r="BC261" s="54" t="s">
        <v>2370</v>
      </c>
      <c r="BD261" s="54" t="s">
        <v>2371</v>
      </c>
      <c r="BE261" s="54" t="s">
        <v>2691</v>
      </c>
      <c r="BF261" s="54">
        <v>1</v>
      </c>
      <c r="BG261" s="54">
        <v>-6.9743000000000004</v>
      </c>
      <c r="BH261" s="54">
        <v>107.43559999999999</v>
      </c>
      <c r="BI261" s="54"/>
      <c r="BJ261" s="54">
        <v>55</v>
      </c>
      <c r="BK261" s="54">
        <v>143</v>
      </c>
      <c r="BL261" s="54">
        <v>0</v>
      </c>
      <c r="BM261" s="54">
        <v>0</v>
      </c>
      <c r="BN261" s="54">
        <v>0</v>
      </c>
    </row>
    <row r="262" spans="1:66" hidden="1" x14ac:dyDescent="0.3">
      <c r="A262" s="3">
        <v>256</v>
      </c>
      <c r="B262" s="3" t="s">
        <v>3831</v>
      </c>
      <c r="C262" s="3" t="s">
        <v>4277</v>
      </c>
      <c r="D262" s="3" t="s">
        <v>52</v>
      </c>
      <c r="E262" s="3">
        <v>3113780936</v>
      </c>
      <c r="F262" s="3" t="s">
        <v>2377</v>
      </c>
      <c r="G262" s="157">
        <v>40592</v>
      </c>
      <c r="H262" s="3">
        <v>3217121802110000</v>
      </c>
      <c r="I262" s="3" t="s">
        <v>2353</v>
      </c>
      <c r="J262" s="3" t="s">
        <v>2585</v>
      </c>
      <c r="K262" s="3">
        <v>1</v>
      </c>
      <c r="L262" s="3">
        <v>7</v>
      </c>
      <c r="M262" s="3"/>
      <c r="N262" s="3" t="s">
        <v>4475</v>
      </c>
      <c r="O262" s="3" t="s">
        <v>2356</v>
      </c>
      <c r="P262" s="3">
        <v>40763</v>
      </c>
      <c r="Q262" s="3" t="s">
        <v>2357</v>
      </c>
      <c r="R262" s="3" t="s">
        <v>2358</v>
      </c>
      <c r="S262" s="3"/>
      <c r="T262" s="3"/>
      <c r="U262" s="3"/>
      <c r="V262" s="3"/>
      <c r="W262" s="3" t="s">
        <v>2359</v>
      </c>
      <c r="X262" s="3"/>
      <c r="Y262" s="3" t="s">
        <v>4768</v>
      </c>
      <c r="Z262" s="3">
        <v>1964</v>
      </c>
      <c r="AA262" s="3" t="s">
        <v>2361</v>
      </c>
      <c r="AB262" s="3" t="s">
        <v>2362</v>
      </c>
      <c r="AC262" s="3" t="s">
        <v>2363</v>
      </c>
      <c r="AD262" s="3">
        <v>3217120112640000</v>
      </c>
      <c r="AE262" s="3" t="s">
        <v>4024</v>
      </c>
      <c r="AF262" s="3">
        <v>1967</v>
      </c>
      <c r="AG262" s="3" t="s">
        <v>2361</v>
      </c>
      <c r="AH262" s="3" t="s">
        <v>2365</v>
      </c>
      <c r="AI262" s="3" t="s">
        <v>2366</v>
      </c>
      <c r="AJ262" s="3">
        <v>3217124611670000</v>
      </c>
      <c r="AK262" s="3"/>
      <c r="AL262" s="3"/>
      <c r="AM262" s="3"/>
      <c r="AN262" s="3"/>
      <c r="AO262" s="3"/>
      <c r="AP262" s="3"/>
      <c r="AQ262" s="3" t="s">
        <v>5149</v>
      </c>
      <c r="AR262" s="3" t="s">
        <v>4769</v>
      </c>
      <c r="AS262" s="3" t="s">
        <v>4770</v>
      </c>
      <c r="AT262" s="3" t="s">
        <v>2359</v>
      </c>
      <c r="AU262" s="3"/>
      <c r="AV262" s="3">
        <v>1</v>
      </c>
      <c r="AW262" s="3"/>
      <c r="AX262" s="3" t="s">
        <v>4771</v>
      </c>
      <c r="AY262" s="3"/>
      <c r="AZ262" s="3"/>
      <c r="BA262" s="3"/>
      <c r="BB262" s="3" t="s">
        <v>2369</v>
      </c>
      <c r="BC262" s="3" t="s">
        <v>2370</v>
      </c>
      <c r="BD262" s="3" t="s">
        <v>2371</v>
      </c>
      <c r="BE262" s="3" t="s">
        <v>4497</v>
      </c>
      <c r="BF262" s="3">
        <v>2</v>
      </c>
      <c r="BG262" s="3">
        <v>-6.9625000000000004</v>
      </c>
      <c r="BH262" s="3">
        <v>107.4346</v>
      </c>
      <c r="BI262" s="3">
        <v>3217122812090060</v>
      </c>
      <c r="BJ262" s="3">
        <v>40</v>
      </c>
      <c r="BK262" s="3">
        <v>141</v>
      </c>
      <c r="BL262" s="3">
        <v>55</v>
      </c>
      <c r="BM262" s="3">
        <v>0</v>
      </c>
      <c r="BN262" s="3">
        <v>2</v>
      </c>
    </row>
    <row r="263" spans="1:66" s="219" customFormat="1" hidden="1" x14ac:dyDescent="0.3">
      <c r="A263" s="54">
        <v>257</v>
      </c>
      <c r="B263" s="54" t="s">
        <v>1873</v>
      </c>
      <c r="C263" s="54" t="s">
        <v>1531</v>
      </c>
      <c r="D263" s="54" t="s">
        <v>52</v>
      </c>
      <c r="E263" s="54">
        <v>3092328118</v>
      </c>
      <c r="F263" s="54" t="s">
        <v>2373</v>
      </c>
      <c r="G263" s="108">
        <v>39868</v>
      </c>
      <c r="H263" s="54">
        <v>3217112402090000</v>
      </c>
      <c r="I263" s="54" t="s">
        <v>2353</v>
      </c>
      <c r="J263" s="54" t="s">
        <v>2695</v>
      </c>
      <c r="K263" s="54">
        <v>4</v>
      </c>
      <c r="L263" s="54">
        <v>12</v>
      </c>
      <c r="M263" s="54"/>
      <c r="N263" s="54" t="s">
        <v>2425</v>
      </c>
      <c r="O263" s="54" t="s">
        <v>2426</v>
      </c>
      <c r="P263" s="54">
        <v>40562</v>
      </c>
      <c r="Q263" s="54" t="s">
        <v>2357</v>
      </c>
      <c r="R263" s="54" t="s">
        <v>2358</v>
      </c>
      <c r="S263" s="54"/>
      <c r="T263" s="54">
        <v>83829840498</v>
      </c>
      <c r="U263" s="54"/>
      <c r="V263" s="54"/>
      <c r="W263" s="54" t="s">
        <v>2359</v>
      </c>
      <c r="X263" s="54"/>
      <c r="Y263" s="54" t="s">
        <v>3608</v>
      </c>
      <c r="Z263" s="54">
        <v>1975</v>
      </c>
      <c r="AA263" s="54" t="s">
        <v>2361</v>
      </c>
      <c r="AB263" s="54" t="s">
        <v>2362</v>
      </c>
      <c r="AC263" s="54" t="s">
        <v>2363</v>
      </c>
      <c r="AD263" s="54">
        <v>3217110401750000</v>
      </c>
      <c r="AE263" s="54" t="s">
        <v>3609</v>
      </c>
      <c r="AF263" s="54">
        <v>1983</v>
      </c>
      <c r="AG263" s="54" t="s">
        <v>2361</v>
      </c>
      <c r="AH263" s="54" t="s">
        <v>2365</v>
      </c>
      <c r="AI263" s="54" t="s">
        <v>2366</v>
      </c>
      <c r="AJ263" s="54">
        <v>3217116812830000</v>
      </c>
      <c r="AK263" s="54"/>
      <c r="AL263" s="54"/>
      <c r="AM263" s="54"/>
      <c r="AN263" s="54"/>
      <c r="AO263" s="54"/>
      <c r="AP263" s="54"/>
      <c r="AQ263" s="54" t="s">
        <v>5147</v>
      </c>
      <c r="AR263" s="54"/>
      <c r="AS263" s="54"/>
      <c r="AT263" s="54" t="s">
        <v>2359</v>
      </c>
      <c r="AU263" s="54"/>
      <c r="AV263" s="54">
        <v>0</v>
      </c>
      <c r="AW263" s="54"/>
      <c r="AX263" s="54" t="s">
        <v>3610</v>
      </c>
      <c r="AY263" s="54"/>
      <c r="AZ263" s="54"/>
      <c r="BA263" s="54"/>
      <c r="BB263" s="54" t="s">
        <v>2369</v>
      </c>
      <c r="BC263" s="54" t="s">
        <v>2370</v>
      </c>
      <c r="BD263" s="54" t="s">
        <v>2371</v>
      </c>
      <c r="BE263" s="54"/>
      <c r="BF263" s="54">
        <v>1</v>
      </c>
      <c r="BG263" s="54">
        <v>-6.9625000000000004</v>
      </c>
      <c r="BH263" s="54">
        <v>107.4346</v>
      </c>
      <c r="BI263" s="54">
        <v>3217112302060000</v>
      </c>
      <c r="BJ263" s="54">
        <v>46</v>
      </c>
      <c r="BK263" s="54">
        <v>144</v>
      </c>
      <c r="BL263" s="54">
        <v>56</v>
      </c>
      <c r="BM263" s="54">
        <v>1</v>
      </c>
      <c r="BN263" s="54">
        <v>1</v>
      </c>
    </row>
    <row r="264" spans="1:66" s="219" customFormat="1" hidden="1" x14ac:dyDescent="0.3">
      <c r="A264" s="54">
        <v>258</v>
      </c>
      <c r="B264" s="54" t="s">
        <v>1696</v>
      </c>
      <c r="C264" s="54" t="s">
        <v>2173</v>
      </c>
      <c r="D264" s="54" t="s">
        <v>53</v>
      </c>
      <c r="E264" s="54">
        <v>104263007</v>
      </c>
      <c r="F264" s="54" t="s">
        <v>2377</v>
      </c>
      <c r="G264" s="108">
        <v>40260</v>
      </c>
      <c r="H264" s="54">
        <v>3217126303100000</v>
      </c>
      <c r="I264" s="54" t="s">
        <v>2353</v>
      </c>
      <c r="J264" s="54" t="s">
        <v>2711</v>
      </c>
      <c r="K264" s="54">
        <v>4</v>
      </c>
      <c r="L264" s="54">
        <v>5</v>
      </c>
      <c r="M264" s="54" t="s">
        <v>2712</v>
      </c>
      <c r="N264" s="54" t="s">
        <v>2399</v>
      </c>
      <c r="O264" s="54" t="s">
        <v>2356</v>
      </c>
      <c r="P264" s="54">
        <v>40564</v>
      </c>
      <c r="Q264" s="54" t="s">
        <v>2357</v>
      </c>
      <c r="R264" s="54" t="s">
        <v>2358</v>
      </c>
      <c r="S264" s="54"/>
      <c r="T264" s="54">
        <v>859102738614</v>
      </c>
      <c r="U264" s="54"/>
      <c r="V264" s="54"/>
      <c r="W264" s="54" t="s">
        <v>2359</v>
      </c>
      <c r="X264" s="54"/>
      <c r="Y264" s="54" t="s">
        <v>2713</v>
      </c>
      <c r="Z264" s="54">
        <v>1971</v>
      </c>
      <c r="AA264" s="54" t="s">
        <v>2402</v>
      </c>
      <c r="AB264" s="54" t="s">
        <v>2362</v>
      </c>
      <c r="AC264" s="54" t="s">
        <v>2403</v>
      </c>
      <c r="AD264" s="54">
        <v>3217120510710010</v>
      </c>
      <c r="AE264" s="54" t="s">
        <v>2714</v>
      </c>
      <c r="AF264" s="54">
        <v>1980</v>
      </c>
      <c r="AG264" s="54" t="s">
        <v>2402</v>
      </c>
      <c r="AH264" s="54" t="s">
        <v>2365</v>
      </c>
      <c r="AI264" s="54" t="s">
        <v>2366</v>
      </c>
      <c r="AJ264" s="54">
        <v>3217126103800000</v>
      </c>
      <c r="AK264" s="54"/>
      <c r="AL264" s="54"/>
      <c r="AM264" s="54" t="s">
        <v>2367</v>
      </c>
      <c r="AN264" s="54"/>
      <c r="AO264" s="54"/>
      <c r="AP264" s="54"/>
      <c r="AQ264" s="54" t="s">
        <v>8180</v>
      </c>
      <c r="AR264" s="54"/>
      <c r="AS264" s="54"/>
      <c r="AT264" s="54" t="s">
        <v>2359</v>
      </c>
      <c r="AU264" s="54"/>
      <c r="AV264" s="54">
        <v>0</v>
      </c>
      <c r="AW264" s="54"/>
      <c r="AX264" s="54"/>
      <c r="AY264" s="54"/>
      <c r="AZ264" s="54"/>
      <c r="BA264" s="54"/>
      <c r="BB264" s="54" t="s">
        <v>2369</v>
      </c>
      <c r="BC264" s="54" t="s">
        <v>2370</v>
      </c>
      <c r="BD264" s="54" t="s">
        <v>2371</v>
      </c>
      <c r="BE264" s="54" t="s">
        <v>2406</v>
      </c>
      <c r="BF264" s="54">
        <v>2</v>
      </c>
      <c r="BG264" s="54">
        <v>-6.9568224929999998</v>
      </c>
      <c r="BH264" s="54">
        <v>107.3906922</v>
      </c>
      <c r="BI264" s="54"/>
      <c r="BJ264" s="54">
        <v>44</v>
      </c>
      <c r="BK264" s="54">
        <v>135</v>
      </c>
      <c r="BL264" s="54">
        <v>0</v>
      </c>
      <c r="BM264" s="54">
        <v>0</v>
      </c>
      <c r="BN264" s="54">
        <v>0</v>
      </c>
    </row>
    <row r="265" spans="1:66" s="219" customFormat="1" hidden="1" x14ac:dyDescent="0.3">
      <c r="A265" s="54">
        <v>259</v>
      </c>
      <c r="B265" s="54" t="s">
        <v>1824</v>
      </c>
      <c r="C265" s="54" t="s">
        <v>1470</v>
      </c>
      <c r="D265" s="54" t="s">
        <v>53</v>
      </c>
      <c r="E265" s="54">
        <v>97931415</v>
      </c>
      <c r="F265" s="54" t="s">
        <v>2352</v>
      </c>
      <c r="G265" s="108">
        <v>39972</v>
      </c>
      <c r="H265" s="54">
        <v>3217124806090000</v>
      </c>
      <c r="I265" s="54" t="s">
        <v>2353</v>
      </c>
      <c r="J265" s="54" t="s">
        <v>3379</v>
      </c>
      <c r="K265" s="54">
        <v>2</v>
      </c>
      <c r="L265" s="54">
        <v>5</v>
      </c>
      <c r="M265" s="54"/>
      <c r="N265" s="54" t="s">
        <v>2513</v>
      </c>
      <c r="O265" s="54" t="s">
        <v>2356</v>
      </c>
      <c r="P265" s="54">
        <v>40564</v>
      </c>
      <c r="Q265" s="54" t="s">
        <v>2357</v>
      </c>
      <c r="R265" s="54" t="s">
        <v>2358</v>
      </c>
      <c r="S265" s="54"/>
      <c r="T265" s="54">
        <v>859110081377</v>
      </c>
      <c r="U265" s="54"/>
      <c r="V265" s="54"/>
      <c r="W265" s="54" t="s">
        <v>2369</v>
      </c>
      <c r="X265" s="54" t="s">
        <v>3380</v>
      </c>
      <c r="Y265" s="54" t="s">
        <v>3381</v>
      </c>
      <c r="Z265" s="54">
        <v>1968</v>
      </c>
      <c r="AA265" s="54" t="s">
        <v>2361</v>
      </c>
      <c r="AB265" s="54" t="s">
        <v>2362</v>
      </c>
      <c r="AC265" s="54" t="s">
        <v>2363</v>
      </c>
      <c r="AD265" s="54"/>
      <c r="AE265" s="54" t="s">
        <v>2612</v>
      </c>
      <c r="AF265" s="54">
        <v>1985</v>
      </c>
      <c r="AG265" s="54" t="s">
        <v>2361</v>
      </c>
      <c r="AH265" s="54" t="s">
        <v>2365</v>
      </c>
      <c r="AI265" s="54" t="s">
        <v>2366</v>
      </c>
      <c r="AJ265" s="54"/>
      <c r="AK265" s="54"/>
      <c r="AL265" s="54"/>
      <c r="AM265" s="54"/>
      <c r="AN265" s="54"/>
      <c r="AO265" s="54"/>
      <c r="AP265" s="54"/>
      <c r="AQ265" s="54" t="s">
        <v>5147</v>
      </c>
      <c r="AR265" s="54"/>
      <c r="AS265" s="54"/>
      <c r="AT265" s="54" t="s">
        <v>2369</v>
      </c>
      <c r="AU265" s="54" t="s">
        <v>3380</v>
      </c>
      <c r="AV265" s="54">
        <v>0</v>
      </c>
      <c r="AW265" s="54"/>
      <c r="AX265" s="54"/>
      <c r="AY265" s="54" t="s">
        <v>2460</v>
      </c>
      <c r="AZ265" s="54">
        <v>411601002709502</v>
      </c>
      <c r="BA265" s="54" t="s">
        <v>1824</v>
      </c>
      <c r="BB265" s="54" t="s">
        <v>2369</v>
      </c>
      <c r="BC265" s="54"/>
      <c r="BD265" s="54" t="s">
        <v>2371</v>
      </c>
      <c r="BE265" s="54"/>
      <c r="BF265" s="54">
        <v>2</v>
      </c>
      <c r="BG265" s="54">
        <v>-6.9676999999999998</v>
      </c>
      <c r="BH265" s="54">
        <v>107.4117</v>
      </c>
      <c r="BI265" s="54"/>
      <c r="BJ265" s="54">
        <v>41</v>
      </c>
      <c r="BK265" s="54">
        <v>136</v>
      </c>
      <c r="BL265" s="54">
        <v>55</v>
      </c>
      <c r="BM265" s="54">
        <v>1</v>
      </c>
      <c r="BN265" s="54">
        <v>1</v>
      </c>
    </row>
    <row r="266" spans="1:66" s="219" customFormat="1" hidden="1" x14ac:dyDescent="0.3">
      <c r="A266" s="54">
        <v>260</v>
      </c>
      <c r="B266" s="54" t="s">
        <v>2838</v>
      </c>
      <c r="C266" s="54" t="s">
        <v>2205</v>
      </c>
      <c r="D266" s="54" t="s">
        <v>53</v>
      </c>
      <c r="E266" s="54">
        <v>91373755</v>
      </c>
      <c r="F266" s="54" t="s">
        <v>2373</v>
      </c>
      <c r="G266" s="108">
        <v>40152</v>
      </c>
      <c r="H266" s="54">
        <v>3217114512090000</v>
      </c>
      <c r="I266" s="54" t="s">
        <v>2353</v>
      </c>
      <c r="J266" s="54" t="s">
        <v>2839</v>
      </c>
      <c r="K266" s="54">
        <v>4</v>
      </c>
      <c r="L266" s="54">
        <v>9</v>
      </c>
      <c r="M266" s="54"/>
      <c r="N266" s="54" t="s">
        <v>2425</v>
      </c>
      <c r="O266" s="54" t="s">
        <v>2426</v>
      </c>
      <c r="P266" s="54">
        <v>40562</v>
      </c>
      <c r="Q266" s="54" t="s">
        <v>2357</v>
      </c>
      <c r="R266" s="54" t="s">
        <v>2358</v>
      </c>
      <c r="S266" s="54"/>
      <c r="T266" s="54"/>
      <c r="U266" s="54"/>
      <c r="V266" s="54"/>
      <c r="W266" s="54" t="s">
        <v>2359</v>
      </c>
      <c r="X266" s="54"/>
      <c r="Y266" s="54" t="s">
        <v>2840</v>
      </c>
      <c r="Z266" s="54">
        <v>1984</v>
      </c>
      <c r="AA266" s="54" t="s">
        <v>2402</v>
      </c>
      <c r="AB266" s="54" t="s">
        <v>2362</v>
      </c>
      <c r="AC266" s="54" t="s">
        <v>2403</v>
      </c>
      <c r="AD266" s="54"/>
      <c r="AE266" s="54" t="s">
        <v>2841</v>
      </c>
      <c r="AF266" s="54">
        <v>1984</v>
      </c>
      <c r="AG266" s="54" t="s">
        <v>2361</v>
      </c>
      <c r="AH266" s="54" t="s">
        <v>2365</v>
      </c>
      <c r="AI266" s="54" t="s">
        <v>2366</v>
      </c>
      <c r="AJ266" s="54"/>
      <c r="AK266" s="54"/>
      <c r="AL266" s="54"/>
      <c r="AM266" s="54" t="s">
        <v>2367</v>
      </c>
      <c r="AN266" s="54"/>
      <c r="AO266" s="54"/>
      <c r="AP266" s="54"/>
      <c r="AQ266" s="54" t="s">
        <v>8179</v>
      </c>
      <c r="AR266" s="54"/>
      <c r="AS266" s="54"/>
      <c r="AT266" s="54" t="s">
        <v>2359</v>
      </c>
      <c r="AU266" s="54"/>
      <c r="AV266" s="54">
        <v>0</v>
      </c>
      <c r="AW266" s="54"/>
      <c r="AX266" s="54" t="s">
        <v>2842</v>
      </c>
      <c r="AY266" s="54"/>
      <c r="AZ266" s="54"/>
      <c r="BA266" s="54"/>
      <c r="BB266" s="54" t="s">
        <v>2369</v>
      </c>
      <c r="BC266" s="54" t="s">
        <v>2370</v>
      </c>
      <c r="BD266" s="54" t="s">
        <v>2371</v>
      </c>
      <c r="BE266" s="54" t="s">
        <v>2691</v>
      </c>
      <c r="BF266" s="54">
        <v>1</v>
      </c>
      <c r="BG266" s="54">
        <v>-6.9743000000000004</v>
      </c>
      <c r="BH266" s="54">
        <v>107.43559999999999</v>
      </c>
      <c r="BI266" s="54"/>
      <c r="BJ266" s="54">
        <v>44</v>
      </c>
      <c r="BK266" s="54">
        <v>142</v>
      </c>
      <c r="BL266" s="54">
        <v>0</v>
      </c>
      <c r="BM266" s="54">
        <v>0</v>
      </c>
      <c r="BN266" s="54">
        <v>0</v>
      </c>
    </row>
    <row r="267" spans="1:66" s="219" customFormat="1" hidden="1" x14ac:dyDescent="0.3">
      <c r="A267" s="54">
        <v>261</v>
      </c>
      <c r="B267" s="54" t="s">
        <v>1723</v>
      </c>
      <c r="C267" s="54" t="s">
        <v>2228</v>
      </c>
      <c r="D267" s="54" t="s">
        <v>52</v>
      </c>
      <c r="E267" s="54">
        <v>109988574</v>
      </c>
      <c r="F267" s="54" t="s">
        <v>2377</v>
      </c>
      <c r="G267" s="108">
        <v>40304</v>
      </c>
      <c r="H267" s="54">
        <v>3217120605100000</v>
      </c>
      <c r="I267" s="54" t="s">
        <v>2353</v>
      </c>
      <c r="J267" s="54" t="s">
        <v>2910</v>
      </c>
      <c r="K267" s="54">
        <v>1</v>
      </c>
      <c r="L267" s="54">
        <v>11</v>
      </c>
      <c r="M267" s="54"/>
      <c r="N267" s="54" t="s">
        <v>2355</v>
      </c>
      <c r="O267" s="54" t="s">
        <v>2356</v>
      </c>
      <c r="P267" s="54">
        <v>40564</v>
      </c>
      <c r="Q267" s="54" t="s">
        <v>2357</v>
      </c>
      <c r="R267" s="54" t="s">
        <v>2358</v>
      </c>
      <c r="S267" s="54"/>
      <c r="T267" s="54">
        <v>83820246027</v>
      </c>
      <c r="U267" s="54"/>
      <c r="V267" s="54"/>
      <c r="W267" s="54" t="s">
        <v>2359</v>
      </c>
      <c r="X267" s="54"/>
      <c r="Y267" s="54" t="s">
        <v>2923</v>
      </c>
      <c r="Z267" s="54">
        <v>1969</v>
      </c>
      <c r="AA267" s="54" t="s">
        <v>2361</v>
      </c>
      <c r="AB267" s="54" t="s">
        <v>2362</v>
      </c>
      <c r="AC267" s="54" t="s">
        <v>2363</v>
      </c>
      <c r="AD267" s="54">
        <v>3217121206690010</v>
      </c>
      <c r="AE267" s="54" t="s">
        <v>2924</v>
      </c>
      <c r="AF267" s="54">
        <v>1973</v>
      </c>
      <c r="AG267" s="54" t="s">
        <v>2361</v>
      </c>
      <c r="AH267" s="54" t="s">
        <v>2365</v>
      </c>
      <c r="AI267" s="54" t="s">
        <v>2366</v>
      </c>
      <c r="AJ267" s="54">
        <v>3217124709730010</v>
      </c>
      <c r="AK267" s="54"/>
      <c r="AL267" s="54"/>
      <c r="AM267" s="54" t="s">
        <v>2367</v>
      </c>
      <c r="AN267" s="54"/>
      <c r="AO267" s="54"/>
      <c r="AP267" s="54"/>
      <c r="AQ267" s="54" t="s">
        <v>8178</v>
      </c>
      <c r="AR267" s="54"/>
      <c r="AS267" s="54"/>
      <c r="AT267" s="54" t="s">
        <v>2359</v>
      </c>
      <c r="AU267" s="54"/>
      <c r="AV267" s="54">
        <v>0</v>
      </c>
      <c r="AW267" s="54" t="s">
        <v>2925</v>
      </c>
      <c r="AX267" s="54" t="s">
        <v>2926</v>
      </c>
      <c r="AY267" s="54"/>
      <c r="AZ267" s="54"/>
      <c r="BA267" s="54"/>
      <c r="BB267" s="54" t="s">
        <v>2369</v>
      </c>
      <c r="BC267" s="54" t="s">
        <v>2443</v>
      </c>
      <c r="BD267" s="54" t="s">
        <v>2371</v>
      </c>
      <c r="BE267" s="54" t="s">
        <v>2372</v>
      </c>
      <c r="BF267" s="54"/>
      <c r="BG267" s="54">
        <v>-6.9676999999999998</v>
      </c>
      <c r="BH267" s="54">
        <v>107.4117</v>
      </c>
      <c r="BI267" s="54"/>
      <c r="BJ267" s="54">
        <v>44</v>
      </c>
      <c r="BK267" s="54">
        <v>142</v>
      </c>
      <c r="BL267" s="54">
        <v>0</v>
      </c>
      <c r="BM267" s="54">
        <v>0</v>
      </c>
      <c r="BN267" s="54">
        <v>0</v>
      </c>
    </row>
    <row r="268" spans="1:66" hidden="1" x14ac:dyDescent="0.3">
      <c r="A268" s="3">
        <v>262</v>
      </c>
      <c r="B268" s="3" t="s">
        <v>3832</v>
      </c>
      <c r="C268" s="3" t="s">
        <v>4278</v>
      </c>
      <c r="D268" s="3" t="s">
        <v>53</v>
      </c>
      <c r="E268" s="3">
        <v>3123803322</v>
      </c>
      <c r="F268" s="3" t="s">
        <v>2377</v>
      </c>
      <c r="G268" s="157">
        <v>40927</v>
      </c>
      <c r="H268" s="3">
        <v>3217125901120000</v>
      </c>
      <c r="I268" s="3" t="s">
        <v>2353</v>
      </c>
      <c r="J268" s="3" t="s">
        <v>2507</v>
      </c>
      <c r="K268" s="3">
        <v>1</v>
      </c>
      <c r="L268" s="3">
        <v>3</v>
      </c>
      <c r="M268" s="3"/>
      <c r="N268" s="3" t="s">
        <v>4557</v>
      </c>
      <c r="O268" s="3" t="s">
        <v>2356</v>
      </c>
      <c r="P268" s="3">
        <v>40564</v>
      </c>
      <c r="Q268" s="3" t="s">
        <v>2357</v>
      </c>
      <c r="R268" s="3" t="s">
        <v>2358</v>
      </c>
      <c r="S268" s="3"/>
      <c r="T268" s="3"/>
      <c r="U268" s="3"/>
      <c r="V268" s="3"/>
      <c r="W268" s="3" t="s">
        <v>2359</v>
      </c>
      <c r="X268" s="3"/>
      <c r="Y268" s="3" t="s">
        <v>4772</v>
      </c>
      <c r="Z268" s="3">
        <v>1975</v>
      </c>
      <c r="AA268" s="3" t="s">
        <v>2402</v>
      </c>
      <c r="AB268" s="3" t="s">
        <v>2362</v>
      </c>
      <c r="AC268" s="3" t="s">
        <v>2363</v>
      </c>
      <c r="AD268" s="3">
        <v>3217120704750010</v>
      </c>
      <c r="AE268" s="3" t="s">
        <v>3966</v>
      </c>
      <c r="AF268" s="3">
        <v>1980</v>
      </c>
      <c r="AG268" s="3" t="s">
        <v>2402</v>
      </c>
      <c r="AH268" s="3" t="s">
        <v>2365</v>
      </c>
      <c r="AI268" s="3" t="s">
        <v>2366</v>
      </c>
      <c r="AJ268" s="3">
        <v>3217125403800000</v>
      </c>
      <c r="AK268" s="3"/>
      <c r="AL268" s="3"/>
      <c r="AM268" s="3"/>
      <c r="AN268" s="3"/>
      <c r="AO268" s="3"/>
      <c r="AP268" s="3"/>
      <c r="AQ268" s="3" t="s">
        <v>5149</v>
      </c>
      <c r="AR268" s="3"/>
      <c r="AS268" s="3"/>
      <c r="AT268" s="3" t="s">
        <v>2359</v>
      </c>
      <c r="AU268" s="3"/>
      <c r="AV268" s="3">
        <v>1</v>
      </c>
      <c r="AW268" s="3"/>
      <c r="AX268" s="3" t="s">
        <v>3965</v>
      </c>
      <c r="AY268" s="3"/>
      <c r="AZ268" s="3"/>
      <c r="BA268" s="3"/>
      <c r="BB268" s="3" t="s">
        <v>2369</v>
      </c>
      <c r="BC268" s="3" t="s">
        <v>2370</v>
      </c>
      <c r="BD268" s="3" t="s">
        <v>2371</v>
      </c>
      <c r="BE268" s="3"/>
      <c r="BF268" s="3">
        <v>1</v>
      </c>
      <c r="BG268" s="3">
        <v>-6.9625000000000004</v>
      </c>
      <c r="BH268" s="3">
        <v>107.4346</v>
      </c>
      <c r="BI268" s="3"/>
      <c r="BJ268" s="3">
        <v>139</v>
      </c>
      <c r="BK268" s="3">
        <v>143</v>
      </c>
      <c r="BL268" s="3">
        <v>55</v>
      </c>
      <c r="BM268" s="3">
        <v>1</v>
      </c>
      <c r="BN268" s="3">
        <v>3</v>
      </c>
    </row>
    <row r="269" spans="1:66" s="219" customFormat="1" hidden="1" x14ac:dyDescent="0.3">
      <c r="A269" s="54">
        <v>263</v>
      </c>
      <c r="B269" s="54" t="s">
        <v>1874</v>
      </c>
      <c r="C269" s="54" t="s">
        <v>1532</v>
      </c>
      <c r="D269" s="54" t="s">
        <v>52</v>
      </c>
      <c r="E269" s="54">
        <v>3080145845</v>
      </c>
      <c r="F269" s="54" t="s">
        <v>3121</v>
      </c>
      <c r="G269" s="108">
        <v>39735</v>
      </c>
      <c r="H269" s="54">
        <v>3203051410080000</v>
      </c>
      <c r="I269" s="54" t="s">
        <v>2353</v>
      </c>
      <c r="J269" s="54" t="s">
        <v>3611</v>
      </c>
      <c r="K269" s="54">
        <v>4</v>
      </c>
      <c r="L269" s="54">
        <v>7</v>
      </c>
      <c r="M269" s="54"/>
      <c r="N269" s="54" t="s">
        <v>2907</v>
      </c>
      <c r="O269" s="54" t="s">
        <v>2356</v>
      </c>
      <c r="P269" s="54"/>
      <c r="Q269" s="54" t="s">
        <v>2357</v>
      </c>
      <c r="R269" s="54" t="s">
        <v>2374</v>
      </c>
      <c r="S269" s="54"/>
      <c r="T269" s="54">
        <v>83822035567</v>
      </c>
      <c r="U269" s="54"/>
      <c r="V269" s="54"/>
      <c r="W269" s="54" t="s">
        <v>2359</v>
      </c>
      <c r="X269" s="54"/>
      <c r="Y269" s="54"/>
      <c r="Z269" s="54">
        <v>1984</v>
      </c>
      <c r="AA269" s="54" t="s">
        <v>2390</v>
      </c>
      <c r="AB269" s="54" t="s">
        <v>2362</v>
      </c>
      <c r="AC269" s="54" t="s">
        <v>2363</v>
      </c>
      <c r="AD269" s="54"/>
      <c r="AE269" s="54" t="s">
        <v>3612</v>
      </c>
      <c r="AF269" s="54">
        <v>1989</v>
      </c>
      <c r="AG269" s="54" t="s">
        <v>2361</v>
      </c>
      <c r="AH269" s="54" t="s">
        <v>2365</v>
      </c>
      <c r="AI269" s="54" t="s">
        <v>2366</v>
      </c>
      <c r="AJ269" s="54"/>
      <c r="AK269" s="54"/>
      <c r="AL269" s="54"/>
      <c r="AM269" s="54"/>
      <c r="AN269" s="54"/>
      <c r="AO269" s="54"/>
      <c r="AP269" s="54"/>
      <c r="AQ269" s="54" t="s">
        <v>5147</v>
      </c>
      <c r="AR269" s="54"/>
      <c r="AS269" s="54"/>
      <c r="AT269" s="54" t="s">
        <v>2359</v>
      </c>
      <c r="AU269" s="54"/>
      <c r="AV269" s="54">
        <v>0</v>
      </c>
      <c r="AW269" s="54"/>
      <c r="AX269" s="54">
        <v>217121806120002</v>
      </c>
      <c r="AY269" s="54"/>
      <c r="AZ269" s="54"/>
      <c r="BA269" s="54"/>
      <c r="BB269" s="54" t="s">
        <v>2369</v>
      </c>
      <c r="BC269" s="54" t="s">
        <v>2370</v>
      </c>
      <c r="BD269" s="54" t="s">
        <v>2371</v>
      </c>
      <c r="BE269" s="54"/>
      <c r="BF269" s="54">
        <v>1</v>
      </c>
      <c r="BG269" s="54">
        <v>-6.9625000000000004</v>
      </c>
      <c r="BH269" s="54">
        <v>107.4346</v>
      </c>
      <c r="BI269" s="54"/>
      <c r="BJ269" s="54">
        <v>47</v>
      </c>
      <c r="BK269" s="54">
        <v>143</v>
      </c>
      <c r="BL269" s="54">
        <v>56</v>
      </c>
      <c r="BM269" s="54">
        <v>1</v>
      </c>
      <c r="BN269" s="54">
        <v>4</v>
      </c>
    </row>
    <row r="270" spans="1:66" s="219" customFormat="1" hidden="1" x14ac:dyDescent="0.3">
      <c r="A270" s="54">
        <v>264</v>
      </c>
      <c r="B270" s="54" t="s">
        <v>1799</v>
      </c>
      <c r="C270" s="54" t="s">
        <v>1437</v>
      </c>
      <c r="D270" s="54" t="s">
        <v>52</v>
      </c>
      <c r="E270" s="54">
        <v>3092545480</v>
      </c>
      <c r="F270" s="54" t="s">
        <v>2446</v>
      </c>
      <c r="G270" s="108">
        <v>40024</v>
      </c>
      <c r="H270" s="54">
        <v>3273153001090000</v>
      </c>
      <c r="I270" s="54" t="s">
        <v>2353</v>
      </c>
      <c r="J270" s="54" t="s">
        <v>3134</v>
      </c>
      <c r="K270" s="54">
        <v>1</v>
      </c>
      <c r="L270" s="54">
        <v>8</v>
      </c>
      <c r="M270" s="54"/>
      <c r="N270" s="54" t="s">
        <v>2425</v>
      </c>
      <c r="O270" s="54" t="s">
        <v>2426</v>
      </c>
      <c r="P270" s="54">
        <v>40562</v>
      </c>
      <c r="Q270" s="54" t="s">
        <v>2357</v>
      </c>
      <c r="R270" s="54" t="s">
        <v>2358</v>
      </c>
      <c r="S270" s="54"/>
      <c r="T270" s="54">
        <v>82116041722</v>
      </c>
      <c r="U270" s="54"/>
      <c r="V270" s="54"/>
      <c r="W270" s="54" t="s">
        <v>2359</v>
      </c>
      <c r="X270" s="54"/>
      <c r="Y270" s="54"/>
      <c r="Z270" s="54">
        <v>0</v>
      </c>
      <c r="AA270" s="54" t="s">
        <v>2402</v>
      </c>
      <c r="AB270" s="54" t="s">
        <v>2362</v>
      </c>
      <c r="AC270" s="54" t="s">
        <v>2363</v>
      </c>
      <c r="AD270" s="54"/>
      <c r="AE270" s="54" t="s">
        <v>3276</v>
      </c>
      <c r="AF270" s="54">
        <v>0</v>
      </c>
      <c r="AG270" s="54" t="s">
        <v>2402</v>
      </c>
      <c r="AH270" s="54" t="s">
        <v>2365</v>
      </c>
      <c r="AI270" s="54" t="s">
        <v>2366</v>
      </c>
      <c r="AJ270" s="54"/>
      <c r="AK270" s="54"/>
      <c r="AL270" s="54"/>
      <c r="AM270" s="54"/>
      <c r="AN270" s="54"/>
      <c r="AO270" s="54"/>
      <c r="AP270" s="54"/>
      <c r="AQ270" s="54" t="s">
        <v>5147</v>
      </c>
      <c r="AR270" s="54"/>
      <c r="AS270" s="54"/>
      <c r="AT270" s="54" t="s">
        <v>2359</v>
      </c>
      <c r="AU270" s="54"/>
      <c r="AV270" s="54">
        <v>0</v>
      </c>
      <c r="AW270" s="54"/>
      <c r="AX270" s="54"/>
      <c r="AY270" s="54"/>
      <c r="AZ270" s="54"/>
      <c r="BA270" s="54"/>
      <c r="BB270" s="54" t="s">
        <v>2369</v>
      </c>
      <c r="BC270" s="54" t="s">
        <v>2370</v>
      </c>
      <c r="BD270" s="54" t="s">
        <v>2371</v>
      </c>
      <c r="BE270" s="54"/>
      <c r="BF270" s="54">
        <v>1</v>
      </c>
      <c r="BG270" s="54">
        <v>-6.9625000000000004</v>
      </c>
      <c r="BH270" s="54">
        <v>107.4346</v>
      </c>
      <c r="BI270" s="54">
        <v>3217112810140000</v>
      </c>
      <c r="BJ270" s="54">
        <v>49</v>
      </c>
      <c r="BK270" s="54">
        <v>151</v>
      </c>
      <c r="BL270" s="54">
        <v>57</v>
      </c>
      <c r="BM270" s="54">
        <v>1</v>
      </c>
      <c r="BN270" s="54">
        <v>1</v>
      </c>
    </row>
    <row r="271" spans="1:66" s="219" customFormat="1" hidden="1" x14ac:dyDescent="0.3">
      <c r="A271" s="54">
        <v>265</v>
      </c>
      <c r="B271" s="54" t="s">
        <v>1705</v>
      </c>
      <c r="C271" s="54" t="s">
        <v>2206</v>
      </c>
      <c r="D271" s="54" t="s">
        <v>52</v>
      </c>
      <c r="E271" s="54">
        <v>97123646</v>
      </c>
      <c r="F271" s="54" t="s">
        <v>2377</v>
      </c>
      <c r="G271" s="108">
        <v>39915</v>
      </c>
      <c r="H271" s="54">
        <v>3217121204090000</v>
      </c>
      <c r="I271" s="54" t="s">
        <v>2353</v>
      </c>
      <c r="J271" s="54" t="s">
        <v>2843</v>
      </c>
      <c r="K271" s="54">
        <v>1</v>
      </c>
      <c r="L271" s="54">
        <v>2</v>
      </c>
      <c r="M271" s="54" t="s">
        <v>2844</v>
      </c>
      <c r="N271" s="54" t="s">
        <v>2845</v>
      </c>
      <c r="O271" s="54" t="s">
        <v>2356</v>
      </c>
      <c r="P271" s="54">
        <v>40564</v>
      </c>
      <c r="Q271" s="54" t="s">
        <v>2357</v>
      </c>
      <c r="R271" s="54" t="s">
        <v>2358</v>
      </c>
      <c r="S271" s="54"/>
      <c r="T271" s="54"/>
      <c r="U271" s="54"/>
      <c r="V271" s="54"/>
      <c r="W271" s="54" t="s">
        <v>2359</v>
      </c>
      <c r="X271" s="54"/>
      <c r="Y271" s="54" t="s">
        <v>2846</v>
      </c>
      <c r="Z271" s="54">
        <v>1968</v>
      </c>
      <c r="AA271" s="54" t="s">
        <v>2402</v>
      </c>
      <c r="AB271" s="54" t="s">
        <v>2362</v>
      </c>
      <c r="AC271" s="54" t="s">
        <v>2403</v>
      </c>
      <c r="AD271" s="54">
        <v>3217120911680000</v>
      </c>
      <c r="AE271" s="54" t="s">
        <v>2847</v>
      </c>
      <c r="AF271" s="54">
        <v>1973</v>
      </c>
      <c r="AG271" s="54" t="s">
        <v>2361</v>
      </c>
      <c r="AH271" s="54" t="s">
        <v>2365</v>
      </c>
      <c r="AI271" s="54" t="s">
        <v>2366</v>
      </c>
      <c r="AJ271" s="54">
        <v>3217125306730000</v>
      </c>
      <c r="AK271" s="54"/>
      <c r="AL271" s="54"/>
      <c r="AM271" s="54" t="s">
        <v>2367</v>
      </c>
      <c r="AN271" s="54"/>
      <c r="AO271" s="54"/>
      <c r="AP271" s="54"/>
      <c r="AQ271" s="54" t="s">
        <v>8179</v>
      </c>
      <c r="AR271" s="54"/>
      <c r="AS271" s="54"/>
      <c r="AT271" s="54" t="s">
        <v>2359</v>
      </c>
      <c r="AU271" s="54" t="s">
        <v>2848</v>
      </c>
      <c r="AV271" s="54">
        <v>0</v>
      </c>
      <c r="AW271" s="54" t="s">
        <v>2849</v>
      </c>
      <c r="AX271" s="54"/>
      <c r="AY271" s="54"/>
      <c r="AZ271" s="54"/>
      <c r="BA271" s="54"/>
      <c r="BB271" s="54" t="s">
        <v>2359</v>
      </c>
      <c r="BC271" s="54"/>
      <c r="BD271" s="54" t="s">
        <v>2371</v>
      </c>
      <c r="BE271" s="54" t="s">
        <v>2406</v>
      </c>
      <c r="BF271" s="54">
        <v>2</v>
      </c>
      <c r="BG271" s="54">
        <v>-6.9611463110000003</v>
      </c>
      <c r="BH271" s="54">
        <v>107.3924518</v>
      </c>
      <c r="BI271" s="54"/>
      <c r="BJ271" s="54">
        <v>56</v>
      </c>
      <c r="BK271" s="54">
        <v>147</v>
      </c>
      <c r="BL271" s="54">
        <v>57</v>
      </c>
      <c r="BM271" s="54">
        <v>1</v>
      </c>
      <c r="BN271" s="54">
        <v>2</v>
      </c>
    </row>
    <row r="272" spans="1:66" hidden="1" x14ac:dyDescent="0.3">
      <c r="A272" s="3">
        <v>266</v>
      </c>
      <c r="B272" s="3" t="s">
        <v>3917</v>
      </c>
      <c r="C272" s="3" t="s">
        <v>4375</v>
      </c>
      <c r="D272" s="3" t="s">
        <v>52</v>
      </c>
      <c r="E272" s="3">
        <v>101555257</v>
      </c>
      <c r="F272" s="3" t="s">
        <v>2377</v>
      </c>
      <c r="G272" s="157">
        <v>40430</v>
      </c>
      <c r="H272" s="3">
        <v>3217120909120000</v>
      </c>
      <c r="I272" s="3" t="s">
        <v>2353</v>
      </c>
      <c r="J272" s="3" t="s">
        <v>4773</v>
      </c>
      <c r="K272" s="3">
        <v>6</v>
      </c>
      <c r="L272" s="3">
        <v>2</v>
      </c>
      <c r="M272" s="3"/>
      <c r="N272" s="3" t="s">
        <v>4527</v>
      </c>
      <c r="O272" s="3" t="s">
        <v>2356</v>
      </c>
      <c r="P272" s="3">
        <v>40564</v>
      </c>
      <c r="Q272" s="3" t="s">
        <v>2357</v>
      </c>
      <c r="R272" s="3" t="s">
        <v>2374</v>
      </c>
      <c r="S272" s="3"/>
      <c r="T272" s="3">
        <v>83805919689</v>
      </c>
      <c r="U272" s="3"/>
      <c r="V272" s="3"/>
      <c r="W272" s="3" t="s">
        <v>2359</v>
      </c>
      <c r="X272" s="3" t="s">
        <v>4774</v>
      </c>
      <c r="Y272" s="3" t="s">
        <v>3988</v>
      </c>
      <c r="Z272" s="3">
        <v>1981</v>
      </c>
      <c r="AA272" s="3" t="s">
        <v>2361</v>
      </c>
      <c r="AB272" s="3" t="s">
        <v>2362</v>
      </c>
      <c r="AC272" s="3" t="s">
        <v>2403</v>
      </c>
      <c r="AD272" s="3">
        <v>3217121712810000</v>
      </c>
      <c r="AE272" s="3" t="s">
        <v>3989</v>
      </c>
      <c r="AF272" s="3">
        <v>1989</v>
      </c>
      <c r="AG272" s="3" t="s">
        <v>2361</v>
      </c>
      <c r="AH272" s="3" t="s">
        <v>2365</v>
      </c>
      <c r="AI272" s="3" t="s">
        <v>2366</v>
      </c>
      <c r="AJ272" s="3">
        <v>3217124403890000</v>
      </c>
      <c r="AK272" s="3"/>
      <c r="AL272" s="3"/>
      <c r="AM272" s="3" t="s">
        <v>2367</v>
      </c>
      <c r="AN272" s="3"/>
      <c r="AO272" s="3"/>
      <c r="AP272" s="3"/>
      <c r="AQ272" s="3" t="s">
        <v>5151</v>
      </c>
      <c r="AR272" s="3"/>
      <c r="AS272" s="3"/>
      <c r="AT272" s="3" t="s">
        <v>2359</v>
      </c>
      <c r="AU272" s="3"/>
      <c r="AV272" s="3">
        <v>0</v>
      </c>
      <c r="AW272" s="3"/>
      <c r="AX272" s="3" t="s">
        <v>3987</v>
      </c>
      <c r="AY272" s="3"/>
      <c r="AZ272" s="3"/>
      <c r="BA272" s="3"/>
      <c r="BB272" s="3" t="s">
        <v>2369</v>
      </c>
      <c r="BC272" s="3" t="s">
        <v>2443</v>
      </c>
      <c r="BD272" s="3" t="s">
        <v>2371</v>
      </c>
      <c r="BE272" s="3" t="s">
        <v>2539</v>
      </c>
      <c r="BF272" s="3">
        <v>1</v>
      </c>
      <c r="BG272" s="3">
        <v>-6.9462000000000002</v>
      </c>
      <c r="BH272" s="3">
        <v>107.3884</v>
      </c>
      <c r="BI272" s="3">
        <v>3217120805120040</v>
      </c>
      <c r="BJ272" s="3">
        <v>55</v>
      </c>
      <c r="BK272" s="3">
        <v>143</v>
      </c>
      <c r="BL272" s="3">
        <v>63</v>
      </c>
      <c r="BM272" s="3">
        <v>1</v>
      </c>
      <c r="BN272" s="3">
        <v>3</v>
      </c>
    </row>
    <row r="273" spans="1:66" s="219" customFormat="1" hidden="1" x14ac:dyDescent="0.3">
      <c r="A273" s="54">
        <v>267</v>
      </c>
      <c r="B273" s="54" t="s">
        <v>1825</v>
      </c>
      <c r="C273" s="54" t="s">
        <v>1471</v>
      </c>
      <c r="D273" s="54" t="s">
        <v>52</v>
      </c>
      <c r="E273" s="54">
        <v>98909267</v>
      </c>
      <c r="F273" s="54" t="s">
        <v>2352</v>
      </c>
      <c r="G273" s="108">
        <v>40049</v>
      </c>
      <c r="H273" s="54">
        <v>3217112408990000</v>
      </c>
      <c r="I273" s="54" t="s">
        <v>2353</v>
      </c>
      <c r="J273" s="54" t="s">
        <v>3104</v>
      </c>
      <c r="K273" s="54">
        <v>4</v>
      </c>
      <c r="L273" s="54">
        <v>2</v>
      </c>
      <c r="M273" s="54"/>
      <c r="N273" s="54" t="s">
        <v>3105</v>
      </c>
      <c r="O273" s="54" t="s">
        <v>2426</v>
      </c>
      <c r="P273" s="54">
        <v>40562</v>
      </c>
      <c r="Q273" s="54" t="s">
        <v>2357</v>
      </c>
      <c r="R273" s="54" t="s">
        <v>2358</v>
      </c>
      <c r="S273" s="54"/>
      <c r="T273" s="54">
        <v>83822490945</v>
      </c>
      <c r="U273" s="54"/>
      <c r="V273" s="54"/>
      <c r="W273" s="54" t="s">
        <v>2359</v>
      </c>
      <c r="X273" s="54"/>
      <c r="Y273" s="54" t="s">
        <v>3382</v>
      </c>
      <c r="Z273" s="54">
        <v>1988</v>
      </c>
      <c r="AA273" s="54" t="s">
        <v>2361</v>
      </c>
      <c r="AB273" s="54" t="s">
        <v>2362</v>
      </c>
      <c r="AC273" s="54" t="s">
        <v>2403</v>
      </c>
      <c r="AD273" s="54">
        <v>3217110107880470</v>
      </c>
      <c r="AE273" s="54" t="s">
        <v>3383</v>
      </c>
      <c r="AF273" s="54">
        <v>1979</v>
      </c>
      <c r="AG273" s="54" t="s">
        <v>2361</v>
      </c>
      <c r="AH273" s="54" t="s">
        <v>2365</v>
      </c>
      <c r="AI273" s="54" t="s">
        <v>2366</v>
      </c>
      <c r="AJ273" s="54">
        <v>3217114208790000</v>
      </c>
      <c r="AK273" s="54"/>
      <c r="AL273" s="54"/>
      <c r="AM273" s="54"/>
      <c r="AN273" s="54"/>
      <c r="AO273" s="54"/>
      <c r="AP273" s="54"/>
      <c r="AQ273" s="54" t="s">
        <v>5147</v>
      </c>
      <c r="AR273" s="54"/>
      <c r="AS273" s="54"/>
      <c r="AT273" s="54" t="s">
        <v>2359</v>
      </c>
      <c r="AU273" s="54"/>
      <c r="AV273" s="54">
        <v>0</v>
      </c>
      <c r="AW273" s="54"/>
      <c r="AX273" s="54"/>
      <c r="AY273" s="54"/>
      <c r="AZ273" s="54"/>
      <c r="BA273" s="54"/>
      <c r="BB273" s="54" t="s">
        <v>2369</v>
      </c>
      <c r="BC273" s="54" t="s">
        <v>2370</v>
      </c>
      <c r="BD273" s="54" t="s">
        <v>2371</v>
      </c>
      <c r="BE273" s="54"/>
      <c r="BF273" s="54">
        <v>1</v>
      </c>
      <c r="BG273" s="54">
        <v>-6.9668999999999999</v>
      </c>
      <c r="BH273" s="54">
        <v>107.4242</v>
      </c>
      <c r="BI273" s="54"/>
      <c r="BJ273" s="54">
        <v>19</v>
      </c>
      <c r="BK273" s="54">
        <v>123</v>
      </c>
      <c r="BL273" s="54">
        <v>55</v>
      </c>
      <c r="BM273" s="54">
        <v>1</v>
      </c>
      <c r="BN273" s="54">
        <v>1</v>
      </c>
    </row>
    <row r="274" spans="1:66" hidden="1" x14ac:dyDescent="0.3">
      <c r="A274" s="3">
        <v>268</v>
      </c>
      <c r="B274" s="3" t="s">
        <v>1728</v>
      </c>
      <c r="C274" s="3" t="s">
        <v>2229</v>
      </c>
      <c r="D274" s="3" t="s">
        <v>52</v>
      </c>
      <c r="E274" s="3">
        <v>98026111</v>
      </c>
      <c r="F274" s="3" t="s">
        <v>2373</v>
      </c>
      <c r="G274" s="157">
        <v>40034</v>
      </c>
      <c r="H274" s="3">
        <v>3217110908090000</v>
      </c>
      <c r="I274" s="3" t="s">
        <v>2353</v>
      </c>
      <c r="J274" s="3" t="s">
        <v>2593</v>
      </c>
      <c r="K274" s="3">
        <v>2</v>
      </c>
      <c r="L274" s="3">
        <v>13</v>
      </c>
      <c r="M274" s="3"/>
      <c r="N274" s="3" t="s">
        <v>2425</v>
      </c>
      <c r="O274" s="3" t="s">
        <v>2426</v>
      </c>
      <c r="P274" s="3">
        <v>40562</v>
      </c>
      <c r="Q274" s="3" t="s">
        <v>2357</v>
      </c>
      <c r="R274" s="3" t="s">
        <v>2358</v>
      </c>
      <c r="S274" s="3"/>
      <c r="T274" s="3"/>
      <c r="U274" s="3"/>
      <c r="V274" s="3"/>
      <c r="W274" s="3" t="s">
        <v>2359</v>
      </c>
      <c r="X274" s="3"/>
      <c r="Y274" s="3"/>
      <c r="Z274" s="3">
        <v>0</v>
      </c>
      <c r="AA274" s="3"/>
      <c r="AB274" s="3" t="s">
        <v>2362</v>
      </c>
      <c r="AC274" s="3" t="s">
        <v>2375</v>
      </c>
      <c r="AD274" s="3"/>
      <c r="AE274" s="3" t="s">
        <v>2927</v>
      </c>
      <c r="AF274" s="3">
        <v>0</v>
      </c>
      <c r="AG274" s="3"/>
      <c r="AH274" s="3" t="s">
        <v>2365</v>
      </c>
      <c r="AI274" s="3" t="s">
        <v>2366</v>
      </c>
      <c r="AJ274" s="3"/>
      <c r="AK274" s="3"/>
      <c r="AL274" s="3"/>
      <c r="AM274" s="3"/>
      <c r="AN274" s="3"/>
      <c r="AO274" s="3"/>
      <c r="AP274" s="3"/>
      <c r="AQ274" s="3" t="s">
        <v>5151</v>
      </c>
      <c r="AR274" s="3"/>
      <c r="AS274" s="3"/>
      <c r="AT274" s="3" t="s">
        <v>2359</v>
      </c>
      <c r="AU274" s="3"/>
      <c r="AV274" s="3">
        <v>1</v>
      </c>
      <c r="AW274" s="3"/>
      <c r="AX274" s="3"/>
      <c r="AY274" s="3"/>
      <c r="AZ274" s="3"/>
      <c r="BA274" s="3"/>
      <c r="BB274" s="3" t="s">
        <v>2369</v>
      </c>
      <c r="BC274" s="3" t="s">
        <v>2370</v>
      </c>
      <c r="BD274" s="3" t="s">
        <v>2371</v>
      </c>
      <c r="BE274" s="3" t="s">
        <v>2376</v>
      </c>
      <c r="BF274" s="3">
        <v>1</v>
      </c>
      <c r="BG274" s="3">
        <v>-6.9625000000000004</v>
      </c>
      <c r="BH274" s="3">
        <v>107.4346</v>
      </c>
      <c r="BI274" s="3"/>
      <c r="BJ274" s="3">
        <v>41</v>
      </c>
      <c r="BK274" s="3">
        <v>138</v>
      </c>
      <c r="BL274" s="3">
        <v>54</v>
      </c>
      <c r="BM274" s="3">
        <v>1</v>
      </c>
      <c r="BN274" s="3">
        <v>1</v>
      </c>
    </row>
    <row r="275" spans="1:66" hidden="1" x14ac:dyDescent="0.3">
      <c r="A275" s="3">
        <v>269</v>
      </c>
      <c r="B275" s="3" t="s">
        <v>4775</v>
      </c>
      <c r="C275" s="3" t="s">
        <v>4339</v>
      </c>
      <c r="D275" s="3" t="s">
        <v>52</v>
      </c>
      <c r="E275" s="3">
        <v>105866885</v>
      </c>
      <c r="F275" s="3" t="s">
        <v>2446</v>
      </c>
      <c r="G275" s="157">
        <v>40246</v>
      </c>
      <c r="H275" s="3">
        <v>3217110903100000</v>
      </c>
      <c r="I275" s="3" t="s">
        <v>2353</v>
      </c>
      <c r="J275" s="3" t="s">
        <v>3236</v>
      </c>
      <c r="K275" s="3">
        <v>1</v>
      </c>
      <c r="L275" s="3">
        <v>1</v>
      </c>
      <c r="M275" s="3"/>
      <c r="N275" s="3" t="s">
        <v>4604</v>
      </c>
      <c r="O275" s="3" t="s">
        <v>2426</v>
      </c>
      <c r="P275" s="3">
        <v>40562</v>
      </c>
      <c r="Q275" s="3" t="s">
        <v>2357</v>
      </c>
      <c r="R275" s="3" t="s">
        <v>2374</v>
      </c>
      <c r="S275" s="3"/>
      <c r="T275" s="3">
        <v>83873510140</v>
      </c>
      <c r="U275" s="3"/>
      <c r="V275" s="3"/>
      <c r="W275" s="3" t="s">
        <v>2359</v>
      </c>
      <c r="X275" s="3"/>
      <c r="Y275" s="3" t="s">
        <v>4776</v>
      </c>
      <c r="Z275" s="3">
        <v>1968</v>
      </c>
      <c r="AA275" s="3" t="s">
        <v>2361</v>
      </c>
      <c r="AB275" s="3" t="s">
        <v>2362</v>
      </c>
      <c r="AC275" s="3" t="s">
        <v>2363</v>
      </c>
      <c r="AD275" s="3">
        <v>3217111712680000</v>
      </c>
      <c r="AE275" s="3" t="s">
        <v>4777</v>
      </c>
      <c r="AF275" s="3">
        <v>1975</v>
      </c>
      <c r="AG275" s="3" t="s">
        <v>2361</v>
      </c>
      <c r="AH275" s="3" t="s">
        <v>2365</v>
      </c>
      <c r="AI275" s="3" t="s">
        <v>2366</v>
      </c>
      <c r="AJ275" s="3">
        <v>3217114503750000</v>
      </c>
      <c r="AK275" s="3"/>
      <c r="AL275" s="3"/>
      <c r="AM275" s="3" t="s">
        <v>2367</v>
      </c>
      <c r="AN275" s="3"/>
      <c r="AO275" s="3"/>
      <c r="AP275" s="3"/>
      <c r="AQ275" s="3" t="s">
        <v>5152</v>
      </c>
      <c r="AR275" s="3"/>
      <c r="AS275" s="3"/>
      <c r="AT275" s="3" t="s">
        <v>2369</v>
      </c>
      <c r="AU275" s="3"/>
      <c r="AV275" s="3">
        <v>0</v>
      </c>
      <c r="AW275" s="3"/>
      <c r="AX275" s="3" t="s">
        <v>4060</v>
      </c>
      <c r="AY275" s="3"/>
      <c r="AZ275" s="3"/>
      <c r="BA275" s="3"/>
      <c r="BB275" s="3" t="s">
        <v>2369</v>
      </c>
      <c r="BC275" s="3"/>
      <c r="BD275" s="3" t="s">
        <v>2371</v>
      </c>
      <c r="BE275" s="3" t="s">
        <v>4778</v>
      </c>
      <c r="BF275" s="3">
        <v>3</v>
      </c>
      <c r="BG275" s="3">
        <v>-6.9668999999999999</v>
      </c>
      <c r="BH275" s="3">
        <v>107.4242</v>
      </c>
      <c r="BI275" s="3">
        <v>3217111806080000</v>
      </c>
      <c r="BJ275" s="3">
        <v>43</v>
      </c>
      <c r="BK275" s="3">
        <v>138</v>
      </c>
      <c r="BL275" s="3">
        <v>62</v>
      </c>
      <c r="BM275" s="3">
        <v>2</v>
      </c>
      <c r="BN275" s="3">
        <v>2</v>
      </c>
    </row>
    <row r="276" spans="1:66" hidden="1" x14ac:dyDescent="0.3">
      <c r="A276" s="3">
        <v>270</v>
      </c>
      <c r="B276" s="3" t="s">
        <v>3918</v>
      </c>
      <c r="C276" s="3" t="s">
        <v>4376</v>
      </c>
      <c r="D276" s="3" t="s">
        <v>52</v>
      </c>
      <c r="E276" s="3">
        <v>3103287057</v>
      </c>
      <c r="F276" s="3" t="s">
        <v>2352</v>
      </c>
      <c r="G276" s="157">
        <v>40381</v>
      </c>
      <c r="H276" s="3">
        <v>3217112207100000</v>
      </c>
      <c r="I276" s="3" t="s">
        <v>2353</v>
      </c>
      <c r="J276" s="3" t="s">
        <v>2695</v>
      </c>
      <c r="K276" s="3">
        <v>1</v>
      </c>
      <c r="L276" s="3">
        <v>12</v>
      </c>
      <c r="M276" s="3"/>
      <c r="N276" s="3" t="s">
        <v>4508</v>
      </c>
      <c r="O276" s="3" t="s">
        <v>2426</v>
      </c>
      <c r="P276" s="3">
        <v>40562</v>
      </c>
      <c r="Q276" s="3" t="s">
        <v>2357</v>
      </c>
      <c r="R276" s="3" t="s">
        <v>2358</v>
      </c>
      <c r="S276" s="3"/>
      <c r="T276" s="3"/>
      <c r="U276" s="3"/>
      <c r="V276" s="3"/>
      <c r="W276" s="3" t="s">
        <v>2359</v>
      </c>
      <c r="X276" s="3"/>
      <c r="Y276" s="3" t="s">
        <v>4123</v>
      </c>
      <c r="Z276" s="3">
        <v>1970</v>
      </c>
      <c r="AA276" s="3" t="s">
        <v>2402</v>
      </c>
      <c r="AB276" s="3" t="s">
        <v>2362</v>
      </c>
      <c r="AC276" s="3" t="s">
        <v>2363</v>
      </c>
      <c r="AD276" s="3">
        <v>3217111708700000</v>
      </c>
      <c r="AE276" s="3" t="s">
        <v>4124</v>
      </c>
      <c r="AF276" s="3">
        <v>1976</v>
      </c>
      <c r="AG276" s="3" t="s">
        <v>2361</v>
      </c>
      <c r="AH276" s="3" t="s">
        <v>2365</v>
      </c>
      <c r="AI276" s="3" t="s">
        <v>2366</v>
      </c>
      <c r="AJ276" s="3">
        <v>3217115606760000</v>
      </c>
      <c r="AK276" s="3"/>
      <c r="AL276" s="3"/>
      <c r="AM276" s="3"/>
      <c r="AN276" s="3"/>
      <c r="AO276" s="3"/>
      <c r="AP276" s="3"/>
      <c r="AQ276" s="3" t="s">
        <v>5151</v>
      </c>
      <c r="AR276" s="3"/>
      <c r="AS276" s="3"/>
      <c r="AT276" s="3" t="s">
        <v>2359</v>
      </c>
      <c r="AU276" s="3"/>
      <c r="AV276" s="3">
        <v>1</v>
      </c>
      <c r="AW276" s="3"/>
      <c r="AX276" s="3" t="s">
        <v>4129</v>
      </c>
      <c r="AY276" s="3"/>
      <c r="AZ276" s="3"/>
      <c r="BA276" s="3"/>
      <c r="BB276" s="3" t="s">
        <v>2369</v>
      </c>
      <c r="BC276" s="3" t="s">
        <v>2370</v>
      </c>
      <c r="BD276" s="3" t="s">
        <v>2371</v>
      </c>
      <c r="BE276" s="3"/>
      <c r="BF276" s="3">
        <v>1</v>
      </c>
      <c r="BG276" s="3">
        <v>-6.9625000000000004</v>
      </c>
      <c r="BH276" s="3">
        <v>107.4346</v>
      </c>
      <c r="BI276" s="3">
        <v>3217111204057210</v>
      </c>
      <c r="BJ276" s="3">
        <v>56</v>
      </c>
      <c r="BK276" s="3">
        <v>152</v>
      </c>
      <c r="BL276" s="3">
        <v>63</v>
      </c>
      <c r="BM276" s="3">
        <v>1</v>
      </c>
      <c r="BN276" s="3">
        <v>2</v>
      </c>
    </row>
    <row r="277" spans="1:66" s="219" customFormat="1" hidden="1" x14ac:dyDescent="0.3">
      <c r="A277" s="54">
        <v>271</v>
      </c>
      <c r="B277" s="54" t="s">
        <v>1775</v>
      </c>
      <c r="C277" s="54" t="s">
        <v>1409</v>
      </c>
      <c r="D277" s="54" t="s">
        <v>52</v>
      </c>
      <c r="E277" s="54">
        <v>96854751</v>
      </c>
      <c r="F277" s="54" t="s">
        <v>2377</v>
      </c>
      <c r="G277" s="108">
        <v>39920</v>
      </c>
      <c r="H277" s="54">
        <v>3217141704090000</v>
      </c>
      <c r="I277" s="54" t="s">
        <v>2353</v>
      </c>
      <c r="J277" s="54" t="s">
        <v>3153</v>
      </c>
      <c r="K277" s="54">
        <v>3</v>
      </c>
      <c r="L277" s="54">
        <v>6</v>
      </c>
      <c r="M277" s="54"/>
      <c r="N277" s="54" t="s">
        <v>3154</v>
      </c>
      <c r="O277" s="54" t="s">
        <v>3065</v>
      </c>
      <c r="P277" s="54">
        <v>40562</v>
      </c>
      <c r="Q277" s="54" t="s">
        <v>2357</v>
      </c>
      <c r="R277" s="54" t="s">
        <v>2358</v>
      </c>
      <c r="S277" s="54"/>
      <c r="T277" s="54">
        <v>87889546900</v>
      </c>
      <c r="U277" s="54"/>
      <c r="V277" s="54"/>
      <c r="W277" s="54" t="s">
        <v>2359</v>
      </c>
      <c r="X277" s="54"/>
      <c r="Y277" s="54" t="s">
        <v>3155</v>
      </c>
      <c r="Z277" s="54">
        <v>1979</v>
      </c>
      <c r="AA277" s="54" t="s">
        <v>2390</v>
      </c>
      <c r="AB277" s="54" t="s">
        <v>2493</v>
      </c>
      <c r="AC277" s="54" t="s">
        <v>2375</v>
      </c>
      <c r="AD277" s="54"/>
      <c r="AE277" s="54" t="s">
        <v>3156</v>
      </c>
      <c r="AF277" s="54">
        <v>1983</v>
      </c>
      <c r="AG277" s="54" t="s">
        <v>2390</v>
      </c>
      <c r="AH277" s="54" t="s">
        <v>2365</v>
      </c>
      <c r="AI277" s="54" t="s">
        <v>2366</v>
      </c>
      <c r="AJ277" s="54"/>
      <c r="AK277" s="54"/>
      <c r="AL277" s="54"/>
      <c r="AM277" s="54"/>
      <c r="AN277" s="54"/>
      <c r="AO277" s="54"/>
      <c r="AP277" s="54"/>
      <c r="AQ277" s="54" t="s">
        <v>5147</v>
      </c>
      <c r="AR277" s="54"/>
      <c r="AS277" s="54"/>
      <c r="AT277" s="54" t="s">
        <v>2359</v>
      </c>
      <c r="AU277" s="54"/>
      <c r="AV277" s="54">
        <v>0</v>
      </c>
      <c r="AW277" s="54"/>
      <c r="AX277" s="54"/>
      <c r="AY277" s="54"/>
      <c r="AZ277" s="54"/>
      <c r="BA277" s="54"/>
      <c r="BB277" s="54" t="s">
        <v>2369</v>
      </c>
      <c r="BC277" s="54" t="s">
        <v>2370</v>
      </c>
      <c r="BD277" s="54" t="s">
        <v>2371</v>
      </c>
      <c r="BE277" s="54" t="s">
        <v>3157</v>
      </c>
      <c r="BF277" s="54">
        <v>2</v>
      </c>
      <c r="BG277" s="54">
        <v>-6.9676999999999998</v>
      </c>
      <c r="BH277" s="54">
        <v>107.4117</v>
      </c>
      <c r="BI277" s="54"/>
      <c r="BJ277" s="54">
        <v>21</v>
      </c>
      <c r="BK277" s="54">
        <v>122</v>
      </c>
      <c r="BL277" s="54">
        <v>53</v>
      </c>
      <c r="BM277" s="54">
        <v>2</v>
      </c>
      <c r="BN277" s="54">
        <v>1</v>
      </c>
    </row>
    <row r="278" spans="1:66" s="219" customFormat="1" hidden="1" x14ac:dyDescent="0.3">
      <c r="A278" s="54">
        <v>272</v>
      </c>
      <c r="B278" s="54" t="s">
        <v>1707</v>
      </c>
      <c r="C278" s="54" t="s">
        <v>2207</v>
      </c>
      <c r="D278" s="54" t="s">
        <v>52</v>
      </c>
      <c r="E278" s="54">
        <v>3091999874</v>
      </c>
      <c r="F278" s="54" t="s">
        <v>2446</v>
      </c>
      <c r="G278" s="108">
        <v>39967</v>
      </c>
      <c r="H278" s="54">
        <v>3217110306090000</v>
      </c>
      <c r="I278" s="54" t="s">
        <v>2353</v>
      </c>
      <c r="J278" s="54" t="s">
        <v>2616</v>
      </c>
      <c r="K278" s="54">
        <v>4</v>
      </c>
      <c r="L278" s="54">
        <v>6</v>
      </c>
      <c r="M278" s="54"/>
      <c r="N278" s="54" t="s">
        <v>2617</v>
      </c>
      <c r="O278" s="54" t="s">
        <v>2426</v>
      </c>
      <c r="P278" s="54">
        <v>40562</v>
      </c>
      <c r="Q278" s="54" t="s">
        <v>2357</v>
      </c>
      <c r="R278" s="54" t="s">
        <v>2358</v>
      </c>
      <c r="S278" s="54"/>
      <c r="T278" s="54"/>
      <c r="U278" s="54"/>
      <c r="V278" s="54"/>
      <c r="W278" s="54" t="s">
        <v>2359</v>
      </c>
      <c r="X278" s="54"/>
      <c r="Y278" s="54"/>
      <c r="Z278" s="54">
        <v>0</v>
      </c>
      <c r="AA278" s="54"/>
      <c r="AB278" s="54" t="s">
        <v>2362</v>
      </c>
      <c r="AC278" s="54" t="s">
        <v>2363</v>
      </c>
      <c r="AD278" s="54"/>
      <c r="AE278" s="54" t="s">
        <v>2850</v>
      </c>
      <c r="AF278" s="54">
        <v>0</v>
      </c>
      <c r="AG278" s="54"/>
      <c r="AH278" s="54" t="s">
        <v>2365</v>
      </c>
      <c r="AI278" s="54" t="s">
        <v>2366</v>
      </c>
      <c r="AJ278" s="54"/>
      <c r="AK278" s="54"/>
      <c r="AL278" s="54"/>
      <c r="AM278" s="54"/>
      <c r="AN278" s="54"/>
      <c r="AO278" s="54"/>
      <c r="AP278" s="54"/>
      <c r="AQ278" s="54" t="s">
        <v>8179</v>
      </c>
      <c r="AR278" s="54"/>
      <c r="AS278" s="54"/>
      <c r="AT278" s="54" t="s">
        <v>2359</v>
      </c>
      <c r="AU278" s="54"/>
      <c r="AV278" s="54">
        <v>1</v>
      </c>
      <c r="AW278" s="54"/>
      <c r="AX278" s="54"/>
      <c r="AY278" s="54"/>
      <c r="AZ278" s="54"/>
      <c r="BA278" s="54"/>
      <c r="BB278" s="54" t="s">
        <v>2359</v>
      </c>
      <c r="BC278" s="54"/>
      <c r="BD278" s="54" t="s">
        <v>2371</v>
      </c>
      <c r="BE278" s="54" t="s">
        <v>2376</v>
      </c>
      <c r="BF278" s="54">
        <v>1</v>
      </c>
      <c r="BG278" s="54">
        <v>-6.9625000000000004</v>
      </c>
      <c r="BH278" s="54">
        <v>107.4346</v>
      </c>
      <c r="BI278" s="54"/>
      <c r="BJ278" s="54">
        <v>47</v>
      </c>
      <c r="BK278" s="54">
        <v>143</v>
      </c>
      <c r="BL278" s="54">
        <v>55</v>
      </c>
      <c r="BM278" s="54">
        <v>1</v>
      </c>
      <c r="BN278" s="54">
        <v>2</v>
      </c>
    </row>
    <row r="279" spans="1:66" x14ac:dyDescent="0.3">
      <c r="A279" s="3">
        <v>273</v>
      </c>
      <c r="B279" s="3" t="s">
        <v>3944</v>
      </c>
      <c r="C279" s="3" t="s">
        <v>4403</v>
      </c>
      <c r="D279" s="3" t="s">
        <v>52</v>
      </c>
      <c r="E279" s="3">
        <v>109935819</v>
      </c>
      <c r="F279" s="3" t="s">
        <v>2352</v>
      </c>
      <c r="G279" s="157">
        <v>40355</v>
      </c>
      <c r="H279" s="3">
        <v>3217112606100000</v>
      </c>
      <c r="I279" s="3" t="s">
        <v>2353</v>
      </c>
      <c r="J279" s="3" t="s">
        <v>4779</v>
      </c>
      <c r="K279" s="3">
        <v>4</v>
      </c>
      <c r="L279" s="3">
        <v>12</v>
      </c>
      <c r="M279" s="3"/>
      <c r="N279" s="3" t="s">
        <v>4508</v>
      </c>
      <c r="O279" s="3" t="s">
        <v>2426</v>
      </c>
      <c r="P279" s="3">
        <v>40562</v>
      </c>
      <c r="Q279" s="3" t="s">
        <v>2357</v>
      </c>
      <c r="R279" s="3" t="s">
        <v>4780</v>
      </c>
      <c r="S279" s="3"/>
      <c r="T279" s="3"/>
      <c r="U279" s="3"/>
      <c r="V279" s="3"/>
      <c r="W279" s="3" t="s">
        <v>2359</v>
      </c>
      <c r="X279" s="3"/>
      <c r="Y279" s="3" t="s">
        <v>4088</v>
      </c>
      <c r="Z279" s="3">
        <v>1970</v>
      </c>
      <c r="AA279" s="3" t="s">
        <v>2402</v>
      </c>
      <c r="AB279" s="3" t="s">
        <v>2362</v>
      </c>
      <c r="AC279" s="3" t="s">
        <v>2403</v>
      </c>
      <c r="AD279" s="3">
        <v>3217112211700000</v>
      </c>
      <c r="AE279" s="3" t="s">
        <v>4089</v>
      </c>
      <c r="AF279" s="3">
        <v>1979</v>
      </c>
      <c r="AG279" s="3" t="s">
        <v>2361</v>
      </c>
      <c r="AH279" s="3" t="s">
        <v>2365</v>
      </c>
      <c r="AI279" s="3" t="s">
        <v>2366</v>
      </c>
      <c r="AJ279" s="3">
        <v>3217115209790010</v>
      </c>
      <c r="AK279" s="3"/>
      <c r="AL279" s="3"/>
      <c r="AM279" s="3" t="s">
        <v>2367</v>
      </c>
      <c r="AN279" s="3"/>
      <c r="AO279" s="3"/>
      <c r="AP279" s="3"/>
      <c r="AQ279" s="3" t="s">
        <v>5148</v>
      </c>
      <c r="AR279" s="3"/>
      <c r="AS279" s="3"/>
      <c r="AT279" s="3" t="s">
        <v>2359</v>
      </c>
      <c r="AU279" s="3"/>
      <c r="AV279" s="3">
        <v>0</v>
      </c>
      <c r="AW279" s="3"/>
      <c r="AX279" s="3">
        <v>953.00345630000004</v>
      </c>
      <c r="AY279" s="3"/>
      <c r="AZ279" s="3"/>
      <c r="BA279" s="3"/>
      <c r="BB279" s="3" t="s">
        <v>2369</v>
      </c>
      <c r="BC279" s="3" t="s">
        <v>2370</v>
      </c>
      <c r="BD279" s="3" t="s">
        <v>2371</v>
      </c>
      <c r="BE279" s="3" t="s">
        <v>2691</v>
      </c>
      <c r="BF279" s="3">
        <v>2</v>
      </c>
      <c r="BG279" s="3">
        <v>-6.9608785879999999</v>
      </c>
      <c r="BH279" s="3">
        <v>107.43887960000001</v>
      </c>
      <c r="BI279" s="3"/>
      <c r="BJ279" s="3">
        <v>36</v>
      </c>
      <c r="BK279" s="3">
        <v>130</v>
      </c>
      <c r="BL279" s="3">
        <v>0</v>
      </c>
      <c r="BM279" s="3">
        <v>0</v>
      </c>
      <c r="BN279" s="3">
        <v>1</v>
      </c>
    </row>
    <row r="280" spans="1:66" s="219" customFormat="1" hidden="1" x14ac:dyDescent="0.3">
      <c r="A280" s="54">
        <v>274</v>
      </c>
      <c r="B280" s="54" t="s">
        <v>4781</v>
      </c>
      <c r="C280" s="54"/>
      <c r="D280" s="54" t="s">
        <v>52</v>
      </c>
      <c r="E280" s="54">
        <v>108865220</v>
      </c>
      <c r="F280" s="54" t="s">
        <v>2446</v>
      </c>
      <c r="G280" s="108">
        <v>40196</v>
      </c>
      <c r="H280" s="54">
        <v>3217121807100000</v>
      </c>
      <c r="I280" s="54" t="s">
        <v>2353</v>
      </c>
      <c r="J280" s="54" t="s">
        <v>3050</v>
      </c>
      <c r="K280" s="54">
        <v>3</v>
      </c>
      <c r="L280" s="54">
        <v>4</v>
      </c>
      <c r="M280" s="54"/>
      <c r="N280" s="54" t="s">
        <v>2513</v>
      </c>
      <c r="O280" s="54" t="s">
        <v>2356</v>
      </c>
      <c r="P280" s="54"/>
      <c r="Q280" s="54" t="s">
        <v>2357</v>
      </c>
      <c r="R280" s="54" t="s">
        <v>2358</v>
      </c>
      <c r="S280" s="54"/>
      <c r="T280" s="54">
        <v>87827592672</v>
      </c>
      <c r="U280" s="54"/>
      <c r="V280" s="54"/>
      <c r="W280" s="54" t="s">
        <v>2359</v>
      </c>
      <c r="X280" s="54"/>
      <c r="Y280" s="54" t="s">
        <v>4782</v>
      </c>
      <c r="Z280" s="54">
        <v>1975</v>
      </c>
      <c r="AA280" s="54" t="s">
        <v>2402</v>
      </c>
      <c r="AB280" s="54" t="s">
        <v>2362</v>
      </c>
      <c r="AC280" s="54" t="s">
        <v>2375</v>
      </c>
      <c r="AD280" s="54">
        <v>3217121606750020</v>
      </c>
      <c r="AE280" s="54" t="s">
        <v>4783</v>
      </c>
      <c r="AF280" s="54">
        <v>1978</v>
      </c>
      <c r="AG280" s="54" t="s">
        <v>2387</v>
      </c>
      <c r="AH280" s="54" t="s">
        <v>2474</v>
      </c>
      <c r="AI280" s="54" t="s">
        <v>2363</v>
      </c>
      <c r="AJ280" s="54">
        <v>3217124506780030</v>
      </c>
      <c r="AK280" s="54"/>
      <c r="AL280" s="54"/>
      <c r="AM280" s="54" t="s">
        <v>2367</v>
      </c>
      <c r="AN280" s="54"/>
      <c r="AO280" s="54"/>
      <c r="AP280" s="54"/>
      <c r="AQ280" s="54" t="s">
        <v>8177</v>
      </c>
      <c r="AR280" s="54"/>
      <c r="AS280" s="54"/>
      <c r="AT280" s="54" t="s">
        <v>2359</v>
      </c>
      <c r="AU280" s="54"/>
      <c r="AV280" s="54">
        <v>0</v>
      </c>
      <c r="AW280" s="54"/>
      <c r="AX280" s="54" t="s">
        <v>4784</v>
      </c>
      <c r="AY280" s="54"/>
      <c r="AZ280" s="54"/>
      <c r="BA280" s="54"/>
      <c r="BB280" s="54" t="s">
        <v>2369</v>
      </c>
      <c r="BC280" s="54" t="s">
        <v>2370</v>
      </c>
      <c r="BD280" s="54" t="s">
        <v>2371</v>
      </c>
      <c r="BE280" s="54"/>
      <c r="BF280" s="54">
        <v>2</v>
      </c>
      <c r="BG280" s="54">
        <v>-7.0068000000000001</v>
      </c>
      <c r="BH280" s="54">
        <v>107.2349</v>
      </c>
      <c r="BI280" s="54">
        <v>3217121609120040</v>
      </c>
      <c r="BJ280" s="54">
        <v>55</v>
      </c>
      <c r="BK280" s="54">
        <v>148</v>
      </c>
      <c r="BL280" s="54">
        <v>56</v>
      </c>
      <c r="BM280" s="54">
        <v>1</v>
      </c>
      <c r="BN280" s="54">
        <v>3</v>
      </c>
    </row>
    <row r="281" spans="1:66" hidden="1" x14ac:dyDescent="0.3">
      <c r="A281" s="3">
        <v>275</v>
      </c>
      <c r="B281" s="3" t="s">
        <v>3986</v>
      </c>
      <c r="C281" s="3" t="s">
        <v>4377</v>
      </c>
      <c r="D281" s="3" t="s">
        <v>52</v>
      </c>
      <c r="E281" s="3">
        <v>3109930404</v>
      </c>
      <c r="F281" s="3" t="s">
        <v>2377</v>
      </c>
      <c r="G281" s="157">
        <v>40498</v>
      </c>
      <c r="H281" s="3">
        <v>3217111611100000</v>
      </c>
      <c r="I281" s="3" t="s">
        <v>2353</v>
      </c>
      <c r="J281" s="3" t="s">
        <v>2810</v>
      </c>
      <c r="K281" s="3">
        <v>1</v>
      </c>
      <c r="L281" s="3">
        <v>5</v>
      </c>
      <c r="M281" s="3" t="s">
        <v>4785</v>
      </c>
      <c r="N281" s="3" t="s">
        <v>4508</v>
      </c>
      <c r="O281" s="3" t="s">
        <v>2426</v>
      </c>
      <c r="P281" s="3">
        <v>40562</v>
      </c>
      <c r="Q281" s="3" t="s">
        <v>2357</v>
      </c>
      <c r="R281" s="3" t="s">
        <v>2358</v>
      </c>
      <c r="S281" s="3"/>
      <c r="T281" s="3"/>
      <c r="U281" s="3"/>
      <c r="V281" s="3"/>
      <c r="W281" s="3" t="s">
        <v>2359</v>
      </c>
      <c r="X281" s="3"/>
      <c r="Y281" s="3"/>
      <c r="Z281" s="3">
        <v>0</v>
      </c>
      <c r="AA281" s="3"/>
      <c r="AB281" s="3"/>
      <c r="AC281" s="3"/>
      <c r="AD281" s="3"/>
      <c r="AE281" s="3" t="s">
        <v>4786</v>
      </c>
      <c r="AF281" s="3">
        <v>0</v>
      </c>
      <c r="AG281" s="3"/>
      <c r="AH281" s="3" t="s">
        <v>2365</v>
      </c>
      <c r="AI281" s="3" t="s">
        <v>2366</v>
      </c>
      <c r="AJ281" s="3"/>
      <c r="AK281" s="3"/>
      <c r="AL281" s="3"/>
      <c r="AM281" s="3"/>
      <c r="AN281" s="3"/>
      <c r="AO281" s="3"/>
      <c r="AP281" s="3"/>
      <c r="AQ281" s="3" t="s">
        <v>5151</v>
      </c>
      <c r="AR281" s="3"/>
      <c r="AS281" s="3"/>
      <c r="AT281" s="3" t="s">
        <v>2359</v>
      </c>
      <c r="AU281" s="3"/>
      <c r="AV281" s="3">
        <v>1</v>
      </c>
      <c r="AW281" s="3"/>
      <c r="AX281" s="3"/>
      <c r="AY281" s="3"/>
      <c r="AZ281" s="3"/>
      <c r="BA281" s="3"/>
      <c r="BB281" s="3" t="s">
        <v>2359</v>
      </c>
      <c r="BC281" s="3"/>
      <c r="BD281" s="3" t="s">
        <v>2371</v>
      </c>
      <c r="BE281" s="3"/>
      <c r="BF281" s="3">
        <v>1</v>
      </c>
      <c r="BG281" s="3">
        <v>-6.9625000000000004</v>
      </c>
      <c r="BH281" s="3">
        <v>107.4346</v>
      </c>
      <c r="BI281" s="3"/>
      <c r="BJ281" s="3">
        <v>49</v>
      </c>
      <c r="BK281" s="3">
        <v>138</v>
      </c>
      <c r="BL281" s="3">
        <v>48</v>
      </c>
      <c r="BM281" s="3">
        <v>2</v>
      </c>
      <c r="BN281" s="3">
        <v>2</v>
      </c>
    </row>
    <row r="282" spans="1:66" s="219" customFormat="1" hidden="1" x14ac:dyDescent="0.3">
      <c r="A282" s="54">
        <v>276</v>
      </c>
      <c r="B282" s="54" t="s">
        <v>1800</v>
      </c>
      <c r="C282" s="54" t="s">
        <v>1438</v>
      </c>
      <c r="D282" s="54" t="s">
        <v>52</v>
      </c>
      <c r="E282" s="54">
        <v>3092015794</v>
      </c>
      <c r="F282" s="54" t="s">
        <v>2446</v>
      </c>
      <c r="G282" s="108">
        <v>40148</v>
      </c>
      <c r="H282" s="54">
        <v>3217111201080000</v>
      </c>
      <c r="I282" s="54" t="s">
        <v>2353</v>
      </c>
      <c r="J282" s="54" t="s">
        <v>2616</v>
      </c>
      <c r="K282" s="54">
        <v>2</v>
      </c>
      <c r="L282" s="54">
        <v>7</v>
      </c>
      <c r="M282" s="54"/>
      <c r="N282" s="54" t="s">
        <v>2617</v>
      </c>
      <c r="O282" s="54" t="s">
        <v>2426</v>
      </c>
      <c r="P282" s="54">
        <v>40562</v>
      </c>
      <c r="Q282" s="54" t="s">
        <v>2357</v>
      </c>
      <c r="R282" s="54" t="s">
        <v>2358</v>
      </c>
      <c r="S282" s="54"/>
      <c r="T282" s="54">
        <v>85731289645</v>
      </c>
      <c r="U282" s="54"/>
      <c r="V282" s="54"/>
      <c r="W282" s="54" t="s">
        <v>2359</v>
      </c>
      <c r="X282" s="54"/>
      <c r="Y282" s="54"/>
      <c r="Z282" s="54">
        <v>1975</v>
      </c>
      <c r="AA282" s="54" t="s">
        <v>2402</v>
      </c>
      <c r="AB282" s="54" t="s">
        <v>2493</v>
      </c>
      <c r="AC282" s="54" t="s">
        <v>2375</v>
      </c>
      <c r="AD282" s="54"/>
      <c r="AE282" s="54" t="s">
        <v>2982</v>
      </c>
      <c r="AF282" s="54">
        <v>1975</v>
      </c>
      <c r="AG282" s="54" t="s">
        <v>2361</v>
      </c>
      <c r="AH282" s="54" t="s">
        <v>2365</v>
      </c>
      <c r="AI282" s="54" t="s">
        <v>2366</v>
      </c>
      <c r="AJ282" s="54"/>
      <c r="AK282" s="54"/>
      <c r="AL282" s="54"/>
      <c r="AM282" s="54"/>
      <c r="AN282" s="54"/>
      <c r="AO282" s="54"/>
      <c r="AP282" s="54"/>
      <c r="AQ282" s="54" t="s">
        <v>5147</v>
      </c>
      <c r="AR282" s="54"/>
      <c r="AS282" s="54"/>
      <c r="AT282" s="54" t="s">
        <v>2359</v>
      </c>
      <c r="AU282" s="54"/>
      <c r="AV282" s="54">
        <v>0</v>
      </c>
      <c r="AW282" s="54"/>
      <c r="AX282" s="54"/>
      <c r="AY282" s="54"/>
      <c r="AZ282" s="54"/>
      <c r="BA282" s="54"/>
      <c r="BB282" s="54" t="s">
        <v>2369</v>
      </c>
      <c r="BC282" s="54" t="s">
        <v>2370</v>
      </c>
      <c r="BD282" s="54" t="s">
        <v>2371</v>
      </c>
      <c r="BE282" s="54"/>
      <c r="BF282" s="54">
        <v>1</v>
      </c>
      <c r="BG282" s="54">
        <v>-6.9625000000000004</v>
      </c>
      <c r="BH282" s="54">
        <v>107.4346</v>
      </c>
      <c r="BI282" s="54"/>
      <c r="BJ282" s="54">
        <v>45</v>
      </c>
      <c r="BK282" s="54">
        <v>134</v>
      </c>
      <c r="BL282" s="54">
        <v>57</v>
      </c>
      <c r="BM282" s="54">
        <v>1</v>
      </c>
      <c r="BN282" s="54">
        <v>2</v>
      </c>
    </row>
    <row r="283" spans="1:66" s="219" customFormat="1" hidden="1" x14ac:dyDescent="0.3">
      <c r="A283" s="54">
        <v>277</v>
      </c>
      <c r="B283" s="54" t="s">
        <v>1692</v>
      </c>
      <c r="C283" s="54" t="s">
        <v>2174</v>
      </c>
      <c r="D283" s="54" t="s">
        <v>52</v>
      </c>
      <c r="E283" s="54">
        <v>94835487</v>
      </c>
      <c r="F283" s="54" t="s">
        <v>2373</v>
      </c>
      <c r="G283" s="108">
        <v>40144</v>
      </c>
      <c r="H283" s="54">
        <v>3217122711090000</v>
      </c>
      <c r="I283" s="54" t="s">
        <v>2353</v>
      </c>
      <c r="J283" s="54" t="s">
        <v>2715</v>
      </c>
      <c r="K283" s="54">
        <v>4</v>
      </c>
      <c r="L283" s="54">
        <v>6</v>
      </c>
      <c r="M283" s="54">
        <v>2</v>
      </c>
      <c r="N283" s="54" t="s">
        <v>2409</v>
      </c>
      <c r="O283" s="54" t="s">
        <v>2356</v>
      </c>
      <c r="P283" s="54">
        <v>40564</v>
      </c>
      <c r="Q283" s="54" t="s">
        <v>2357</v>
      </c>
      <c r="R283" s="54" t="s">
        <v>2358</v>
      </c>
      <c r="S283" s="54"/>
      <c r="T283" s="54">
        <v>87874610925</v>
      </c>
      <c r="U283" s="54"/>
      <c r="V283" s="54"/>
      <c r="W283" s="54" t="s">
        <v>2359</v>
      </c>
      <c r="X283" s="54"/>
      <c r="Y283" s="54" t="s">
        <v>2716</v>
      </c>
      <c r="Z283" s="54">
        <v>1980</v>
      </c>
      <c r="AA283" s="54" t="s">
        <v>2402</v>
      </c>
      <c r="AB283" s="54" t="s">
        <v>2362</v>
      </c>
      <c r="AC283" s="54" t="s">
        <v>2363</v>
      </c>
      <c r="AD283" s="54">
        <v>3217121207800030</v>
      </c>
      <c r="AE283" s="54" t="s">
        <v>2717</v>
      </c>
      <c r="AF283" s="54">
        <v>1986</v>
      </c>
      <c r="AG283" s="54" t="s">
        <v>2361</v>
      </c>
      <c r="AH283" s="54" t="s">
        <v>2365</v>
      </c>
      <c r="AI283" s="54" t="s">
        <v>2366</v>
      </c>
      <c r="AJ283" s="54">
        <v>3217125308860000</v>
      </c>
      <c r="AK283" s="54"/>
      <c r="AL283" s="54"/>
      <c r="AM283" s="54" t="s">
        <v>2367</v>
      </c>
      <c r="AN283" s="54"/>
      <c r="AO283" s="54"/>
      <c r="AP283" s="54"/>
      <c r="AQ283" s="54" t="s">
        <v>8180</v>
      </c>
      <c r="AR283" s="54"/>
      <c r="AS283" s="54"/>
      <c r="AT283" s="54" t="s">
        <v>2359</v>
      </c>
      <c r="AU283" s="54"/>
      <c r="AV283" s="54">
        <v>0</v>
      </c>
      <c r="AW283" s="54"/>
      <c r="AX283" s="54" t="s">
        <v>2718</v>
      </c>
      <c r="AY283" s="54"/>
      <c r="AZ283" s="54"/>
      <c r="BA283" s="54"/>
      <c r="BB283" s="54" t="s">
        <v>2369</v>
      </c>
      <c r="BC283" s="54" t="s">
        <v>2370</v>
      </c>
      <c r="BD283" s="54" t="s">
        <v>2371</v>
      </c>
      <c r="BE283" s="54" t="s">
        <v>2413</v>
      </c>
      <c r="BF283" s="54">
        <v>2</v>
      </c>
      <c r="BG283" s="54">
        <v>-6.9580000000000002</v>
      </c>
      <c r="BH283" s="54">
        <v>107.3801</v>
      </c>
      <c r="BI283" s="54"/>
      <c r="BJ283" s="54">
        <v>55</v>
      </c>
      <c r="BK283" s="54">
        <v>143</v>
      </c>
      <c r="BL283" s="54">
        <v>0</v>
      </c>
      <c r="BM283" s="54">
        <v>0</v>
      </c>
      <c r="BN283" s="54">
        <v>0</v>
      </c>
    </row>
    <row r="284" spans="1:66" s="219" customFormat="1" hidden="1" x14ac:dyDescent="0.3">
      <c r="A284" s="54">
        <v>278</v>
      </c>
      <c r="B284" s="54" t="s">
        <v>3780</v>
      </c>
      <c r="C284" s="54" t="s">
        <v>4787</v>
      </c>
      <c r="D284" s="54" t="s">
        <v>52</v>
      </c>
      <c r="E284" s="54">
        <v>109647744</v>
      </c>
      <c r="F284" s="54" t="s">
        <v>2377</v>
      </c>
      <c r="G284" s="108">
        <v>40845</v>
      </c>
      <c r="H284" s="54">
        <v>3217122910110000</v>
      </c>
      <c r="I284" s="54" t="s">
        <v>2353</v>
      </c>
      <c r="J284" s="54" t="s">
        <v>2544</v>
      </c>
      <c r="K284" s="54">
        <v>1</v>
      </c>
      <c r="L284" s="54">
        <v>8</v>
      </c>
      <c r="M284" s="54"/>
      <c r="N284" s="54" t="s">
        <v>2513</v>
      </c>
      <c r="O284" s="54" t="s">
        <v>2356</v>
      </c>
      <c r="P284" s="54">
        <v>40764</v>
      </c>
      <c r="Q284" s="54" t="s">
        <v>2357</v>
      </c>
      <c r="R284" s="54" t="s">
        <v>2358</v>
      </c>
      <c r="S284" s="54"/>
      <c r="T284" s="54">
        <v>83114916237</v>
      </c>
      <c r="U284" s="54"/>
      <c r="V284" s="54"/>
      <c r="W284" s="54" t="s">
        <v>2359</v>
      </c>
      <c r="X284" s="54"/>
      <c r="Y284" s="54" t="s">
        <v>4788</v>
      </c>
      <c r="Z284" s="54">
        <v>1947</v>
      </c>
      <c r="AA284" s="54" t="s">
        <v>2361</v>
      </c>
      <c r="AB284" s="54" t="s">
        <v>2472</v>
      </c>
      <c r="AC284" s="54" t="s">
        <v>2403</v>
      </c>
      <c r="AD284" s="54">
        <v>3217120210470000</v>
      </c>
      <c r="AE284" s="54" t="s">
        <v>4117</v>
      </c>
      <c r="AF284" s="54">
        <v>1975</v>
      </c>
      <c r="AG284" s="54" t="s">
        <v>2361</v>
      </c>
      <c r="AH284" s="54" t="s">
        <v>2365</v>
      </c>
      <c r="AI284" s="54" t="s">
        <v>2366</v>
      </c>
      <c r="AJ284" s="54">
        <v>3217125104750010</v>
      </c>
      <c r="AK284" s="54"/>
      <c r="AL284" s="54"/>
      <c r="AM284" s="54" t="s">
        <v>2367</v>
      </c>
      <c r="AN284" s="54"/>
      <c r="AO284" s="54"/>
      <c r="AP284" s="54"/>
      <c r="AQ284" s="54" t="s">
        <v>8182</v>
      </c>
      <c r="AR284" s="54"/>
      <c r="AS284" s="54"/>
      <c r="AT284" s="54" t="s">
        <v>2359</v>
      </c>
      <c r="AU284" s="54"/>
      <c r="AV284" s="54">
        <v>0</v>
      </c>
      <c r="AW284" s="54"/>
      <c r="AX284" s="54"/>
      <c r="AY284" s="54"/>
      <c r="AZ284" s="54"/>
      <c r="BA284" s="54"/>
      <c r="BB284" s="54" t="s">
        <v>2369</v>
      </c>
      <c r="BC284" s="54" t="s">
        <v>2370</v>
      </c>
      <c r="BD284" s="54" t="s">
        <v>2371</v>
      </c>
      <c r="BE284" s="54" t="s">
        <v>2477</v>
      </c>
      <c r="BF284" s="54">
        <v>5</v>
      </c>
      <c r="BG284" s="54">
        <v>-6.9661</v>
      </c>
      <c r="BH284" s="54">
        <v>107.4057</v>
      </c>
      <c r="BI284" s="54">
        <v>3217122606120030</v>
      </c>
      <c r="BJ284" s="54">
        <v>45</v>
      </c>
      <c r="BK284" s="54">
        <v>143</v>
      </c>
      <c r="BL284" s="54">
        <v>55</v>
      </c>
      <c r="BM284" s="54">
        <v>2</v>
      </c>
      <c r="BN284" s="54">
        <v>2</v>
      </c>
    </row>
    <row r="285" spans="1:66" x14ac:dyDescent="0.3">
      <c r="A285" s="3">
        <v>279</v>
      </c>
      <c r="B285" s="3" t="s">
        <v>4789</v>
      </c>
      <c r="C285" s="3" t="s">
        <v>4421</v>
      </c>
      <c r="D285" s="3" t="s">
        <v>52</v>
      </c>
      <c r="E285" s="3">
        <v>105705172</v>
      </c>
      <c r="F285" s="3" t="s">
        <v>2446</v>
      </c>
      <c r="G285" s="157">
        <v>40394</v>
      </c>
      <c r="H285" s="3">
        <v>3217120408100000</v>
      </c>
      <c r="I285" s="3" t="s">
        <v>2353</v>
      </c>
      <c r="J285" s="3" t="s">
        <v>2574</v>
      </c>
      <c r="K285" s="3">
        <v>2</v>
      </c>
      <c r="L285" s="3">
        <v>3</v>
      </c>
      <c r="M285" s="3"/>
      <c r="N285" s="3" t="s">
        <v>2395</v>
      </c>
      <c r="O285" s="3" t="s">
        <v>2356</v>
      </c>
      <c r="P285" s="3">
        <v>40565</v>
      </c>
      <c r="Q285" s="3" t="s">
        <v>2357</v>
      </c>
      <c r="R285" s="3" t="s">
        <v>2358</v>
      </c>
      <c r="S285" s="3"/>
      <c r="T285" s="3">
        <v>83829820884</v>
      </c>
      <c r="U285" s="3"/>
      <c r="V285" s="3"/>
      <c r="W285" s="3" t="s">
        <v>2359</v>
      </c>
      <c r="X285" s="3"/>
      <c r="Y285" s="3" t="s">
        <v>4790</v>
      </c>
      <c r="Z285" s="3">
        <v>1982</v>
      </c>
      <c r="AA285" s="3" t="s">
        <v>2361</v>
      </c>
      <c r="AB285" s="3" t="s">
        <v>2362</v>
      </c>
      <c r="AC285" s="3" t="s">
        <v>2363</v>
      </c>
      <c r="AD285" s="3">
        <v>3207300101820000</v>
      </c>
      <c r="AE285" s="3" t="s">
        <v>3026</v>
      </c>
      <c r="AF285" s="3">
        <v>1987</v>
      </c>
      <c r="AG285" s="3" t="s">
        <v>2361</v>
      </c>
      <c r="AH285" s="3" t="s">
        <v>2365</v>
      </c>
      <c r="AI285" s="3" t="s">
        <v>2366</v>
      </c>
      <c r="AJ285" s="3">
        <v>3217124503870020</v>
      </c>
      <c r="AK285" s="3"/>
      <c r="AL285" s="3"/>
      <c r="AM285" s="3" t="s">
        <v>2367</v>
      </c>
      <c r="AN285" s="3"/>
      <c r="AO285" s="3"/>
      <c r="AP285" s="3"/>
      <c r="AQ285" s="3" t="s">
        <v>5148</v>
      </c>
      <c r="AR285" s="3"/>
      <c r="AS285" s="3" t="s">
        <v>4791</v>
      </c>
      <c r="AT285" s="3" t="s">
        <v>2359</v>
      </c>
      <c r="AU285" s="3"/>
      <c r="AV285" s="3">
        <v>0</v>
      </c>
      <c r="AW285" s="3"/>
      <c r="AX285" s="3" t="s">
        <v>4792</v>
      </c>
      <c r="AY285" s="3"/>
      <c r="AZ285" s="3"/>
      <c r="BA285" s="3"/>
      <c r="BB285" s="3" t="s">
        <v>2369</v>
      </c>
      <c r="BC285" s="3" t="s">
        <v>2370</v>
      </c>
      <c r="BD285" s="3" t="s">
        <v>2371</v>
      </c>
      <c r="BE285" s="3" t="s">
        <v>2553</v>
      </c>
      <c r="BF285" s="3">
        <v>1</v>
      </c>
      <c r="BG285" s="3">
        <v>-7.0068000000000001</v>
      </c>
      <c r="BH285" s="3">
        <v>107.2349</v>
      </c>
      <c r="BI285" s="3">
        <v>3217120102180010</v>
      </c>
      <c r="BJ285" s="3">
        <v>43</v>
      </c>
      <c r="BK285" s="3">
        <v>147</v>
      </c>
      <c r="BL285" s="3">
        <v>55</v>
      </c>
      <c r="BM285" s="3">
        <v>2</v>
      </c>
      <c r="BN285" s="3">
        <v>2</v>
      </c>
    </row>
    <row r="286" spans="1:66" s="219" customFormat="1" hidden="1" x14ac:dyDescent="0.3">
      <c r="A286" s="54">
        <v>280</v>
      </c>
      <c r="B286" s="54" t="s">
        <v>1724</v>
      </c>
      <c r="C286" s="54" t="s">
        <v>2230</v>
      </c>
      <c r="D286" s="54" t="s">
        <v>52</v>
      </c>
      <c r="E286" s="54">
        <v>92146817</v>
      </c>
      <c r="F286" s="54" t="s">
        <v>2928</v>
      </c>
      <c r="G286" s="108">
        <v>40115</v>
      </c>
      <c r="H286" s="54">
        <v>3217122910090000</v>
      </c>
      <c r="I286" s="54" t="s">
        <v>2353</v>
      </c>
      <c r="J286" s="54" t="s">
        <v>2491</v>
      </c>
      <c r="K286" s="54">
        <v>1</v>
      </c>
      <c r="L286" s="54">
        <v>5</v>
      </c>
      <c r="M286" s="54"/>
      <c r="N286" s="54" t="s">
        <v>2355</v>
      </c>
      <c r="O286" s="54" t="s">
        <v>2356</v>
      </c>
      <c r="P286" s="54">
        <v>40564</v>
      </c>
      <c r="Q286" s="54" t="s">
        <v>2357</v>
      </c>
      <c r="R286" s="54" t="s">
        <v>2358</v>
      </c>
      <c r="S286" s="54"/>
      <c r="T286" s="54">
        <v>83829428214</v>
      </c>
      <c r="U286" s="54"/>
      <c r="V286" s="54"/>
      <c r="W286" s="54" t="s">
        <v>2359</v>
      </c>
      <c r="X286" s="54"/>
      <c r="Y286" s="54" t="s">
        <v>2624</v>
      </c>
      <c r="Z286" s="54">
        <v>1963</v>
      </c>
      <c r="AA286" s="54" t="s">
        <v>2361</v>
      </c>
      <c r="AB286" s="54" t="s">
        <v>2362</v>
      </c>
      <c r="AC286" s="54" t="s">
        <v>2363</v>
      </c>
      <c r="AD286" s="54">
        <v>3217121910630000</v>
      </c>
      <c r="AE286" s="54" t="s">
        <v>2929</v>
      </c>
      <c r="AF286" s="54">
        <v>1970</v>
      </c>
      <c r="AG286" s="54" t="s">
        <v>2361</v>
      </c>
      <c r="AH286" s="54" t="s">
        <v>2365</v>
      </c>
      <c r="AI286" s="54" t="s">
        <v>2366</v>
      </c>
      <c r="AJ286" s="54">
        <v>3217124308700010</v>
      </c>
      <c r="AK286" s="54"/>
      <c r="AL286" s="54"/>
      <c r="AM286" s="54" t="s">
        <v>2367</v>
      </c>
      <c r="AN286" s="54"/>
      <c r="AO286" s="54"/>
      <c r="AP286" s="54"/>
      <c r="AQ286" s="54" t="s">
        <v>8178</v>
      </c>
      <c r="AR286" s="54"/>
      <c r="AS286" s="54"/>
      <c r="AT286" s="54" t="s">
        <v>2359</v>
      </c>
      <c r="AU286" s="54"/>
      <c r="AV286" s="54">
        <v>0</v>
      </c>
      <c r="AW286" s="54"/>
      <c r="AX286" s="54" t="s">
        <v>2930</v>
      </c>
      <c r="AY286" s="54"/>
      <c r="AZ286" s="54"/>
      <c r="BA286" s="54"/>
      <c r="BB286" s="54" t="s">
        <v>2369</v>
      </c>
      <c r="BC286" s="54" t="s">
        <v>2370</v>
      </c>
      <c r="BD286" s="54" t="s">
        <v>2371</v>
      </c>
      <c r="BE286" s="54" t="s">
        <v>2372</v>
      </c>
      <c r="BF286" s="54"/>
      <c r="BG286" s="54">
        <v>-6.9676999999999998</v>
      </c>
      <c r="BH286" s="54">
        <v>107.4117</v>
      </c>
      <c r="BI286" s="54"/>
      <c r="BJ286" s="54">
        <v>53</v>
      </c>
      <c r="BK286" s="54">
        <v>145</v>
      </c>
      <c r="BL286" s="54">
        <v>0</v>
      </c>
      <c r="BM286" s="54">
        <v>0</v>
      </c>
      <c r="BN286" s="54">
        <v>0</v>
      </c>
    </row>
    <row r="287" spans="1:66" s="219" customFormat="1" hidden="1" x14ac:dyDescent="0.3">
      <c r="A287" s="54">
        <v>281</v>
      </c>
      <c r="B287" s="54" t="s">
        <v>1658</v>
      </c>
      <c r="C287" s="54" t="s">
        <v>2143</v>
      </c>
      <c r="D287" s="54" t="s">
        <v>52</v>
      </c>
      <c r="E287" s="54">
        <v>109037794</v>
      </c>
      <c r="F287" s="54" t="s">
        <v>2373</v>
      </c>
      <c r="G287" s="108">
        <v>40486</v>
      </c>
      <c r="H287" s="54">
        <v>3217122606120000</v>
      </c>
      <c r="I287" s="54" t="s">
        <v>2353</v>
      </c>
      <c r="J287" s="54" t="s">
        <v>2544</v>
      </c>
      <c r="K287" s="54">
        <v>2</v>
      </c>
      <c r="L287" s="54">
        <v>8</v>
      </c>
      <c r="M287" s="54"/>
      <c r="N287" s="54" t="s">
        <v>2395</v>
      </c>
      <c r="O287" s="54" t="s">
        <v>2426</v>
      </c>
      <c r="P287" s="54"/>
      <c r="Q287" s="54" t="s">
        <v>2357</v>
      </c>
      <c r="R287" s="54" t="s">
        <v>2374</v>
      </c>
      <c r="S287" s="54"/>
      <c r="T287" s="54"/>
      <c r="U287" s="54"/>
      <c r="V287" s="54"/>
      <c r="W287" s="54" t="s">
        <v>2359</v>
      </c>
      <c r="X287" s="54"/>
      <c r="Y287" s="54"/>
      <c r="Z287" s="54">
        <v>0</v>
      </c>
      <c r="AA287" s="54"/>
      <c r="AB287" s="54" t="s">
        <v>2362</v>
      </c>
      <c r="AC287" s="54" t="s">
        <v>2363</v>
      </c>
      <c r="AD287" s="54"/>
      <c r="AE287" s="54" t="s">
        <v>2609</v>
      </c>
      <c r="AF287" s="54">
        <v>0</v>
      </c>
      <c r="AG287" s="54"/>
      <c r="AH287" s="54" t="s">
        <v>2365</v>
      </c>
      <c r="AI287" s="54" t="s">
        <v>2366</v>
      </c>
      <c r="AJ287" s="54"/>
      <c r="AK287" s="54"/>
      <c r="AL287" s="54"/>
      <c r="AM287" s="54"/>
      <c r="AN287" s="54"/>
      <c r="AO287" s="54"/>
      <c r="AP287" s="54"/>
      <c r="AQ287" s="54" t="s">
        <v>8181</v>
      </c>
      <c r="AR287" s="54"/>
      <c r="AS287" s="54"/>
      <c r="AT287" s="54" t="s">
        <v>2359</v>
      </c>
      <c r="AU287" s="54"/>
      <c r="AV287" s="54">
        <v>1</v>
      </c>
      <c r="AW287" s="54"/>
      <c r="AX287" s="54"/>
      <c r="AY287" s="54"/>
      <c r="AZ287" s="54"/>
      <c r="BA287" s="54"/>
      <c r="BB287" s="54" t="s">
        <v>2359</v>
      </c>
      <c r="BC287" s="54"/>
      <c r="BD287" s="54" t="s">
        <v>2371</v>
      </c>
      <c r="BE287" s="54" t="s">
        <v>2376</v>
      </c>
      <c r="BF287" s="54">
        <v>1</v>
      </c>
      <c r="BG287" s="54">
        <v>-6.9506242409999999</v>
      </c>
      <c r="BH287" s="54">
        <v>107.43049619999999</v>
      </c>
      <c r="BI287" s="54"/>
      <c r="BJ287" s="54">
        <v>43</v>
      </c>
      <c r="BK287" s="54">
        <v>140</v>
      </c>
      <c r="BL287" s="54">
        <v>55</v>
      </c>
      <c r="BM287" s="54">
        <v>2</v>
      </c>
      <c r="BN287" s="54">
        <v>2</v>
      </c>
    </row>
    <row r="288" spans="1:66" s="219" customFormat="1" hidden="1" x14ac:dyDescent="0.3">
      <c r="A288" s="54">
        <v>282</v>
      </c>
      <c r="B288" s="54" t="s">
        <v>3158</v>
      </c>
      <c r="C288" s="54" t="s">
        <v>3784</v>
      </c>
      <c r="D288" s="54" t="s">
        <v>52</v>
      </c>
      <c r="E288" s="54">
        <v>89891711</v>
      </c>
      <c r="F288" s="54" t="s">
        <v>2377</v>
      </c>
      <c r="G288" s="108">
        <v>39791</v>
      </c>
      <c r="H288" s="54">
        <v>3217140912080000</v>
      </c>
      <c r="I288" s="54" t="s">
        <v>2353</v>
      </c>
      <c r="J288" s="54" t="s">
        <v>3159</v>
      </c>
      <c r="K288" s="54">
        <v>2</v>
      </c>
      <c r="L288" s="54">
        <v>1</v>
      </c>
      <c r="M288" s="54"/>
      <c r="N288" s="54" t="s">
        <v>3160</v>
      </c>
      <c r="O288" s="54" t="s">
        <v>3065</v>
      </c>
      <c r="P288" s="54">
        <v>40563</v>
      </c>
      <c r="Q288" s="54" t="s">
        <v>2357</v>
      </c>
      <c r="R288" s="54" t="s">
        <v>2358</v>
      </c>
      <c r="S288" s="54"/>
      <c r="T288" s="54">
        <v>83143307010</v>
      </c>
      <c r="U288" s="54"/>
      <c r="V288" s="54"/>
      <c r="W288" s="54" t="s">
        <v>2359</v>
      </c>
      <c r="X288" s="54"/>
      <c r="Y288" s="54" t="s">
        <v>3161</v>
      </c>
      <c r="Z288" s="54">
        <v>1962</v>
      </c>
      <c r="AA288" s="54" t="s">
        <v>2390</v>
      </c>
      <c r="AB288" s="54" t="s">
        <v>2362</v>
      </c>
      <c r="AC288" s="54" t="s">
        <v>2403</v>
      </c>
      <c r="AD288" s="54">
        <v>3217141208620000</v>
      </c>
      <c r="AE288" s="54" t="s">
        <v>3162</v>
      </c>
      <c r="AF288" s="54">
        <v>1979</v>
      </c>
      <c r="AG288" s="54" t="s">
        <v>2402</v>
      </c>
      <c r="AH288" s="54" t="s">
        <v>2365</v>
      </c>
      <c r="AI288" s="54" t="s">
        <v>2366</v>
      </c>
      <c r="AJ288" s="54">
        <v>3217145201790000</v>
      </c>
      <c r="AK288" s="54"/>
      <c r="AL288" s="54"/>
      <c r="AM288" s="54" t="s">
        <v>2367</v>
      </c>
      <c r="AN288" s="54"/>
      <c r="AO288" s="54"/>
      <c r="AP288" s="54"/>
      <c r="AQ288" s="54" t="s">
        <v>5147</v>
      </c>
      <c r="AR288" s="54"/>
      <c r="AS288" s="54" t="s">
        <v>3163</v>
      </c>
      <c r="AT288" s="54" t="s">
        <v>2359</v>
      </c>
      <c r="AU288" s="54"/>
      <c r="AV288" s="54">
        <v>0</v>
      </c>
      <c r="AW288" s="54"/>
      <c r="AX288" s="54" t="s">
        <v>3164</v>
      </c>
      <c r="AY288" s="54"/>
      <c r="AZ288" s="54"/>
      <c r="BA288" s="54"/>
      <c r="BB288" s="54" t="s">
        <v>2369</v>
      </c>
      <c r="BC288" s="54" t="s">
        <v>2370</v>
      </c>
      <c r="BD288" s="54" t="s">
        <v>2371</v>
      </c>
      <c r="BE288" s="54" t="s">
        <v>2477</v>
      </c>
      <c r="BF288" s="54">
        <v>2</v>
      </c>
      <c r="BG288" s="54">
        <v>-6.9661</v>
      </c>
      <c r="BH288" s="54">
        <v>107.4057</v>
      </c>
      <c r="BI288" s="54">
        <v>3217141504052610</v>
      </c>
      <c r="BJ288" s="54">
        <v>47</v>
      </c>
      <c r="BK288" s="54">
        <v>144</v>
      </c>
      <c r="BL288" s="54">
        <v>60</v>
      </c>
      <c r="BM288" s="54">
        <v>1</v>
      </c>
      <c r="BN288" s="54">
        <v>2</v>
      </c>
    </row>
    <row r="289" spans="1:66" s="219" customFormat="1" hidden="1" x14ac:dyDescent="0.3">
      <c r="A289" s="54">
        <v>283</v>
      </c>
      <c r="B289" s="54" t="s">
        <v>1726</v>
      </c>
      <c r="C289" s="54" t="s">
        <v>2231</v>
      </c>
      <c r="D289" s="54" t="s">
        <v>52</v>
      </c>
      <c r="E289" s="54">
        <v>3090235781</v>
      </c>
      <c r="F289" s="54" t="s">
        <v>2559</v>
      </c>
      <c r="G289" s="108">
        <v>40035</v>
      </c>
      <c r="H289" s="54">
        <v>3205141008090000</v>
      </c>
      <c r="I289" s="54" t="s">
        <v>2353</v>
      </c>
      <c r="J289" s="54" t="s">
        <v>2616</v>
      </c>
      <c r="K289" s="54">
        <v>1</v>
      </c>
      <c r="L289" s="54">
        <v>11</v>
      </c>
      <c r="M289" s="54"/>
      <c r="N289" s="54" t="s">
        <v>2425</v>
      </c>
      <c r="O289" s="54" t="s">
        <v>2426</v>
      </c>
      <c r="P289" s="54">
        <v>40562</v>
      </c>
      <c r="Q289" s="54" t="s">
        <v>2357</v>
      </c>
      <c r="R289" s="54" t="s">
        <v>2358</v>
      </c>
      <c r="S289" s="54"/>
      <c r="T289" s="54"/>
      <c r="U289" s="54"/>
      <c r="V289" s="54"/>
      <c r="W289" s="54" t="s">
        <v>2359</v>
      </c>
      <c r="X289" s="54"/>
      <c r="Y289" s="54"/>
      <c r="Z289" s="54">
        <v>0</v>
      </c>
      <c r="AA289" s="54"/>
      <c r="AB289" s="54"/>
      <c r="AC289" s="54"/>
      <c r="AD289" s="54"/>
      <c r="AE289" s="54" t="s">
        <v>2931</v>
      </c>
      <c r="AF289" s="54">
        <v>0</v>
      </c>
      <c r="AG289" s="54"/>
      <c r="AH289" s="54" t="s">
        <v>2365</v>
      </c>
      <c r="AI289" s="54" t="s">
        <v>2366</v>
      </c>
      <c r="AJ289" s="54"/>
      <c r="AK289" s="54"/>
      <c r="AL289" s="54"/>
      <c r="AM289" s="54"/>
      <c r="AN289" s="54"/>
      <c r="AO289" s="54"/>
      <c r="AP289" s="54"/>
      <c r="AQ289" s="54" t="s">
        <v>8178</v>
      </c>
      <c r="AR289" s="54"/>
      <c r="AS289" s="54"/>
      <c r="AT289" s="54" t="s">
        <v>2359</v>
      </c>
      <c r="AU289" s="54"/>
      <c r="AV289" s="54">
        <v>1</v>
      </c>
      <c r="AW289" s="54"/>
      <c r="AX289" s="54"/>
      <c r="AY289" s="54"/>
      <c r="AZ289" s="54"/>
      <c r="BA289" s="54"/>
      <c r="BB289" s="54" t="s">
        <v>2369</v>
      </c>
      <c r="BC289" s="54" t="s">
        <v>2370</v>
      </c>
      <c r="BD289" s="54" t="s">
        <v>2371</v>
      </c>
      <c r="BE289" s="54" t="s">
        <v>2932</v>
      </c>
      <c r="BF289" s="54">
        <v>1</v>
      </c>
      <c r="BG289" s="54">
        <v>-6.9625000000000004</v>
      </c>
      <c r="BH289" s="54">
        <v>107.4346</v>
      </c>
      <c r="BI289" s="54"/>
      <c r="BJ289" s="54">
        <v>45</v>
      </c>
      <c r="BK289" s="54">
        <v>141</v>
      </c>
      <c r="BL289" s="54">
        <v>55</v>
      </c>
      <c r="BM289" s="54">
        <v>1</v>
      </c>
      <c r="BN289" s="54">
        <v>2</v>
      </c>
    </row>
    <row r="290" spans="1:66" s="219" customFormat="1" hidden="1" x14ac:dyDescent="0.3">
      <c r="A290" s="54">
        <v>284</v>
      </c>
      <c r="B290" s="54" t="s">
        <v>1875</v>
      </c>
      <c r="C290" s="54" t="s">
        <v>1876</v>
      </c>
      <c r="D290" s="54" t="s">
        <v>52</v>
      </c>
      <c r="E290" s="54">
        <v>3085570242</v>
      </c>
      <c r="F290" s="54" t="s">
        <v>2373</v>
      </c>
      <c r="G290" s="108">
        <v>39629</v>
      </c>
      <c r="H290" s="54">
        <v>3217113006080000</v>
      </c>
      <c r="I290" s="54" t="s">
        <v>2353</v>
      </c>
      <c r="J290" s="54" t="s">
        <v>2656</v>
      </c>
      <c r="K290" s="54">
        <v>1</v>
      </c>
      <c r="L290" s="54">
        <v>6</v>
      </c>
      <c r="M290" s="54"/>
      <c r="N290" s="54" t="s">
        <v>2425</v>
      </c>
      <c r="O290" s="54" t="s">
        <v>2426</v>
      </c>
      <c r="P290" s="54">
        <v>40562</v>
      </c>
      <c r="Q290" s="54" t="s">
        <v>2357</v>
      </c>
      <c r="R290" s="54" t="s">
        <v>2358</v>
      </c>
      <c r="S290" s="54"/>
      <c r="T290" s="54">
        <v>83820815153</v>
      </c>
      <c r="U290" s="54"/>
      <c r="V290" s="54"/>
      <c r="W290" s="54" t="s">
        <v>2359</v>
      </c>
      <c r="X290" s="54"/>
      <c r="Y290" s="54"/>
      <c r="Z290" s="54">
        <v>1976</v>
      </c>
      <c r="AA290" s="54" t="s">
        <v>2361</v>
      </c>
      <c r="AB290" s="54" t="s">
        <v>2362</v>
      </c>
      <c r="AC290" s="54" t="s">
        <v>2363</v>
      </c>
      <c r="AD290" s="54"/>
      <c r="AE290" s="54" t="s">
        <v>3613</v>
      </c>
      <c r="AF290" s="54">
        <v>1981</v>
      </c>
      <c r="AG290" s="54" t="s">
        <v>2361</v>
      </c>
      <c r="AH290" s="54" t="s">
        <v>2365</v>
      </c>
      <c r="AI290" s="54" t="s">
        <v>2366</v>
      </c>
      <c r="AJ290" s="54"/>
      <c r="AK290" s="54"/>
      <c r="AL290" s="54"/>
      <c r="AM290" s="54"/>
      <c r="AN290" s="54"/>
      <c r="AO290" s="54"/>
      <c r="AP290" s="54"/>
      <c r="AQ290" s="54" t="s">
        <v>5147</v>
      </c>
      <c r="AR290" s="54"/>
      <c r="AS290" s="54"/>
      <c r="AT290" s="54" t="s">
        <v>2359</v>
      </c>
      <c r="AU290" s="54"/>
      <c r="AV290" s="54">
        <v>0</v>
      </c>
      <c r="AW290" s="54"/>
      <c r="AX290" s="54" t="s">
        <v>3614</v>
      </c>
      <c r="AY290" s="54"/>
      <c r="AZ290" s="54"/>
      <c r="BA290" s="54"/>
      <c r="BB290" s="54" t="s">
        <v>2369</v>
      </c>
      <c r="BC290" s="54" t="s">
        <v>2370</v>
      </c>
      <c r="BD290" s="54" t="s">
        <v>2371</v>
      </c>
      <c r="BE290" s="54"/>
      <c r="BF290" s="54">
        <v>1</v>
      </c>
      <c r="BG290" s="54">
        <v>-6.9625000000000004</v>
      </c>
      <c r="BH290" s="54">
        <v>107.4346</v>
      </c>
      <c r="BI290" s="54">
        <v>3217111304050880</v>
      </c>
      <c r="BJ290" s="54">
        <v>45</v>
      </c>
      <c r="BK290" s="54">
        <v>144</v>
      </c>
      <c r="BL290" s="54">
        <v>57</v>
      </c>
      <c r="BM290" s="54">
        <v>1</v>
      </c>
      <c r="BN290" s="54">
        <v>1</v>
      </c>
    </row>
    <row r="291" spans="1:66" x14ac:dyDescent="0.3">
      <c r="A291" s="3">
        <v>285</v>
      </c>
      <c r="B291" s="3" t="s">
        <v>3997</v>
      </c>
      <c r="C291" s="3" t="s">
        <v>4404</v>
      </c>
      <c r="D291" s="3" t="s">
        <v>52</v>
      </c>
      <c r="E291" s="3">
        <v>3118925408</v>
      </c>
      <c r="F291" s="3" t="s">
        <v>2352</v>
      </c>
      <c r="G291" s="157">
        <v>40774</v>
      </c>
      <c r="H291" s="3">
        <v>3217111908110000</v>
      </c>
      <c r="I291" s="3" t="s">
        <v>2353</v>
      </c>
      <c r="J291" s="3" t="s">
        <v>4793</v>
      </c>
      <c r="K291" s="3">
        <v>1</v>
      </c>
      <c r="L291" s="3">
        <v>4</v>
      </c>
      <c r="M291" s="3"/>
      <c r="N291" s="3" t="s">
        <v>4557</v>
      </c>
      <c r="O291" s="3" t="s">
        <v>2356</v>
      </c>
      <c r="P291" s="3">
        <v>40564</v>
      </c>
      <c r="Q291" s="3" t="s">
        <v>2357</v>
      </c>
      <c r="R291" s="3" t="s">
        <v>2358</v>
      </c>
      <c r="S291" s="3"/>
      <c r="T291" s="3">
        <v>83107777973</v>
      </c>
      <c r="U291" s="3"/>
      <c r="V291" s="3"/>
      <c r="W291" s="3" t="s">
        <v>2359</v>
      </c>
      <c r="X291" s="3"/>
      <c r="Y291" s="3" t="s">
        <v>4794</v>
      </c>
      <c r="Z291" s="3">
        <v>1982</v>
      </c>
      <c r="AA291" s="3" t="s">
        <v>2402</v>
      </c>
      <c r="AB291" s="3" t="s">
        <v>2362</v>
      </c>
      <c r="AC291" s="3" t="s">
        <v>2403</v>
      </c>
      <c r="AD291" s="3">
        <v>3217112211820000</v>
      </c>
      <c r="AE291" s="3" t="s">
        <v>4795</v>
      </c>
      <c r="AF291" s="3">
        <v>1988</v>
      </c>
      <c r="AG291" s="3" t="s">
        <v>2361</v>
      </c>
      <c r="AH291" s="3" t="s">
        <v>2365</v>
      </c>
      <c r="AI291" s="3" t="s">
        <v>2366</v>
      </c>
      <c r="AJ291" s="3"/>
      <c r="AK291" s="3"/>
      <c r="AL291" s="3"/>
      <c r="AM291" s="3"/>
      <c r="AN291" s="3"/>
      <c r="AO291" s="3"/>
      <c r="AP291" s="3"/>
      <c r="AQ291" s="3" t="s">
        <v>5148</v>
      </c>
      <c r="AR291" s="3"/>
      <c r="AS291" s="3"/>
      <c r="AT291" s="3" t="s">
        <v>2359</v>
      </c>
      <c r="AU291" s="3"/>
      <c r="AV291" s="3">
        <v>0</v>
      </c>
      <c r="AW291" s="3"/>
      <c r="AX291" s="3"/>
      <c r="AY291" s="3"/>
      <c r="AZ291" s="3"/>
      <c r="BA291" s="3"/>
      <c r="BB291" s="3" t="s">
        <v>2369</v>
      </c>
      <c r="BC291" s="3" t="s">
        <v>2370</v>
      </c>
      <c r="BD291" s="3" t="s">
        <v>2371</v>
      </c>
      <c r="BE291" s="3" t="s">
        <v>2880</v>
      </c>
      <c r="BF291" s="3">
        <v>2</v>
      </c>
      <c r="BG291" s="3">
        <v>-6.9538618269999999</v>
      </c>
      <c r="BH291" s="3">
        <v>107.3995972</v>
      </c>
      <c r="BI291" s="3">
        <v>3217121406210010</v>
      </c>
      <c r="BJ291" s="3">
        <v>39</v>
      </c>
      <c r="BK291" s="3">
        <v>142</v>
      </c>
      <c r="BL291" s="3">
        <v>55</v>
      </c>
      <c r="BM291" s="3">
        <v>1</v>
      </c>
      <c r="BN291" s="3">
        <v>2</v>
      </c>
    </row>
    <row r="292" spans="1:66" s="219" customFormat="1" hidden="1" x14ac:dyDescent="0.3">
      <c r="A292" s="54">
        <v>286</v>
      </c>
      <c r="B292" s="54" t="s">
        <v>1729</v>
      </c>
      <c r="C292" s="54" t="s">
        <v>2232</v>
      </c>
      <c r="D292" s="54" t="s">
        <v>52</v>
      </c>
      <c r="E292" s="54">
        <v>98901319</v>
      </c>
      <c r="F292" s="54" t="s">
        <v>2377</v>
      </c>
      <c r="G292" s="108">
        <v>40146</v>
      </c>
      <c r="H292" s="54">
        <v>3217122911090000</v>
      </c>
      <c r="I292" s="54" t="s">
        <v>2353</v>
      </c>
      <c r="J292" s="54" t="s">
        <v>2933</v>
      </c>
      <c r="K292" s="54">
        <v>10</v>
      </c>
      <c r="L292" s="54">
        <v>7</v>
      </c>
      <c r="M292" s="54"/>
      <c r="N292" s="54" t="s">
        <v>2399</v>
      </c>
      <c r="O292" s="54" t="s">
        <v>2356</v>
      </c>
      <c r="P292" s="54">
        <v>40764</v>
      </c>
      <c r="Q292" s="54" t="s">
        <v>2357</v>
      </c>
      <c r="R292" s="54" t="s">
        <v>2358</v>
      </c>
      <c r="S292" s="54"/>
      <c r="T292" s="54">
        <v>83829791567</v>
      </c>
      <c r="U292" s="54"/>
      <c r="V292" s="54"/>
      <c r="W292" s="54" t="s">
        <v>2359</v>
      </c>
      <c r="X292" s="54"/>
      <c r="Y292" s="54" t="s">
        <v>2934</v>
      </c>
      <c r="Z292" s="54">
        <v>0</v>
      </c>
      <c r="AA292" s="54" t="s">
        <v>2361</v>
      </c>
      <c r="AB292" s="54" t="s">
        <v>2362</v>
      </c>
      <c r="AC292" s="54" t="s">
        <v>2403</v>
      </c>
      <c r="AD292" s="54"/>
      <c r="AE292" s="54" t="s">
        <v>2935</v>
      </c>
      <c r="AF292" s="54">
        <v>1972</v>
      </c>
      <c r="AG292" s="54" t="s">
        <v>2361</v>
      </c>
      <c r="AH292" s="54" t="s">
        <v>2365</v>
      </c>
      <c r="AI292" s="54" t="s">
        <v>2366</v>
      </c>
      <c r="AJ292" s="54">
        <v>3217124707720000</v>
      </c>
      <c r="AK292" s="54"/>
      <c r="AL292" s="54"/>
      <c r="AM292" s="54" t="s">
        <v>2367</v>
      </c>
      <c r="AN292" s="54"/>
      <c r="AO292" s="54"/>
      <c r="AP292" s="54"/>
      <c r="AQ292" s="54" t="s">
        <v>8178</v>
      </c>
      <c r="AR292" s="54"/>
      <c r="AS292" s="54"/>
      <c r="AT292" s="54" t="s">
        <v>2359</v>
      </c>
      <c r="AU292" s="54"/>
      <c r="AV292" s="54">
        <v>0</v>
      </c>
      <c r="AW292" s="54"/>
      <c r="AX292" s="54" t="s">
        <v>2936</v>
      </c>
      <c r="AY292" s="54"/>
      <c r="AZ292" s="54"/>
      <c r="BA292" s="54"/>
      <c r="BB292" s="54" t="s">
        <v>2369</v>
      </c>
      <c r="BC292" s="54" t="s">
        <v>2370</v>
      </c>
      <c r="BD292" s="54" t="s">
        <v>2371</v>
      </c>
      <c r="BE292" s="54" t="s">
        <v>2937</v>
      </c>
      <c r="BF292" s="54">
        <v>3</v>
      </c>
      <c r="BG292" s="54">
        <v>-6.9486999999999997</v>
      </c>
      <c r="BH292" s="54">
        <v>107.3831</v>
      </c>
      <c r="BI292" s="54">
        <v>3217121907180020</v>
      </c>
      <c r="BJ292" s="54">
        <v>48</v>
      </c>
      <c r="BK292" s="54">
        <v>143</v>
      </c>
      <c r="BL292" s="54">
        <v>57</v>
      </c>
      <c r="BM292" s="54">
        <v>1</v>
      </c>
      <c r="BN292" s="54">
        <v>2</v>
      </c>
    </row>
    <row r="293" spans="1:66" s="219" customFormat="1" hidden="1" x14ac:dyDescent="0.3">
      <c r="A293" s="54">
        <v>287</v>
      </c>
      <c r="B293" s="54" t="s">
        <v>1380</v>
      </c>
      <c r="C293" s="54" t="s">
        <v>1560</v>
      </c>
      <c r="D293" s="54" t="s">
        <v>52</v>
      </c>
      <c r="E293" s="54">
        <v>97681227</v>
      </c>
      <c r="F293" s="54" t="s">
        <v>2373</v>
      </c>
      <c r="G293" s="108">
        <v>39942</v>
      </c>
      <c r="H293" s="54">
        <v>3217110905090000</v>
      </c>
      <c r="I293" s="54" t="s">
        <v>2353</v>
      </c>
      <c r="J293" s="54" t="s">
        <v>2810</v>
      </c>
      <c r="K293" s="54">
        <v>2</v>
      </c>
      <c r="L293" s="54">
        <v>5</v>
      </c>
      <c r="M293" s="54"/>
      <c r="N293" s="54" t="s">
        <v>2425</v>
      </c>
      <c r="O293" s="54" t="s">
        <v>2426</v>
      </c>
      <c r="P293" s="54">
        <v>40562</v>
      </c>
      <c r="Q293" s="54" t="s">
        <v>2357</v>
      </c>
      <c r="R293" s="54" t="s">
        <v>2400</v>
      </c>
      <c r="S293" s="54"/>
      <c r="T293" s="54">
        <v>83820247073</v>
      </c>
      <c r="U293" s="54"/>
      <c r="V293" s="54"/>
      <c r="W293" s="54" t="s">
        <v>2359</v>
      </c>
      <c r="X293" s="54"/>
      <c r="Y293" s="54" t="s">
        <v>3721</v>
      </c>
      <c r="Z293" s="54">
        <v>1971</v>
      </c>
      <c r="AA293" s="54" t="s">
        <v>2402</v>
      </c>
      <c r="AB293" s="54" t="s">
        <v>2362</v>
      </c>
      <c r="AC293" s="54" t="s">
        <v>2375</v>
      </c>
      <c r="AD293" s="54"/>
      <c r="AE293" s="54" t="s">
        <v>3722</v>
      </c>
      <c r="AF293" s="54">
        <v>1979</v>
      </c>
      <c r="AG293" s="54" t="s">
        <v>3723</v>
      </c>
      <c r="AH293" s="54" t="s">
        <v>2474</v>
      </c>
      <c r="AI293" s="54" t="s">
        <v>2375</v>
      </c>
      <c r="AJ293" s="54"/>
      <c r="AK293" s="54"/>
      <c r="AL293" s="54"/>
      <c r="AM293" s="54"/>
      <c r="AN293" s="54"/>
      <c r="AO293" s="54"/>
      <c r="AP293" s="54"/>
      <c r="AQ293" s="54" t="s">
        <v>5147</v>
      </c>
      <c r="AR293" s="54"/>
      <c r="AS293" s="54"/>
      <c r="AT293" s="54" t="s">
        <v>2359</v>
      </c>
      <c r="AU293" s="54"/>
      <c r="AV293" s="54">
        <v>0</v>
      </c>
      <c r="AW293" s="54"/>
      <c r="AX293" s="54" t="s">
        <v>3724</v>
      </c>
      <c r="AY293" s="54"/>
      <c r="AZ293" s="54"/>
      <c r="BA293" s="54"/>
      <c r="BB293" s="54" t="s">
        <v>2369</v>
      </c>
      <c r="BC293" s="54" t="s">
        <v>2370</v>
      </c>
      <c r="BD293" s="54" t="s">
        <v>2371</v>
      </c>
      <c r="BE293" s="54"/>
      <c r="BF293" s="54">
        <v>3</v>
      </c>
      <c r="BG293" s="54">
        <v>-6.9743000000000004</v>
      </c>
      <c r="BH293" s="54">
        <v>107.43559999999999</v>
      </c>
      <c r="BI293" s="54">
        <v>3217111102070000</v>
      </c>
      <c r="BJ293" s="54">
        <v>35</v>
      </c>
      <c r="BK293" s="54">
        <v>135</v>
      </c>
      <c r="BL293" s="54">
        <v>54</v>
      </c>
      <c r="BM293" s="54">
        <v>2</v>
      </c>
      <c r="BN293" s="54">
        <v>1</v>
      </c>
    </row>
    <row r="294" spans="1:66" hidden="1" x14ac:dyDescent="0.3">
      <c r="A294" s="3">
        <v>288</v>
      </c>
      <c r="B294" s="3" t="s">
        <v>4796</v>
      </c>
      <c r="C294" s="3" t="s">
        <v>4279</v>
      </c>
      <c r="D294" s="3" t="s">
        <v>52</v>
      </c>
      <c r="E294" s="3">
        <v>103877695</v>
      </c>
      <c r="F294" s="3" t="s">
        <v>2373</v>
      </c>
      <c r="G294" s="157">
        <v>40309</v>
      </c>
      <c r="H294" s="3">
        <v>3217121105100000</v>
      </c>
      <c r="I294" s="3" t="s">
        <v>2353</v>
      </c>
      <c r="J294" s="3" t="s">
        <v>4797</v>
      </c>
      <c r="K294" s="3">
        <v>2</v>
      </c>
      <c r="L294" s="3">
        <v>5</v>
      </c>
      <c r="M294" s="3" t="s">
        <v>4703</v>
      </c>
      <c r="N294" s="3" t="s">
        <v>2409</v>
      </c>
      <c r="O294" s="3" t="s">
        <v>2356</v>
      </c>
      <c r="P294" s="3">
        <v>40564</v>
      </c>
      <c r="Q294" s="3" t="s">
        <v>2357</v>
      </c>
      <c r="R294" s="3" t="s">
        <v>2358</v>
      </c>
      <c r="S294" s="3"/>
      <c r="T294" s="3">
        <v>83829871441</v>
      </c>
      <c r="U294" s="3"/>
      <c r="V294" s="3"/>
      <c r="W294" s="3" t="s">
        <v>2359</v>
      </c>
      <c r="X294" s="3"/>
      <c r="Y294" s="3" t="s">
        <v>4798</v>
      </c>
      <c r="Z294" s="3">
        <v>1968</v>
      </c>
      <c r="AA294" s="3" t="s">
        <v>2361</v>
      </c>
      <c r="AB294" s="3" t="s">
        <v>2362</v>
      </c>
      <c r="AC294" s="3" t="s">
        <v>2363</v>
      </c>
      <c r="AD294" s="3">
        <v>3217121703680000</v>
      </c>
      <c r="AE294" s="3" t="s">
        <v>4799</v>
      </c>
      <c r="AF294" s="3">
        <v>1971</v>
      </c>
      <c r="AG294" s="3" t="s">
        <v>2402</v>
      </c>
      <c r="AH294" s="3" t="s">
        <v>2365</v>
      </c>
      <c r="AI294" s="3" t="s">
        <v>2366</v>
      </c>
      <c r="AJ294" s="3">
        <v>3217125505710010</v>
      </c>
      <c r="AK294" s="3"/>
      <c r="AL294" s="3"/>
      <c r="AM294" s="3" t="s">
        <v>2367</v>
      </c>
      <c r="AN294" s="3"/>
      <c r="AO294" s="3"/>
      <c r="AP294" s="3"/>
      <c r="AQ294" s="3" t="s">
        <v>5149</v>
      </c>
      <c r="AR294" s="3"/>
      <c r="AS294" s="3"/>
      <c r="AT294" s="3" t="s">
        <v>2359</v>
      </c>
      <c r="AU294" s="3"/>
      <c r="AV294" s="3">
        <v>0</v>
      </c>
      <c r="AW294" s="3"/>
      <c r="AX294" s="3" t="s">
        <v>4026</v>
      </c>
      <c r="AY294" s="3"/>
      <c r="AZ294" s="3"/>
      <c r="BA294" s="3"/>
      <c r="BB294" s="3" t="s">
        <v>2369</v>
      </c>
      <c r="BC294" s="3" t="s">
        <v>2370</v>
      </c>
      <c r="BD294" s="3" t="s">
        <v>2371</v>
      </c>
      <c r="BE294" s="3" t="s">
        <v>2406</v>
      </c>
      <c r="BF294" s="3">
        <v>3</v>
      </c>
      <c r="BG294" s="3">
        <v>-6.9546999999999999</v>
      </c>
      <c r="BH294" s="3">
        <v>107.39</v>
      </c>
      <c r="BI294" s="3"/>
      <c r="BJ294" s="3">
        <v>44</v>
      </c>
      <c r="BK294" s="3">
        <v>140</v>
      </c>
      <c r="BL294" s="3">
        <v>55</v>
      </c>
      <c r="BM294" s="3">
        <v>1</v>
      </c>
      <c r="BN294" s="3">
        <v>3</v>
      </c>
    </row>
    <row r="295" spans="1:66" s="219" customFormat="1" hidden="1" x14ac:dyDescent="0.3">
      <c r="A295" s="54">
        <v>289</v>
      </c>
      <c r="B295" s="54" t="s">
        <v>2719</v>
      </c>
      <c r="C295" s="54" t="s">
        <v>2175</v>
      </c>
      <c r="D295" s="54" t="s">
        <v>52</v>
      </c>
      <c r="E295" s="54">
        <v>99091677</v>
      </c>
      <c r="F295" s="54" t="s">
        <v>2446</v>
      </c>
      <c r="G295" s="108">
        <v>40072</v>
      </c>
      <c r="H295" s="54">
        <v>3217111609090000</v>
      </c>
      <c r="I295" s="54" t="s">
        <v>2353</v>
      </c>
      <c r="J295" s="54" t="s">
        <v>2593</v>
      </c>
      <c r="K295" s="54">
        <v>3</v>
      </c>
      <c r="L295" s="54">
        <v>13</v>
      </c>
      <c r="M295" s="54" t="s">
        <v>2593</v>
      </c>
      <c r="N295" s="54" t="s">
        <v>2425</v>
      </c>
      <c r="O295" s="54" t="s">
        <v>2426</v>
      </c>
      <c r="P295" s="54">
        <v>40562</v>
      </c>
      <c r="Q295" s="54" t="s">
        <v>2357</v>
      </c>
      <c r="R295" s="54" t="s">
        <v>2358</v>
      </c>
      <c r="S295" s="54"/>
      <c r="T295" s="54">
        <v>83195645849</v>
      </c>
      <c r="U295" s="54"/>
      <c r="V295" s="54"/>
      <c r="W295" s="54" t="s">
        <v>2359</v>
      </c>
      <c r="X295" s="54"/>
      <c r="Y295" s="54" t="s">
        <v>2720</v>
      </c>
      <c r="Z295" s="54">
        <v>1980</v>
      </c>
      <c r="AA295" s="54" t="s">
        <v>2361</v>
      </c>
      <c r="AB295" s="54" t="s">
        <v>2362</v>
      </c>
      <c r="AC295" s="54" t="s">
        <v>2403</v>
      </c>
      <c r="AD295" s="54">
        <v>3217112010800010</v>
      </c>
      <c r="AE295" s="54" t="s">
        <v>2721</v>
      </c>
      <c r="AF295" s="54">
        <v>1987</v>
      </c>
      <c r="AG295" s="54" t="s">
        <v>2361</v>
      </c>
      <c r="AH295" s="54" t="s">
        <v>2365</v>
      </c>
      <c r="AI295" s="54" t="s">
        <v>2366</v>
      </c>
      <c r="AJ295" s="54">
        <v>3217115909870010</v>
      </c>
      <c r="AK295" s="54"/>
      <c r="AL295" s="54"/>
      <c r="AM295" s="54" t="s">
        <v>2367</v>
      </c>
      <c r="AN295" s="54"/>
      <c r="AO295" s="54"/>
      <c r="AP295" s="54"/>
      <c r="AQ295" s="54" t="s">
        <v>8180</v>
      </c>
      <c r="AR295" s="54"/>
      <c r="AS295" s="54"/>
      <c r="AT295" s="54" t="s">
        <v>2369</v>
      </c>
      <c r="AU295" s="54" t="s">
        <v>2722</v>
      </c>
      <c r="AV295" s="54">
        <v>0</v>
      </c>
      <c r="AW295" s="54"/>
      <c r="AX295" s="54" t="s">
        <v>2723</v>
      </c>
      <c r="AY295" s="54" t="s">
        <v>2460</v>
      </c>
      <c r="AZ295" s="54">
        <v>367101002599500</v>
      </c>
      <c r="BA295" s="54" t="s">
        <v>1682</v>
      </c>
      <c r="BB295" s="54" t="s">
        <v>2369</v>
      </c>
      <c r="BC295" s="54"/>
      <c r="BD295" s="54" t="s">
        <v>2371</v>
      </c>
      <c r="BE295" s="54" t="s">
        <v>2430</v>
      </c>
      <c r="BF295" s="54">
        <v>1</v>
      </c>
      <c r="BG295" s="54">
        <v>-6.9514541999999997</v>
      </c>
      <c r="BH295" s="54">
        <v>107.4179645</v>
      </c>
      <c r="BI295" s="54"/>
      <c r="BJ295" s="54">
        <v>52</v>
      </c>
      <c r="BK295" s="54">
        <v>144</v>
      </c>
      <c r="BL295" s="54">
        <v>0</v>
      </c>
      <c r="BM295" s="54">
        <v>0</v>
      </c>
      <c r="BN295" s="54">
        <v>0</v>
      </c>
    </row>
    <row r="296" spans="1:66" s="219" customFormat="1" hidden="1" x14ac:dyDescent="0.3">
      <c r="A296" s="54">
        <v>290</v>
      </c>
      <c r="B296" s="54" t="s">
        <v>2724</v>
      </c>
      <c r="C296" s="54" t="s">
        <v>2176</v>
      </c>
      <c r="D296" s="54" t="s">
        <v>52</v>
      </c>
      <c r="E296" s="54">
        <v>102815182</v>
      </c>
      <c r="F296" s="54" t="s">
        <v>2446</v>
      </c>
      <c r="G296" s="108">
        <v>40193</v>
      </c>
      <c r="H296" s="54">
        <v>3273051501100000</v>
      </c>
      <c r="I296" s="54" t="s">
        <v>2353</v>
      </c>
      <c r="J296" s="54" t="s">
        <v>2582</v>
      </c>
      <c r="K296" s="54">
        <v>4</v>
      </c>
      <c r="L296" s="54">
        <v>14</v>
      </c>
      <c r="M296" s="54" t="s">
        <v>2582</v>
      </c>
      <c r="N296" s="54" t="s">
        <v>2425</v>
      </c>
      <c r="O296" s="54" t="s">
        <v>2426</v>
      </c>
      <c r="P296" s="54">
        <v>40562</v>
      </c>
      <c r="Q296" s="54" t="s">
        <v>2357</v>
      </c>
      <c r="R296" s="54" t="s">
        <v>2358</v>
      </c>
      <c r="S296" s="54"/>
      <c r="T296" s="54">
        <v>83822754895</v>
      </c>
      <c r="U296" s="54"/>
      <c r="V296" s="54"/>
      <c r="W296" s="54" t="s">
        <v>2359</v>
      </c>
      <c r="X296" s="54"/>
      <c r="Y296" s="54" t="s">
        <v>2725</v>
      </c>
      <c r="Z296" s="54">
        <v>1982</v>
      </c>
      <c r="AA296" s="54" t="s">
        <v>2402</v>
      </c>
      <c r="AB296" s="54" t="s">
        <v>2362</v>
      </c>
      <c r="AC296" s="54" t="s">
        <v>2403</v>
      </c>
      <c r="AD296" s="54"/>
      <c r="AE296" s="54" t="s">
        <v>2726</v>
      </c>
      <c r="AF296" s="54">
        <v>1987</v>
      </c>
      <c r="AG296" s="54" t="s">
        <v>2402</v>
      </c>
      <c r="AH296" s="54" t="s">
        <v>2365</v>
      </c>
      <c r="AI296" s="54" t="s">
        <v>2366</v>
      </c>
      <c r="AJ296" s="54"/>
      <c r="AK296" s="54"/>
      <c r="AL296" s="54"/>
      <c r="AM296" s="54" t="s">
        <v>2367</v>
      </c>
      <c r="AN296" s="54"/>
      <c r="AO296" s="54"/>
      <c r="AP296" s="54"/>
      <c r="AQ296" s="54" t="s">
        <v>8180</v>
      </c>
      <c r="AR296" s="54"/>
      <c r="AS296" s="54"/>
      <c r="AT296" s="54" t="s">
        <v>2359</v>
      </c>
      <c r="AU296" s="54"/>
      <c r="AV296" s="54">
        <v>0</v>
      </c>
      <c r="AW296" s="54"/>
      <c r="AX296" s="54" t="s">
        <v>2727</v>
      </c>
      <c r="AY296" s="54"/>
      <c r="AZ296" s="54"/>
      <c r="BA296" s="54"/>
      <c r="BB296" s="54" t="s">
        <v>2369</v>
      </c>
      <c r="BC296" s="54" t="s">
        <v>2370</v>
      </c>
      <c r="BD296" s="54" t="s">
        <v>2371</v>
      </c>
      <c r="BE296" s="54" t="s">
        <v>2430</v>
      </c>
      <c r="BF296" s="54">
        <v>1</v>
      </c>
      <c r="BG296" s="54">
        <v>-6.9514541999999997</v>
      </c>
      <c r="BH296" s="54">
        <v>107.4179645</v>
      </c>
      <c r="BI296" s="54"/>
      <c r="BJ296" s="54">
        <v>55</v>
      </c>
      <c r="BK296" s="54">
        <v>143</v>
      </c>
      <c r="BL296" s="54">
        <v>0</v>
      </c>
      <c r="BM296" s="54">
        <v>0</v>
      </c>
      <c r="BN296" s="54">
        <v>0</v>
      </c>
    </row>
    <row r="297" spans="1:66" s="219" customFormat="1" hidden="1" x14ac:dyDescent="0.3">
      <c r="A297" s="54">
        <v>291</v>
      </c>
      <c r="B297" s="54" t="s">
        <v>2851</v>
      </c>
      <c r="C297" s="54" t="s">
        <v>2208</v>
      </c>
      <c r="D297" s="54" t="s">
        <v>52</v>
      </c>
      <c r="E297" s="54">
        <v>109723915</v>
      </c>
      <c r="F297" s="54" t="s">
        <v>2373</v>
      </c>
      <c r="G297" s="108">
        <v>40336</v>
      </c>
      <c r="H297" s="54">
        <v>3217110706100000</v>
      </c>
      <c r="I297" s="54" t="s">
        <v>2353</v>
      </c>
      <c r="J297" s="54" t="s">
        <v>2695</v>
      </c>
      <c r="K297" s="54">
        <v>2</v>
      </c>
      <c r="L297" s="54">
        <v>12</v>
      </c>
      <c r="M297" s="54"/>
      <c r="N297" s="54" t="s">
        <v>2425</v>
      </c>
      <c r="O297" s="54" t="s">
        <v>2426</v>
      </c>
      <c r="P297" s="54">
        <v>40562</v>
      </c>
      <c r="Q297" s="54" t="s">
        <v>2357</v>
      </c>
      <c r="R297" s="54" t="s">
        <v>2358</v>
      </c>
      <c r="S297" s="54"/>
      <c r="T297" s="54">
        <v>83120283092</v>
      </c>
      <c r="U297" s="54"/>
      <c r="V297" s="54"/>
      <c r="W297" s="54" t="s">
        <v>2359</v>
      </c>
      <c r="X297" s="54"/>
      <c r="Y297" s="54" t="s">
        <v>2852</v>
      </c>
      <c r="Z297" s="54">
        <v>1980</v>
      </c>
      <c r="AA297" s="54" t="s">
        <v>2361</v>
      </c>
      <c r="AB297" s="54" t="s">
        <v>2362</v>
      </c>
      <c r="AC297" s="54" t="s">
        <v>2403</v>
      </c>
      <c r="AD297" s="54">
        <v>3217112005800000</v>
      </c>
      <c r="AE297" s="54" t="s">
        <v>2853</v>
      </c>
      <c r="AF297" s="54">
        <v>1985</v>
      </c>
      <c r="AG297" s="54" t="s">
        <v>2402</v>
      </c>
      <c r="AH297" s="54" t="s">
        <v>2365</v>
      </c>
      <c r="AI297" s="54" t="s">
        <v>2366</v>
      </c>
      <c r="AJ297" s="54">
        <v>3217116509850000</v>
      </c>
      <c r="AK297" s="54"/>
      <c r="AL297" s="54"/>
      <c r="AM297" s="54" t="s">
        <v>2367</v>
      </c>
      <c r="AN297" s="54"/>
      <c r="AO297" s="54"/>
      <c r="AP297" s="54"/>
      <c r="AQ297" s="54" t="s">
        <v>8179</v>
      </c>
      <c r="AR297" s="54"/>
      <c r="AS297" s="54"/>
      <c r="AT297" s="54" t="s">
        <v>2369</v>
      </c>
      <c r="AU297" s="54" t="s">
        <v>2854</v>
      </c>
      <c r="AV297" s="54">
        <v>0</v>
      </c>
      <c r="AW297" s="54" t="s">
        <v>2855</v>
      </c>
      <c r="AX297" s="54">
        <v>9530014840</v>
      </c>
      <c r="AY297" s="54" t="s">
        <v>2460</v>
      </c>
      <c r="AZ297" s="54">
        <v>367101002888501</v>
      </c>
      <c r="BA297" s="54" t="s">
        <v>1710</v>
      </c>
      <c r="BB297" s="54" t="s">
        <v>2369</v>
      </c>
      <c r="BC297" s="54"/>
      <c r="BD297" s="54" t="s">
        <v>2371</v>
      </c>
      <c r="BE297" s="54" t="s">
        <v>2691</v>
      </c>
      <c r="BF297" s="54">
        <v>1</v>
      </c>
      <c r="BG297" s="54">
        <v>-6.9743000000000004</v>
      </c>
      <c r="BH297" s="54">
        <v>107.43559999999999</v>
      </c>
      <c r="BI297" s="54"/>
      <c r="BJ297" s="54">
        <v>58</v>
      </c>
      <c r="BK297" s="54">
        <v>151</v>
      </c>
      <c r="BL297" s="54">
        <v>0</v>
      </c>
      <c r="BM297" s="54">
        <v>0</v>
      </c>
      <c r="BN297" s="54">
        <v>0</v>
      </c>
    </row>
    <row r="298" spans="1:66" x14ac:dyDescent="0.3">
      <c r="A298" s="3">
        <v>292</v>
      </c>
      <c r="B298" s="3" t="s">
        <v>4800</v>
      </c>
      <c r="C298" s="3" t="s">
        <v>4405</v>
      </c>
      <c r="D298" s="3" t="s">
        <v>52</v>
      </c>
      <c r="E298" s="3">
        <v>104088016</v>
      </c>
      <c r="F298" s="3" t="s">
        <v>4801</v>
      </c>
      <c r="G298" s="157">
        <v>40518</v>
      </c>
      <c r="H298" s="3">
        <v>3217120612100000</v>
      </c>
      <c r="I298" s="3" t="s">
        <v>2353</v>
      </c>
      <c r="J298" s="3" t="s">
        <v>3050</v>
      </c>
      <c r="K298" s="3">
        <v>1</v>
      </c>
      <c r="L298" s="3">
        <v>4</v>
      </c>
      <c r="M298" s="3"/>
      <c r="N298" s="3" t="s">
        <v>2395</v>
      </c>
      <c r="O298" s="3" t="s">
        <v>2356</v>
      </c>
      <c r="P298" s="3">
        <v>40764</v>
      </c>
      <c r="Q298" s="3" t="s">
        <v>2357</v>
      </c>
      <c r="R298" s="3" t="s">
        <v>2358</v>
      </c>
      <c r="S298" s="3"/>
      <c r="T298" s="3">
        <v>81310424520</v>
      </c>
      <c r="U298" s="3"/>
      <c r="V298" s="3"/>
      <c r="W298" s="3" t="s">
        <v>2359</v>
      </c>
      <c r="X298" s="3"/>
      <c r="Y298" s="3" t="s">
        <v>4802</v>
      </c>
      <c r="Z298" s="3">
        <v>1970</v>
      </c>
      <c r="AA298" s="3" t="s">
        <v>2402</v>
      </c>
      <c r="AB298" s="3" t="s">
        <v>2362</v>
      </c>
      <c r="AC298" s="3" t="s">
        <v>2363</v>
      </c>
      <c r="AD298" s="3">
        <v>3217120503700020</v>
      </c>
      <c r="AE298" s="3" t="s">
        <v>4803</v>
      </c>
      <c r="AF298" s="3">
        <v>1977</v>
      </c>
      <c r="AG298" s="3" t="s">
        <v>2361</v>
      </c>
      <c r="AH298" s="3" t="s">
        <v>2365</v>
      </c>
      <c r="AI298" s="3" t="s">
        <v>2366</v>
      </c>
      <c r="AJ298" s="3">
        <v>3217125002770010</v>
      </c>
      <c r="AK298" s="3"/>
      <c r="AL298" s="3"/>
      <c r="AM298" s="3" t="s">
        <v>2367</v>
      </c>
      <c r="AN298" s="3"/>
      <c r="AO298" s="3"/>
      <c r="AP298" s="3"/>
      <c r="AQ298" s="3" t="s">
        <v>5148</v>
      </c>
      <c r="AR298" s="3"/>
      <c r="AS298" s="3"/>
      <c r="AT298" s="3" t="s">
        <v>2369</v>
      </c>
      <c r="AU298" s="3"/>
      <c r="AV298" s="3">
        <v>0</v>
      </c>
      <c r="AW298" s="3"/>
      <c r="AX298" s="3"/>
      <c r="AY298" s="3"/>
      <c r="AZ298" s="3"/>
      <c r="BA298" s="3"/>
      <c r="BB298" s="3" t="s">
        <v>2369</v>
      </c>
      <c r="BC298" s="3"/>
      <c r="BD298" s="3" t="s">
        <v>2371</v>
      </c>
      <c r="BE298" s="3" t="s">
        <v>2553</v>
      </c>
      <c r="BF298" s="3">
        <v>3</v>
      </c>
      <c r="BG298" s="3">
        <v>-7.0068000000000001</v>
      </c>
      <c r="BH298" s="3">
        <v>107.2349</v>
      </c>
      <c r="BI298" s="3">
        <v>3217121609120050</v>
      </c>
      <c r="BJ298" s="3">
        <v>44</v>
      </c>
      <c r="BK298" s="3">
        <v>142</v>
      </c>
      <c r="BL298" s="3">
        <v>58</v>
      </c>
      <c r="BM298" s="3">
        <v>1</v>
      </c>
      <c r="BN298" s="3">
        <v>2</v>
      </c>
    </row>
    <row r="299" spans="1:66" hidden="1" x14ac:dyDescent="0.3">
      <c r="A299" s="3">
        <v>293</v>
      </c>
      <c r="B299" s="3" t="s">
        <v>4804</v>
      </c>
      <c r="C299" s="3" t="s">
        <v>4243</v>
      </c>
      <c r="D299" s="3" t="s">
        <v>52</v>
      </c>
      <c r="E299" s="3">
        <v>108763804</v>
      </c>
      <c r="F299" s="3" t="s">
        <v>2446</v>
      </c>
      <c r="G299" s="157">
        <v>40404</v>
      </c>
      <c r="H299" s="3">
        <v>3217061408100000</v>
      </c>
      <c r="I299" s="3" t="s">
        <v>2353</v>
      </c>
      <c r="J299" s="3" t="s">
        <v>2895</v>
      </c>
      <c r="K299" s="3">
        <v>1</v>
      </c>
      <c r="L299" s="3">
        <v>3</v>
      </c>
      <c r="M299" s="3"/>
      <c r="N299" s="3" t="s">
        <v>4475</v>
      </c>
      <c r="O299" s="3" t="s">
        <v>2356</v>
      </c>
      <c r="P299" s="3">
        <v>40764</v>
      </c>
      <c r="Q299" s="3" t="s">
        <v>2357</v>
      </c>
      <c r="R299" s="3" t="s">
        <v>2358</v>
      </c>
      <c r="S299" s="3"/>
      <c r="T299" s="3">
        <v>8124260708</v>
      </c>
      <c r="U299" s="3"/>
      <c r="V299" s="3"/>
      <c r="W299" s="3" t="s">
        <v>2359</v>
      </c>
      <c r="X299" s="3"/>
      <c r="Y299" s="3" t="s">
        <v>4805</v>
      </c>
      <c r="Z299" s="3">
        <v>1989</v>
      </c>
      <c r="AA299" s="3" t="s">
        <v>2361</v>
      </c>
      <c r="AB299" s="3" t="s">
        <v>2362</v>
      </c>
      <c r="AC299" s="3" t="s">
        <v>2363</v>
      </c>
      <c r="AD299" s="3"/>
      <c r="AE299" s="3" t="s">
        <v>4806</v>
      </c>
      <c r="AF299" s="3">
        <v>1990</v>
      </c>
      <c r="AG299" s="3" t="s">
        <v>2390</v>
      </c>
      <c r="AH299" s="3" t="s">
        <v>2365</v>
      </c>
      <c r="AI299" s="3" t="s">
        <v>2366</v>
      </c>
      <c r="AJ299" s="3">
        <v>3321712480888000</v>
      </c>
      <c r="AK299" s="3"/>
      <c r="AL299" s="3"/>
      <c r="AM299" s="3" t="s">
        <v>2367</v>
      </c>
      <c r="AN299" s="3"/>
      <c r="AO299" s="3"/>
      <c r="AP299" s="3"/>
      <c r="AQ299" s="3" t="s">
        <v>5146</v>
      </c>
      <c r="AR299" s="3"/>
      <c r="AS299" s="3"/>
      <c r="AT299" s="3" t="s">
        <v>2359</v>
      </c>
      <c r="AU299" s="3"/>
      <c r="AV299" s="3">
        <v>0</v>
      </c>
      <c r="AW299" s="3"/>
      <c r="AX299" s="3" t="s">
        <v>4043</v>
      </c>
      <c r="AY299" s="3"/>
      <c r="AZ299" s="3"/>
      <c r="BA299" s="3"/>
      <c r="BB299" s="3" t="s">
        <v>2369</v>
      </c>
      <c r="BC299" s="3" t="s">
        <v>2370</v>
      </c>
      <c r="BD299" s="3" t="s">
        <v>2371</v>
      </c>
      <c r="BE299" s="3" t="s">
        <v>2553</v>
      </c>
      <c r="BF299" s="3">
        <v>2</v>
      </c>
      <c r="BG299" s="3">
        <v>-7.0068000000000001</v>
      </c>
      <c r="BH299" s="3">
        <v>107.2349</v>
      </c>
      <c r="BI299" s="3">
        <v>3217121312190000</v>
      </c>
      <c r="BJ299" s="3">
        <v>51</v>
      </c>
      <c r="BK299" s="3">
        <v>142</v>
      </c>
      <c r="BL299" s="3">
        <v>61</v>
      </c>
      <c r="BM299" s="3">
        <v>1</v>
      </c>
      <c r="BN299" s="3">
        <v>2</v>
      </c>
    </row>
    <row r="300" spans="1:66" s="219" customFormat="1" hidden="1" x14ac:dyDescent="0.3">
      <c r="A300" s="54">
        <v>294</v>
      </c>
      <c r="B300" s="54" t="s">
        <v>1826</v>
      </c>
      <c r="C300" s="54" t="s">
        <v>1473</v>
      </c>
      <c r="D300" s="54" t="s">
        <v>52</v>
      </c>
      <c r="E300" s="54">
        <v>93648708</v>
      </c>
      <c r="F300" s="54" t="s">
        <v>2377</v>
      </c>
      <c r="G300" s="108">
        <v>39833</v>
      </c>
      <c r="H300" s="54">
        <v>3217112001090000</v>
      </c>
      <c r="I300" s="54" t="s">
        <v>2353</v>
      </c>
      <c r="J300" s="54" t="s">
        <v>3245</v>
      </c>
      <c r="K300" s="54">
        <v>4</v>
      </c>
      <c r="L300" s="54">
        <v>1</v>
      </c>
      <c r="M300" s="54"/>
      <c r="N300" s="54" t="s">
        <v>3105</v>
      </c>
      <c r="O300" s="54" t="s">
        <v>2426</v>
      </c>
      <c r="P300" s="54">
        <v>40562</v>
      </c>
      <c r="Q300" s="54" t="s">
        <v>2357</v>
      </c>
      <c r="R300" s="54" t="s">
        <v>2358</v>
      </c>
      <c r="S300" s="54"/>
      <c r="T300" s="54">
        <v>83822778918</v>
      </c>
      <c r="U300" s="54"/>
      <c r="V300" s="54"/>
      <c r="W300" s="54" t="s">
        <v>2369</v>
      </c>
      <c r="X300" s="54" t="s">
        <v>3384</v>
      </c>
      <c r="Y300" s="54" t="s">
        <v>3385</v>
      </c>
      <c r="Z300" s="54">
        <v>1973</v>
      </c>
      <c r="AA300" s="54" t="s">
        <v>2402</v>
      </c>
      <c r="AB300" s="54" t="s">
        <v>2362</v>
      </c>
      <c r="AC300" s="54" t="s">
        <v>2363</v>
      </c>
      <c r="AD300" s="54">
        <v>3217110202730020</v>
      </c>
      <c r="AE300" s="54" t="s">
        <v>3386</v>
      </c>
      <c r="AF300" s="54">
        <v>1973</v>
      </c>
      <c r="AG300" s="54" t="s">
        <v>2402</v>
      </c>
      <c r="AH300" s="54" t="s">
        <v>2365</v>
      </c>
      <c r="AI300" s="54" t="s">
        <v>2366</v>
      </c>
      <c r="AJ300" s="54">
        <v>3217115006730020</v>
      </c>
      <c r="AK300" s="54"/>
      <c r="AL300" s="54"/>
      <c r="AM300" s="54"/>
      <c r="AN300" s="54"/>
      <c r="AO300" s="54"/>
      <c r="AP300" s="54"/>
      <c r="AQ300" s="54" t="s">
        <v>5147</v>
      </c>
      <c r="AR300" s="54"/>
      <c r="AS300" s="54"/>
      <c r="AT300" s="54" t="s">
        <v>2359</v>
      </c>
      <c r="AU300" s="54"/>
      <c r="AV300" s="54">
        <v>0</v>
      </c>
      <c r="AW300" s="54"/>
      <c r="AX300" s="54" t="s">
        <v>3387</v>
      </c>
      <c r="AY300" s="54"/>
      <c r="AZ300" s="54"/>
      <c r="BA300" s="54"/>
      <c r="BB300" s="54" t="s">
        <v>2369</v>
      </c>
      <c r="BC300" s="54" t="s">
        <v>2443</v>
      </c>
      <c r="BD300" s="54" t="s">
        <v>2371</v>
      </c>
      <c r="BE300" s="54"/>
      <c r="BF300" s="54">
        <v>1</v>
      </c>
      <c r="BG300" s="54">
        <v>-6.9668999999999999</v>
      </c>
      <c r="BH300" s="54">
        <v>107.4242</v>
      </c>
      <c r="BI300" s="54"/>
      <c r="BJ300" s="54">
        <v>40</v>
      </c>
      <c r="BK300" s="54">
        <v>144</v>
      </c>
      <c r="BL300" s="54">
        <v>54</v>
      </c>
      <c r="BM300" s="54">
        <v>2</v>
      </c>
      <c r="BN300" s="54">
        <v>1</v>
      </c>
    </row>
    <row r="301" spans="1:66" hidden="1" x14ac:dyDescent="0.3">
      <c r="A301" s="3">
        <v>295</v>
      </c>
      <c r="B301" s="3" t="s">
        <v>4807</v>
      </c>
      <c r="C301" s="3"/>
      <c r="D301" s="3" t="s">
        <v>52</v>
      </c>
      <c r="E301" s="3">
        <v>112732681</v>
      </c>
      <c r="F301" s="3" t="s">
        <v>2373</v>
      </c>
      <c r="G301" s="157">
        <v>40600</v>
      </c>
      <c r="H301" s="3">
        <v>3217122602110000</v>
      </c>
      <c r="I301" s="3" t="s">
        <v>2353</v>
      </c>
      <c r="J301" s="3" t="s">
        <v>2699</v>
      </c>
      <c r="K301" s="3">
        <v>1</v>
      </c>
      <c r="L301" s="3">
        <v>9</v>
      </c>
      <c r="M301" s="3"/>
      <c r="N301" s="3" t="s">
        <v>2395</v>
      </c>
      <c r="O301" s="3" t="s">
        <v>2356</v>
      </c>
      <c r="P301" s="3">
        <v>40564</v>
      </c>
      <c r="Q301" s="3" t="s">
        <v>2357</v>
      </c>
      <c r="R301" s="3" t="s">
        <v>2358</v>
      </c>
      <c r="S301" s="3"/>
      <c r="T301" s="3">
        <v>83829431759</v>
      </c>
      <c r="U301" s="3"/>
      <c r="V301" s="3"/>
      <c r="W301" s="3" t="s">
        <v>2359</v>
      </c>
      <c r="X301" s="3"/>
      <c r="Y301" s="3" t="s">
        <v>2589</v>
      </c>
      <c r="Z301" s="3">
        <v>1977</v>
      </c>
      <c r="AA301" s="3" t="s">
        <v>2361</v>
      </c>
      <c r="AB301" s="3" t="s">
        <v>2362</v>
      </c>
      <c r="AC301" s="3" t="s">
        <v>2403</v>
      </c>
      <c r="AD301" s="3">
        <v>3217121202770010</v>
      </c>
      <c r="AE301" s="3" t="s">
        <v>4808</v>
      </c>
      <c r="AF301" s="3">
        <v>1986</v>
      </c>
      <c r="AG301" s="3" t="s">
        <v>2402</v>
      </c>
      <c r="AH301" s="3" t="s">
        <v>2365</v>
      </c>
      <c r="AI301" s="3" t="s">
        <v>2366</v>
      </c>
      <c r="AJ301" s="3">
        <v>3217125007860010</v>
      </c>
      <c r="AK301" s="3"/>
      <c r="AL301" s="3"/>
      <c r="AM301" s="3" t="s">
        <v>2367</v>
      </c>
      <c r="AN301" s="3"/>
      <c r="AO301" s="3"/>
      <c r="AP301" s="3"/>
      <c r="AQ301" s="3" t="s">
        <v>5146</v>
      </c>
      <c r="AR301" s="3"/>
      <c r="AS301" s="3"/>
      <c r="AT301" s="3" t="s">
        <v>2359</v>
      </c>
      <c r="AU301" s="3"/>
      <c r="AV301" s="3">
        <v>0</v>
      </c>
      <c r="AW301" s="3"/>
      <c r="AX301" s="3" t="s">
        <v>4442</v>
      </c>
      <c r="AY301" s="3"/>
      <c r="AZ301" s="3"/>
      <c r="BA301" s="3"/>
      <c r="BB301" s="3" t="s">
        <v>2369</v>
      </c>
      <c r="BC301" s="3" t="s">
        <v>2370</v>
      </c>
      <c r="BD301" s="3" t="s">
        <v>2371</v>
      </c>
      <c r="BE301" s="3" t="s">
        <v>2430</v>
      </c>
      <c r="BF301" s="3">
        <v>2</v>
      </c>
      <c r="BG301" s="3">
        <v>-6.9514541999999997</v>
      </c>
      <c r="BH301" s="3">
        <v>107.4179645</v>
      </c>
      <c r="BI301" s="3">
        <v>3217121511070190</v>
      </c>
      <c r="BJ301" s="3">
        <v>44</v>
      </c>
      <c r="BK301" s="3">
        <v>138</v>
      </c>
      <c r="BL301" s="3">
        <v>56</v>
      </c>
      <c r="BM301" s="3">
        <v>3</v>
      </c>
      <c r="BN301" s="3">
        <v>2</v>
      </c>
    </row>
    <row r="302" spans="1:66" s="219" customFormat="1" hidden="1" x14ac:dyDescent="0.3">
      <c r="A302" s="54">
        <v>296</v>
      </c>
      <c r="B302" s="54" t="s">
        <v>1877</v>
      </c>
      <c r="C302" s="54" t="s">
        <v>1583</v>
      </c>
      <c r="D302" s="54" t="s">
        <v>52</v>
      </c>
      <c r="E302" s="54">
        <v>82496413</v>
      </c>
      <c r="F302" s="54" t="s">
        <v>2352</v>
      </c>
      <c r="G302" s="108">
        <v>39582</v>
      </c>
      <c r="H302" s="54">
        <v>3217121405080000</v>
      </c>
      <c r="I302" s="54" t="s">
        <v>2353</v>
      </c>
      <c r="J302" s="54" t="s">
        <v>2831</v>
      </c>
      <c r="K302" s="54">
        <v>2</v>
      </c>
      <c r="L302" s="54">
        <v>4</v>
      </c>
      <c r="M302" s="54"/>
      <c r="N302" s="54" t="s">
        <v>2513</v>
      </c>
      <c r="O302" s="54" t="s">
        <v>2356</v>
      </c>
      <c r="P302" s="54">
        <v>40564</v>
      </c>
      <c r="Q302" s="54" t="s">
        <v>2357</v>
      </c>
      <c r="R302" s="54" t="s">
        <v>2358</v>
      </c>
      <c r="S302" s="54"/>
      <c r="T302" s="54">
        <v>859102724016</v>
      </c>
      <c r="U302" s="54"/>
      <c r="V302" s="54"/>
      <c r="W302" s="54" t="s">
        <v>2359</v>
      </c>
      <c r="X302" s="54" t="s">
        <v>3615</v>
      </c>
      <c r="Y302" s="54" t="s">
        <v>3616</v>
      </c>
      <c r="Z302" s="54">
        <v>1980</v>
      </c>
      <c r="AA302" s="54" t="s">
        <v>2361</v>
      </c>
      <c r="AB302" s="54" t="s">
        <v>2362</v>
      </c>
      <c r="AC302" s="54" t="s">
        <v>2363</v>
      </c>
      <c r="AD302" s="54"/>
      <c r="AE302" s="54" t="s">
        <v>3617</v>
      </c>
      <c r="AF302" s="54">
        <v>1986</v>
      </c>
      <c r="AG302" s="54" t="s">
        <v>2402</v>
      </c>
      <c r="AH302" s="54" t="s">
        <v>2365</v>
      </c>
      <c r="AI302" s="54" t="s">
        <v>2366</v>
      </c>
      <c r="AJ302" s="54"/>
      <c r="AK302" s="54"/>
      <c r="AL302" s="54"/>
      <c r="AM302" s="54"/>
      <c r="AN302" s="54"/>
      <c r="AO302" s="54"/>
      <c r="AP302" s="54"/>
      <c r="AQ302" s="54" t="s">
        <v>5147</v>
      </c>
      <c r="AR302" s="54"/>
      <c r="AS302" s="54"/>
      <c r="AT302" s="54" t="s">
        <v>2369</v>
      </c>
      <c r="AU302" s="54" t="s">
        <v>3615</v>
      </c>
      <c r="AV302" s="54">
        <v>0</v>
      </c>
      <c r="AW302" s="54"/>
      <c r="AX302" s="54"/>
      <c r="AY302" s="54" t="s">
        <v>2460</v>
      </c>
      <c r="AZ302" s="54">
        <v>411601004322500</v>
      </c>
      <c r="BA302" s="54" t="s">
        <v>1877</v>
      </c>
      <c r="BB302" s="54" t="s">
        <v>2369</v>
      </c>
      <c r="BC302" s="54"/>
      <c r="BD302" s="54" t="s">
        <v>2371</v>
      </c>
      <c r="BE302" s="54"/>
      <c r="BF302" s="54">
        <v>2</v>
      </c>
      <c r="BG302" s="54">
        <v>-6.9676999999999998</v>
      </c>
      <c r="BH302" s="54">
        <v>107.4117</v>
      </c>
      <c r="BI302" s="54"/>
      <c r="BJ302" s="54">
        <v>21</v>
      </c>
      <c r="BK302" s="54">
        <v>122</v>
      </c>
      <c r="BL302" s="54">
        <v>57</v>
      </c>
      <c r="BM302" s="54">
        <v>1</v>
      </c>
      <c r="BN302" s="54">
        <v>1</v>
      </c>
    </row>
    <row r="303" spans="1:66" s="219" customFormat="1" hidden="1" x14ac:dyDescent="0.3">
      <c r="A303" s="54">
        <v>297</v>
      </c>
      <c r="B303" s="54" t="s">
        <v>1637</v>
      </c>
      <c r="C303" s="54" t="s">
        <v>2109</v>
      </c>
      <c r="D303" s="54" t="s">
        <v>52</v>
      </c>
      <c r="E303" s="54">
        <v>87946322</v>
      </c>
      <c r="F303" s="54" t="s">
        <v>2373</v>
      </c>
      <c r="G303" s="108">
        <v>39763</v>
      </c>
      <c r="H303" s="54">
        <v>3217121111080000</v>
      </c>
      <c r="I303" s="54" t="s">
        <v>2353</v>
      </c>
      <c r="J303" s="54" t="s">
        <v>2462</v>
      </c>
      <c r="K303" s="54">
        <v>5</v>
      </c>
      <c r="L303" s="54">
        <v>5</v>
      </c>
      <c r="M303" s="54" t="s">
        <v>2463</v>
      </c>
      <c r="N303" s="54" t="s">
        <v>4557</v>
      </c>
      <c r="O303" s="54" t="s">
        <v>2356</v>
      </c>
      <c r="P303" s="54">
        <v>40764</v>
      </c>
      <c r="Q303" s="54" t="s">
        <v>2357</v>
      </c>
      <c r="R303" s="54" t="s">
        <v>2374</v>
      </c>
      <c r="S303" s="54"/>
      <c r="T303" s="54">
        <v>83112739043</v>
      </c>
      <c r="U303" s="54"/>
      <c r="V303" s="54"/>
      <c r="W303" s="54" t="s">
        <v>2359</v>
      </c>
      <c r="X303" s="54"/>
      <c r="Y303" s="54" t="s">
        <v>4809</v>
      </c>
      <c r="Z303" s="54">
        <v>1979</v>
      </c>
      <c r="AA303" s="54" t="s">
        <v>2402</v>
      </c>
      <c r="AB303" s="54" t="s">
        <v>2362</v>
      </c>
      <c r="AC303" s="54" t="s">
        <v>2403</v>
      </c>
      <c r="AD303" s="54">
        <v>3217122711790000</v>
      </c>
      <c r="AE303" s="54" t="s">
        <v>4810</v>
      </c>
      <c r="AF303" s="54">
        <v>1981</v>
      </c>
      <c r="AG303" s="54" t="s">
        <v>2402</v>
      </c>
      <c r="AH303" s="54" t="s">
        <v>2365</v>
      </c>
      <c r="AI303" s="54" t="s">
        <v>2366</v>
      </c>
      <c r="AJ303" s="54">
        <v>3217126607810000</v>
      </c>
      <c r="AK303" s="54"/>
      <c r="AL303" s="54"/>
      <c r="AM303" s="54" t="s">
        <v>2367</v>
      </c>
      <c r="AN303" s="54"/>
      <c r="AO303" s="54"/>
      <c r="AP303" s="54"/>
      <c r="AQ303" s="54" t="s">
        <v>8177</v>
      </c>
      <c r="AR303" s="54"/>
      <c r="AS303" s="54" t="s">
        <v>4811</v>
      </c>
      <c r="AT303" s="54" t="s">
        <v>2369</v>
      </c>
      <c r="AU303" s="54"/>
      <c r="AV303" s="54">
        <v>0</v>
      </c>
      <c r="AW303" s="54"/>
      <c r="AX303" s="54" t="s">
        <v>4812</v>
      </c>
      <c r="AY303" s="54"/>
      <c r="AZ303" s="54"/>
      <c r="BA303" s="54"/>
      <c r="BB303" s="54" t="s">
        <v>2369</v>
      </c>
      <c r="BC303" s="54"/>
      <c r="BD303" s="54" t="s">
        <v>2371</v>
      </c>
      <c r="BE303" s="54" t="s">
        <v>2444</v>
      </c>
      <c r="BF303" s="54">
        <v>3</v>
      </c>
      <c r="BG303" s="54">
        <v>-6.9359290260000002</v>
      </c>
      <c r="BH303" s="54">
        <v>107.4232884</v>
      </c>
      <c r="BI303" s="54">
        <v>3217120709120090</v>
      </c>
      <c r="BJ303" s="54">
        <v>48</v>
      </c>
      <c r="BK303" s="54">
        <v>140</v>
      </c>
      <c r="BL303" s="54">
        <v>55</v>
      </c>
      <c r="BM303" s="54">
        <v>2</v>
      </c>
      <c r="BN303" s="54">
        <v>2</v>
      </c>
    </row>
    <row r="304" spans="1:66" s="219" customFormat="1" hidden="1" x14ac:dyDescent="0.3">
      <c r="A304" s="54">
        <v>298</v>
      </c>
      <c r="B304" s="54" t="s">
        <v>1878</v>
      </c>
      <c r="C304" s="54" t="s">
        <v>1584</v>
      </c>
      <c r="D304" s="54" t="s">
        <v>52</v>
      </c>
      <c r="E304" s="54">
        <v>89134596</v>
      </c>
      <c r="F304" s="54" t="s">
        <v>2446</v>
      </c>
      <c r="G304" s="108">
        <v>39677</v>
      </c>
      <c r="H304" s="54">
        <v>3217111708080000</v>
      </c>
      <c r="I304" s="54" t="s">
        <v>2353</v>
      </c>
      <c r="J304" s="54" t="s">
        <v>3165</v>
      </c>
      <c r="K304" s="54">
        <v>4</v>
      </c>
      <c r="L304" s="54">
        <v>9</v>
      </c>
      <c r="M304" s="54"/>
      <c r="N304" s="54" t="s">
        <v>2425</v>
      </c>
      <c r="O304" s="54" t="s">
        <v>2426</v>
      </c>
      <c r="P304" s="54">
        <v>40562</v>
      </c>
      <c r="Q304" s="54" t="s">
        <v>2470</v>
      </c>
      <c r="R304" s="54" t="s">
        <v>2358</v>
      </c>
      <c r="S304" s="54"/>
      <c r="T304" s="54">
        <v>83874960211</v>
      </c>
      <c r="U304" s="54"/>
      <c r="V304" s="54"/>
      <c r="W304" s="54" t="s">
        <v>2359</v>
      </c>
      <c r="X304" s="54"/>
      <c r="Y304" s="54" t="s">
        <v>3618</v>
      </c>
      <c r="Z304" s="54">
        <v>1976</v>
      </c>
      <c r="AA304" s="54" t="s">
        <v>2402</v>
      </c>
      <c r="AB304" s="54" t="s">
        <v>2362</v>
      </c>
      <c r="AC304" s="54" t="s">
        <v>2363</v>
      </c>
      <c r="AD304" s="54"/>
      <c r="AE304" s="54" t="s">
        <v>3619</v>
      </c>
      <c r="AF304" s="54">
        <v>1986</v>
      </c>
      <c r="AG304" s="54" t="s">
        <v>2390</v>
      </c>
      <c r="AH304" s="54" t="s">
        <v>2365</v>
      </c>
      <c r="AI304" s="54" t="s">
        <v>2366</v>
      </c>
      <c r="AJ304" s="54"/>
      <c r="AK304" s="54" t="s">
        <v>3620</v>
      </c>
      <c r="AL304" s="54">
        <v>1951</v>
      </c>
      <c r="AM304" s="54" t="s">
        <v>2367</v>
      </c>
      <c r="AN304" s="54" t="s">
        <v>2362</v>
      </c>
      <c r="AO304" s="54" t="s">
        <v>2403</v>
      </c>
      <c r="AP304" s="54"/>
      <c r="AQ304" s="54" t="s">
        <v>5147</v>
      </c>
      <c r="AR304" s="54"/>
      <c r="AS304" s="54"/>
      <c r="AT304" s="54" t="s">
        <v>2359</v>
      </c>
      <c r="AU304" s="54"/>
      <c r="AV304" s="54">
        <v>1</v>
      </c>
      <c r="AW304" s="54"/>
      <c r="AX304" s="54" t="s">
        <v>3621</v>
      </c>
      <c r="AY304" s="54"/>
      <c r="AZ304" s="54"/>
      <c r="BA304" s="54"/>
      <c r="BB304" s="54" t="s">
        <v>2369</v>
      </c>
      <c r="BC304" s="54" t="s">
        <v>2370</v>
      </c>
      <c r="BD304" s="54" t="s">
        <v>2371</v>
      </c>
      <c r="BE304" s="54"/>
      <c r="BF304" s="54">
        <v>2</v>
      </c>
      <c r="BG304" s="54">
        <v>-6.9743000000000004</v>
      </c>
      <c r="BH304" s="54">
        <v>107.43559999999999</v>
      </c>
      <c r="BI304" s="54">
        <v>3217111304050810</v>
      </c>
      <c r="BJ304" s="54">
        <v>35</v>
      </c>
      <c r="BK304" s="54">
        <v>132</v>
      </c>
      <c r="BL304" s="54">
        <v>58</v>
      </c>
      <c r="BM304" s="54">
        <v>2</v>
      </c>
      <c r="BN304" s="54">
        <v>1</v>
      </c>
    </row>
    <row r="305" spans="1:66" s="219" customFormat="1" hidden="1" x14ac:dyDescent="0.3">
      <c r="A305" s="54">
        <v>299</v>
      </c>
      <c r="B305" s="54" t="s">
        <v>1350</v>
      </c>
      <c r="C305" s="54" t="s">
        <v>1410</v>
      </c>
      <c r="D305" s="54" t="s">
        <v>52</v>
      </c>
      <c r="E305" s="54">
        <v>91663029</v>
      </c>
      <c r="F305" s="54" t="s">
        <v>2373</v>
      </c>
      <c r="G305" s="108">
        <v>39887</v>
      </c>
      <c r="H305" s="54">
        <v>3217111503090000</v>
      </c>
      <c r="I305" s="54" t="s">
        <v>2353</v>
      </c>
      <c r="J305" s="54" t="s">
        <v>3165</v>
      </c>
      <c r="K305" s="54">
        <v>4</v>
      </c>
      <c r="L305" s="54">
        <v>9</v>
      </c>
      <c r="M305" s="54"/>
      <c r="N305" s="54" t="s">
        <v>2425</v>
      </c>
      <c r="O305" s="54" t="s">
        <v>2426</v>
      </c>
      <c r="P305" s="54">
        <v>40562</v>
      </c>
      <c r="Q305" s="54" t="s">
        <v>2357</v>
      </c>
      <c r="R305" s="54" t="s">
        <v>2358</v>
      </c>
      <c r="S305" s="54"/>
      <c r="T305" s="54">
        <v>85222581674</v>
      </c>
      <c r="U305" s="54"/>
      <c r="V305" s="54"/>
      <c r="W305" s="54" t="s">
        <v>2359</v>
      </c>
      <c r="X305" s="54"/>
      <c r="Y305" s="54" t="s">
        <v>3166</v>
      </c>
      <c r="Z305" s="54">
        <v>1973</v>
      </c>
      <c r="AA305" s="54" t="s">
        <v>3167</v>
      </c>
      <c r="AB305" s="54" t="s">
        <v>2493</v>
      </c>
      <c r="AC305" s="54" t="s">
        <v>2363</v>
      </c>
      <c r="AD305" s="54">
        <v>3217110705730010</v>
      </c>
      <c r="AE305" s="54" t="s">
        <v>3168</v>
      </c>
      <c r="AF305" s="54">
        <v>1986</v>
      </c>
      <c r="AG305" s="54" t="s">
        <v>3167</v>
      </c>
      <c r="AH305" s="54" t="s">
        <v>2493</v>
      </c>
      <c r="AI305" s="54" t="s">
        <v>2363</v>
      </c>
      <c r="AJ305" s="54">
        <v>3217114101860090</v>
      </c>
      <c r="AK305" s="54"/>
      <c r="AL305" s="54"/>
      <c r="AM305" s="54"/>
      <c r="AN305" s="54"/>
      <c r="AO305" s="54"/>
      <c r="AP305" s="54"/>
      <c r="AQ305" s="54" t="s">
        <v>5147</v>
      </c>
      <c r="AR305" s="54"/>
      <c r="AS305" s="54"/>
      <c r="AT305" s="54" t="s">
        <v>2359</v>
      </c>
      <c r="AU305" s="54"/>
      <c r="AV305" s="54">
        <v>0</v>
      </c>
      <c r="AW305" s="54"/>
      <c r="AX305" s="54" t="s">
        <v>3169</v>
      </c>
      <c r="AY305" s="54"/>
      <c r="AZ305" s="54"/>
      <c r="BA305" s="54"/>
      <c r="BB305" s="54" t="s">
        <v>2369</v>
      </c>
      <c r="BC305" s="54" t="s">
        <v>2370</v>
      </c>
      <c r="BD305" s="54" t="s">
        <v>2371</v>
      </c>
      <c r="BE305" s="54" t="s">
        <v>2691</v>
      </c>
      <c r="BF305" s="54">
        <v>1</v>
      </c>
      <c r="BG305" s="54">
        <v>-6.9743000000000004</v>
      </c>
      <c r="BH305" s="54">
        <v>107.43559999999999</v>
      </c>
      <c r="BI305" s="54">
        <v>3217111912080010</v>
      </c>
      <c r="BJ305" s="54">
        <v>44</v>
      </c>
      <c r="BK305" s="54">
        <v>145</v>
      </c>
      <c r="BL305" s="54">
        <v>55</v>
      </c>
      <c r="BM305" s="54">
        <v>1</v>
      </c>
      <c r="BN305" s="54">
        <v>1</v>
      </c>
    </row>
    <row r="306" spans="1:66" s="219" customFormat="1" hidden="1" x14ac:dyDescent="0.3">
      <c r="A306" s="54">
        <v>300</v>
      </c>
      <c r="B306" s="54" t="s">
        <v>1879</v>
      </c>
      <c r="C306" s="54" t="s">
        <v>1585</v>
      </c>
      <c r="D306" s="54" t="s">
        <v>52</v>
      </c>
      <c r="E306" s="54">
        <v>81898372</v>
      </c>
      <c r="F306" s="54" t="s">
        <v>2446</v>
      </c>
      <c r="G306" s="108">
        <v>39612</v>
      </c>
      <c r="H306" s="54">
        <v>3217111306080000</v>
      </c>
      <c r="I306" s="54" t="s">
        <v>2353</v>
      </c>
      <c r="J306" s="54" t="s">
        <v>3165</v>
      </c>
      <c r="K306" s="54">
        <v>3</v>
      </c>
      <c r="L306" s="54">
        <v>9</v>
      </c>
      <c r="M306" s="54"/>
      <c r="N306" s="54" t="s">
        <v>2425</v>
      </c>
      <c r="O306" s="54" t="s">
        <v>2426</v>
      </c>
      <c r="P306" s="54">
        <v>40562</v>
      </c>
      <c r="Q306" s="54" t="s">
        <v>2357</v>
      </c>
      <c r="R306" s="54" t="s">
        <v>2358</v>
      </c>
      <c r="S306" s="54"/>
      <c r="T306" s="54">
        <v>83861627012</v>
      </c>
      <c r="U306" s="54"/>
      <c r="V306" s="54"/>
      <c r="W306" s="54" t="s">
        <v>2359</v>
      </c>
      <c r="X306" s="54"/>
      <c r="Y306" s="54" t="s">
        <v>3622</v>
      </c>
      <c r="Z306" s="54">
        <v>1964</v>
      </c>
      <c r="AA306" s="54" t="s">
        <v>2361</v>
      </c>
      <c r="AB306" s="54" t="s">
        <v>2493</v>
      </c>
      <c r="AC306" s="54" t="s">
        <v>2375</v>
      </c>
      <c r="AD306" s="54"/>
      <c r="AE306" s="54" t="s">
        <v>3131</v>
      </c>
      <c r="AF306" s="54">
        <v>1970</v>
      </c>
      <c r="AG306" s="54" t="s">
        <v>2361</v>
      </c>
      <c r="AH306" s="54" t="s">
        <v>2365</v>
      </c>
      <c r="AI306" s="54" t="s">
        <v>2366</v>
      </c>
      <c r="AJ306" s="54"/>
      <c r="AK306" s="54"/>
      <c r="AL306" s="54"/>
      <c r="AM306" s="54"/>
      <c r="AN306" s="54"/>
      <c r="AO306" s="54"/>
      <c r="AP306" s="54"/>
      <c r="AQ306" s="54" t="s">
        <v>5147</v>
      </c>
      <c r="AR306" s="54"/>
      <c r="AS306" s="54"/>
      <c r="AT306" s="54" t="s">
        <v>2359</v>
      </c>
      <c r="AU306" s="54"/>
      <c r="AV306" s="54">
        <v>0</v>
      </c>
      <c r="AW306" s="54"/>
      <c r="AX306" s="54"/>
      <c r="AY306" s="54"/>
      <c r="AZ306" s="54"/>
      <c r="BA306" s="54"/>
      <c r="BB306" s="54" t="s">
        <v>2369</v>
      </c>
      <c r="BC306" s="54" t="s">
        <v>2370</v>
      </c>
      <c r="BD306" s="54" t="s">
        <v>2371</v>
      </c>
      <c r="BE306" s="54"/>
      <c r="BF306" s="54">
        <v>1</v>
      </c>
      <c r="BG306" s="54">
        <v>-6.9743000000000004</v>
      </c>
      <c r="BH306" s="54">
        <v>107.43559999999999</v>
      </c>
      <c r="BI306" s="54"/>
      <c r="BJ306" s="54">
        <v>40</v>
      </c>
      <c r="BK306" s="54">
        <v>143</v>
      </c>
      <c r="BL306" s="54">
        <v>59</v>
      </c>
      <c r="BM306" s="54">
        <v>2</v>
      </c>
      <c r="BN306" s="54">
        <v>1</v>
      </c>
    </row>
    <row r="307" spans="1:66" s="219" customFormat="1" hidden="1" x14ac:dyDescent="0.3">
      <c r="A307" s="54">
        <v>301</v>
      </c>
      <c r="B307" s="54" t="s">
        <v>4813</v>
      </c>
      <c r="C307" s="54" t="s">
        <v>2209</v>
      </c>
      <c r="D307" s="54" t="s">
        <v>52</v>
      </c>
      <c r="E307" s="54">
        <v>3108552880</v>
      </c>
      <c r="F307" s="54" t="s">
        <v>2373</v>
      </c>
      <c r="G307" s="108">
        <v>39857</v>
      </c>
      <c r="H307" s="54">
        <v>3217111302100000</v>
      </c>
      <c r="I307" s="54" t="s">
        <v>2353</v>
      </c>
      <c r="J307" s="54" t="s">
        <v>2856</v>
      </c>
      <c r="K307" s="54">
        <v>6</v>
      </c>
      <c r="L307" s="54">
        <v>6</v>
      </c>
      <c r="M307" s="54"/>
      <c r="N307" s="54" t="s">
        <v>2571</v>
      </c>
      <c r="O307" s="54" t="s">
        <v>2426</v>
      </c>
      <c r="P307" s="54">
        <v>40562</v>
      </c>
      <c r="Q307" s="54" t="s">
        <v>2357</v>
      </c>
      <c r="R307" s="54" t="s">
        <v>2358</v>
      </c>
      <c r="S307" s="54"/>
      <c r="T307" s="54"/>
      <c r="U307" s="54"/>
      <c r="V307" s="54"/>
      <c r="W307" s="54" t="s">
        <v>2359</v>
      </c>
      <c r="X307" s="54"/>
      <c r="Y307" s="54" t="s">
        <v>4814</v>
      </c>
      <c r="Z307" s="54">
        <v>1970</v>
      </c>
      <c r="AA307" s="54" t="s">
        <v>2361</v>
      </c>
      <c r="AB307" s="54" t="s">
        <v>2362</v>
      </c>
      <c r="AC307" s="54" t="s">
        <v>2363</v>
      </c>
      <c r="AD307" s="54">
        <v>3217111410700000</v>
      </c>
      <c r="AE307" s="54" t="s">
        <v>2857</v>
      </c>
      <c r="AF307" s="54">
        <v>1980</v>
      </c>
      <c r="AG307" s="54" t="s">
        <v>2361</v>
      </c>
      <c r="AH307" s="54" t="s">
        <v>2365</v>
      </c>
      <c r="AI307" s="54" t="s">
        <v>2366</v>
      </c>
      <c r="AJ307" s="54">
        <v>3217116202800000</v>
      </c>
      <c r="AK307" s="54"/>
      <c r="AL307" s="54"/>
      <c r="AM307" s="54"/>
      <c r="AN307" s="54"/>
      <c r="AO307" s="54"/>
      <c r="AP307" s="54"/>
      <c r="AQ307" s="54" t="s">
        <v>8179</v>
      </c>
      <c r="AR307" s="54"/>
      <c r="AS307" s="54"/>
      <c r="AT307" s="54" t="s">
        <v>2359</v>
      </c>
      <c r="AU307" s="54"/>
      <c r="AV307" s="54">
        <v>1</v>
      </c>
      <c r="AW307" s="54"/>
      <c r="AX307" s="54" t="s">
        <v>4815</v>
      </c>
      <c r="AY307" s="54"/>
      <c r="AZ307" s="54"/>
      <c r="BA307" s="54"/>
      <c r="BB307" s="54" t="s">
        <v>2369</v>
      </c>
      <c r="BC307" s="54" t="s">
        <v>2370</v>
      </c>
      <c r="BD307" s="54" t="s">
        <v>2371</v>
      </c>
      <c r="BE307" s="54" t="s">
        <v>4816</v>
      </c>
      <c r="BF307" s="54">
        <v>2</v>
      </c>
      <c r="BG307" s="54">
        <v>-6.9625000000000004</v>
      </c>
      <c r="BH307" s="54">
        <v>107.4346</v>
      </c>
      <c r="BI307" s="54">
        <v>3217113011050010</v>
      </c>
      <c r="BJ307" s="54">
        <v>45</v>
      </c>
      <c r="BK307" s="54">
        <v>140</v>
      </c>
      <c r="BL307" s="54">
        <v>57</v>
      </c>
      <c r="BM307" s="54">
        <v>1</v>
      </c>
      <c r="BN307" s="54">
        <v>2</v>
      </c>
    </row>
    <row r="308" spans="1:66" hidden="1" x14ac:dyDescent="0.3">
      <c r="A308" s="3">
        <v>302</v>
      </c>
      <c r="B308" s="3" t="s">
        <v>4817</v>
      </c>
      <c r="C308" s="3" t="s">
        <v>4280</v>
      </c>
      <c r="D308" s="3" t="s">
        <v>52</v>
      </c>
      <c r="E308" s="3">
        <v>103968014</v>
      </c>
      <c r="F308" s="3" t="s">
        <v>2373</v>
      </c>
      <c r="G308" s="157">
        <v>40469</v>
      </c>
      <c r="H308" s="3">
        <v>3217121810110000</v>
      </c>
      <c r="I308" s="3" t="s">
        <v>2353</v>
      </c>
      <c r="J308" s="3" t="s">
        <v>2574</v>
      </c>
      <c r="K308" s="3">
        <v>1</v>
      </c>
      <c r="L308" s="3">
        <v>3</v>
      </c>
      <c r="M308" s="3"/>
      <c r="N308" s="3" t="s">
        <v>2395</v>
      </c>
      <c r="O308" s="3" t="s">
        <v>2356</v>
      </c>
      <c r="P308" s="3">
        <v>40764</v>
      </c>
      <c r="Q308" s="3" t="s">
        <v>2357</v>
      </c>
      <c r="R308" s="3" t="s">
        <v>2358</v>
      </c>
      <c r="S308" s="3"/>
      <c r="T308" s="3">
        <v>85795684937</v>
      </c>
      <c r="U308" s="3"/>
      <c r="V308" s="3"/>
      <c r="W308" s="3" t="s">
        <v>2359</v>
      </c>
      <c r="X308" s="3"/>
      <c r="Y308" s="3" t="s">
        <v>4818</v>
      </c>
      <c r="Z308" s="3">
        <v>1965</v>
      </c>
      <c r="AA308" s="3" t="s">
        <v>2402</v>
      </c>
      <c r="AB308" s="3" t="s">
        <v>2867</v>
      </c>
      <c r="AC308" s="3" t="s">
        <v>2366</v>
      </c>
      <c r="AD308" s="3">
        <v>3217120409590000</v>
      </c>
      <c r="AE308" s="3" t="s">
        <v>4819</v>
      </c>
      <c r="AF308" s="3">
        <v>1968</v>
      </c>
      <c r="AG308" s="3" t="s">
        <v>2361</v>
      </c>
      <c r="AH308" s="3" t="s">
        <v>2365</v>
      </c>
      <c r="AI308" s="3" t="s">
        <v>2366</v>
      </c>
      <c r="AJ308" s="3">
        <v>3217127112720000</v>
      </c>
      <c r="AK308" s="3"/>
      <c r="AL308" s="3"/>
      <c r="AM308" s="3" t="s">
        <v>2367</v>
      </c>
      <c r="AN308" s="3"/>
      <c r="AO308" s="3"/>
      <c r="AP308" s="3"/>
      <c r="AQ308" s="3" t="s">
        <v>5149</v>
      </c>
      <c r="AR308" s="3"/>
      <c r="AS308" s="3"/>
      <c r="AT308" s="3" t="s">
        <v>2359</v>
      </c>
      <c r="AU308" s="3"/>
      <c r="AV308" s="3">
        <v>0</v>
      </c>
      <c r="AW308" s="3"/>
      <c r="AX308" s="3"/>
      <c r="AY308" s="3"/>
      <c r="AZ308" s="3"/>
      <c r="BA308" s="3"/>
      <c r="BB308" s="3" t="s">
        <v>2369</v>
      </c>
      <c r="BC308" s="3" t="s">
        <v>2370</v>
      </c>
      <c r="BD308" s="3" t="s">
        <v>2371</v>
      </c>
      <c r="BE308" s="3" t="s">
        <v>2553</v>
      </c>
      <c r="BF308" s="3">
        <v>1</v>
      </c>
      <c r="BG308" s="3">
        <v>-7.0068000000000001</v>
      </c>
      <c r="BH308" s="3">
        <v>107.2349</v>
      </c>
      <c r="BI308" s="3">
        <v>3217122802190000</v>
      </c>
      <c r="BJ308" s="3">
        <v>41</v>
      </c>
      <c r="BK308" s="3">
        <v>137</v>
      </c>
      <c r="BL308" s="3">
        <v>55</v>
      </c>
      <c r="BM308" s="3">
        <v>1</v>
      </c>
      <c r="BN308" s="3">
        <v>2</v>
      </c>
    </row>
    <row r="309" spans="1:66" s="219" customFormat="1" hidden="1" x14ac:dyDescent="0.3">
      <c r="A309" s="54">
        <v>303</v>
      </c>
      <c r="B309" s="54" t="s">
        <v>2453</v>
      </c>
      <c r="C309" s="54" t="s">
        <v>2110</v>
      </c>
      <c r="D309" s="54" t="s">
        <v>52</v>
      </c>
      <c r="E309" s="54">
        <v>74227816</v>
      </c>
      <c r="F309" s="54" t="s">
        <v>2373</v>
      </c>
      <c r="G309" s="108">
        <v>39218</v>
      </c>
      <c r="H309" s="54">
        <v>3217121605070000</v>
      </c>
      <c r="I309" s="54" t="s">
        <v>2353</v>
      </c>
      <c r="J309" s="54" t="s">
        <v>2454</v>
      </c>
      <c r="K309" s="54">
        <v>2</v>
      </c>
      <c r="L309" s="54">
        <v>5</v>
      </c>
      <c r="M309" s="54">
        <v>4</v>
      </c>
      <c r="N309" s="54" t="s">
        <v>2438</v>
      </c>
      <c r="O309" s="54" t="s">
        <v>2356</v>
      </c>
      <c r="P309" s="54">
        <v>40564</v>
      </c>
      <c r="Q309" s="54" t="s">
        <v>2357</v>
      </c>
      <c r="R309" s="54" t="s">
        <v>2358</v>
      </c>
      <c r="S309" s="54"/>
      <c r="T309" s="54">
        <v>83174555386</v>
      </c>
      <c r="U309" s="54"/>
      <c r="V309" s="54" t="s">
        <v>4820</v>
      </c>
      <c r="W309" s="54" t="s">
        <v>2369</v>
      </c>
      <c r="X309" s="54" t="s">
        <v>2455</v>
      </c>
      <c r="Y309" s="54" t="s">
        <v>2456</v>
      </c>
      <c r="Z309" s="54">
        <v>1964</v>
      </c>
      <c r="AA309" s="54" t="s">
        <v>2361</v>
      </c>
      <c r="AB309" s="54" t="s">
        <v>2362</v>
      </c>
      <c r="AC309" s="54" t="s">
        <v>2403</v>
      </c>
      <c r="AD309" s="54">
        <v>3217121607640000</v>
      </c>
      <c r="AE309" s="54" t="s">
        <v>2457</v>
      </c>
      <c r="AF309" s="54">
        <v>1969</v>
      </c>
      <c r="AG309" s="54" t="s">
        <v>2361</v>
      </c>
      <c r="AH309" s="54" t="s">
        <v>2365</v>
      </c>
      <c r="AI309" s="54" t="s">
        <v>2366</v>
      </c>
      <c r="AJ309" s="54">
        <v>3217126505690000</v>
      </c>
      <c r="AK309" s="54"/>
      <c r="AL309" s="54"/>
      <c r="AM309" s="54"/>
      <c r="AN309" s="54"/>
      <c r="AO309" s="54"/>
      <c r="AP309" s="54"/>
      <c r="AQ309" s="54" t="s">
        <v>8185</v>
      </c>
      <c r="AR309" s="54"/>
      <c r="AS309" s="54" t="s">
        <v>2458</v>
      </c>
      <c r="AT309" s="54" t="s">
        <v>2369</v>
      </c>
      <c r="AU309" s="54" t="s">
        <v>2459</v>
      </c>
      <c r="AV309" s="54">
        <v>0</v>
      </c>
      <c r="AW309" s="54"/>
      <c r="AX309" s="54"/>
      <c r="AY309" s="54" t="s">
        <v>2460</v>
      </c>
      <c r="AZ309" s="54">
        <v>411601003643505</v>
      </c>
      <c r="BA309" s="54" t="s">
        <v>1639</v>
      </c>
      <c r="BB309" s="54" t="s">
        <v>2369</v>
      </c>
      <c r="BC309" s="54"/>
      <c r="BD309" s="54" t="s">
        <v>2371</v>
      </c>
      <c r="BE309" s="54" t="s">
        <v>2461</v>
      </c>
      <c r="BF309" s="54">
        <v>5</v>
      </c>
      <c r="BG309" s="54">
        <v>-6.9513910399999999</v>
      </c>
      <c r="BH309" s="54">
        <v>107.4034595</v>
      </c>
      <c r="BI309" s="54"/>
      <c r="BJ309" s="54">
        <v>54</v>
      </c>
      <c r="BK309" s="54">
        <v>147</v>
      </c>
      <c r="BL309" s="54">
        <v>58</v>
      </c>
      <c r="BM309" s="54">
        <v>1</v>
      </c>
      <c r="BN309" s="54">
        <v>3</v>
      </c>
    </row>
    <row r="310" spans="1:66" s="219" customFormat="1" hidden="1" x14ac:dyDescent="0.3">
      <c r="A310" s="54">
        <v>304</v>
      </c>
      <c r="B310" s="54" t="s">
        <v>2938</v>
      </c>
      <c r="C310" s="54" t="s">
        <v>4821</v>
      </c>
      <c r="D310" s="54" t="s">
        <v>52</v>
      </c>
      <c r="E310" s="54">
        <v>92479685</v>
      </c>
      <c r="F310" s="54" t="s">
        <v>2446</v>
      </c>
      <c r="G310" s="108">
        <v>40158</v>
      </c>
      <c r="H310" s="54">
        <v>3217111112090000</v>
      </c>
      <c r="I310" s="54" t="s">
        <v>2353</v>
      </c>
      <c r="J310" s="54" t="s">
        <v>2424</v>
      </c>
      <c r="K310" s="54">
        <v>4</v>
      </c>
      <c r="L310" s="54">
        <v>8</v>
      </c>
      <c r="M310" s="54" t="s">
        <v>2424</v>
      </c>
      <c r="N310" s="54" t="s">
        <v>2425</v>
      </c>
      <c r="O310" s="54" t="s">
        <v>2426</v>
      </c>
      <c r="P310" s="54">
        <v>40562</v>
      </c>
      <c r="Q310" s="54" t="s">
        <v>2357</v>
      </c>
      <c r="R310" s="54" t="s">
        <v>2358</v>
      </c>
      <c r="S310" s="54"/>
      <c r="T310" s="54">
        <v>83113344457</v>
      </c>
      <c r="U310" s="54"/>
      <c r="V310" s="54"/>
      <c r="W310" s="54" t="s">
        <v>2359</v>
      </c>
      <c r="X310" s="54"/>
      <c r="Y310" s="54" t="s">
        <v>2939</v>
      </c>
      <c r="Z310" s="54">
        <v>1985</v>
      </c>
      <c r="AA310" s="54" t="s">
        <v>2361</v>
      </c>
      <c r="AB310" s="54" t="s">
        <v>2362</v>
      </c>
      <c r="AC310" s="54" t="s">
        <v>2403</v>
      </c>
      <c r="AD310" s="54"/>
      <c r="AE310" s="54" t="s">
        <v>2940</v>
      </c>
      <c r="AF310" s="54">
        <v>1991</v>
      </c>
      <c r="AG310" s="54" t="s">
        <v>2367</v>
      </c>
      <c r="AH310" s="54" t="s">
        <v>2365</v>
      </c>
      <c r="AI310" s="54" t="s">
        <v>2366</v>
      </c>
      <c r="AJ310" s="54"/>
      <c r="AK310" s="54"/>
      <c r="AL310" s="54"/>
      <c r="AM310" s="54" t="s">
        <v>2367</v>
      </c>
      <c r="AN310" s="54"/>
      <c r="AO310" s="54"/>
      <c r="AP310" s="54"/>
      <c r="AQ310" s="54" t="s">
        <v>8178</v>
      </c>
      <c r="AR310" s="54"/>
      <c r="AS310" s="54"/>
      <c r="AT310" s="54" t="s">
        <v>2359</v>
      </c>
      <c r="AU310" s="54"/>
      <c r="AV310" s="54">
        <v>0</v>
      </c>
      <c r="AW310" s="54"/>
      <c r="AX310" s="54" t="s">
        <v>2941</v>
      </c>
      <c r="AY310" s="54"/>
      <c r="AZ310" s="54"/>
      <c r="BA310" s="54"/>
      <c r="BB310" s="54" t="s">
        <v>2369</v>
      </c>
      <c r="BC310" s="54" t="s">
        <v>2370</v>
      </c>
      <c r="BD310" s="54" t="s">
        <v>2371</v>
      </c>
      <c r="BE310" s="54" t="s">
        <v>2430</v>
      </c>
      <c r="BF310" s="54">
        <v>1</v>
      </c>
      <c r="BG310" s="54">
        <v>-6.9514541999999997</v>
      </c>
      <c r="BH310" s="54">
        <v>107.4179645</v>
      </c>
      <c r="BI310" s="54"/>
      <c r="BJ310" s="54">
        <v>54</v>
      </c>
      <c r="BK310" s="54">
        <v>148</v>
      </c>
      <c r="BL310" s="54">
        <v>0</v>
      </c>
      <c r="BM310" s="54">
        <v>0</v>
      </c>
      <c r="BN310" s="54">
        <v>0</v>
      </c>
    </row>
    <row r="311" spans="1:66" s="219" customFormat="1" hidden="1" x14ac:dyDescent="0.3">
      <c r="A311" s="54">
        <v>305</v>
      </c>
      <c r="B311" s="54" t="s">
        <v>1905</v>
      </c>
      <c r="C311" s="54" t="s">
        <v>1561</v>
      </c>
      <c r="D311" s="54" t="s">
        <v>52</v>
      </c>
      <c r="E311" s="54">
        <v>3083329494</v>
      </c>
      <c r="F311" s="54" t="s">
        <v>2373</v>
      </c>
      <c r="G311" s="108">
        <v>39796</v>
      </c>
      <c r="H311" s="54">
        <v>3217111412080000</v>
      </c>
      <c r="I311" s="54" t="s">
        <v>2353</v>
      </c>
      <c r="J311" s="54" t="s">
        <v>3725</v>
      </c>
      <c r="K311" s="54">
        <v>3</v>
      </c>
      <c r="L311" s="54">
        <v>13</v>
      </c>
      <c r="M311" s="54"/>
      <c r="N311" s="54" t="s">
        <v>2425</v>
      </c>
      <c r="O311" s="54" t="s">
        <v>2426</v>
      </c>
      <c r="P311" s="54">
        <v>40561</v>
      </c>
      <c r="Q311" s="54" t="s">
        <v>2357</v>
      </c>
      <c r="R311" s="54" t="s">
        <v>2358</v>
      </c>
      <c r="S311" s="54"/>
      <c r="T311" s="54"/>
      <c r="U311" s="54"/>
      <c r="V311" s="54"/>
      <c r="W311" s="54" t="s">
        <v>2359</v>
      </c>
      <c r="X311" s="54"/>
      <c r="Y311" s="54"/>
      <c r="Z311" s="54">
        <v>1978</v>
      </c>
      <c r="AA311" s="54" t="s">
        <v>2361</v>
      </c>
      <c r="AB311" s="54" t="s">
        <v>2362</v>
      </c>
      <c r="AC311" s="54" t="s">
        <v>2363</v>
      </c>
      <c r="AD311" s="54"/>
      <c r="AE311" s="54" t="s">
        <v>3726</v>
      </c>
      <c r="AF311" s="54">
        <v>1985</v>
      </c>
      <c r="AG311" s="54" t="s">
        <v>2361</v>
      </c>
      <c r="AH311" s="54" t="s">
        <v>2365</v>
      </c>
      <c r="AI311" s="54" t="s">
        <v>2366</v>
      </c>
      <c r="AJ311" s="54"/>
      <c r="AK311" s="54"/>
      <c r="AL311" s="54"/>
      <c r="AM311" s="54"/>
      <c r="AN311" s="54"/>
      <c r="AO311" s="54"/>
      <c r="AP311" s="54"/>
      <c r="AQ311" s="54" t="s">
        <v>5147</v>
      </c>
      <c r="AR311" s="54"/>
      <c r="AS311" s="54"/>
      <c r="AT311" s="54" t="s">
        <v>2359</v>
      </c>
      <c r="AU311" s="54"/>
      <c r="AV311" s="54">
        <v>0</v>
      </c>
      <c r="AW311" s="54"/>
      <c r="AX311" s="54" t="s">
        <v>3727</v>
      </c>
      <c r="AY311" s="54"/>
      <c r="AZ311" s="54"/>
      <c r="BA311" s="54"/>
      <c r="BB311" s="54" t="s">
        <v>2369</v>
      </c>
      <c r="BC311" s="54" t="s">
        <v>2370</v>
      </c>
      <c r="BD311" s="54" t="s">
        <v>2371</v>
      </c>
      <c r="BE311" s="54"/>
      <c r="BF311" s="54">
        <v>1</v>
      </c>
      <c r="BG311" s="54">
        <v>-6.9625000000000004</v>
      </c>
      <c r="BH311" s="54">
        <v>107.4346</v>
      </c>
      <c r="BI311" s="54">
        <v>3217110406070030</v>
      </c>
      <c r="BJ311" s="54">
        <v>48</v>
      </c>
      <c r="BK311" s="54">
        <v>144</v>
      </c>
      <c r="BL311" s="54">
        <v>57</v>
      </c>
      <c r="BM311" s="54">
        <v>1</v>
      </c>
      <c r="BN311" s="54">
        <v>1</v>
      </c>
    </row>
    <row r="312" spans="1:66" s="219" customFormat="1" hidden="1" x14ac:dyDescent="0.3">
      <c r="A312" s="54">
        <v>306</v>
      </c>
      <c r="B312" s="54" t="s">
        <v>1381</v>
      </c>
      <c r="C312" s="54" t="s">
        <v>1562</v>
      </c>
      <c r="D312" s="54" t="s">
        <v>52</v>
      </c>
      <c r="E312" s="54">
        <v>87052419</v>
      </c>
      <c r="F312" s="54" t="s">
        <v>2373</v>
      </c>
      <c r="G312" s="108">
        <v>39727</v>
      </c>
      <c r="H312" s="54">
        <v>3217120610080000</v>
      </c>
      <c r="I312" s="54" t="s">
        <v>2353</v>
      </c>
      <c r="J312" s="54" t="s">
        <v>2757</v>
      </c>
      <c r="K312" s="54">
        <v>2</v>
      </c>
      <c r="L312" s="54">
        <v>12</v>
      </c>
      <c r="M312" s="54"/>
      <c r="N312" s="54" t="s">
        <v>2513</v>
      </c>
      <c r="O312" s="54" t="s">
        <v>2356</v>
      </c>
      <c r="P312" s="54">
        <v>40764</v>
      </c>
      <c r="Q312" s="54" t="s">
        <v>2357</v>
      </c>
      <c r="R312" s="54" t="s">
        <v>2358</v>
      </c>
      <c r="S312" s="54"/>
      <c r="T312" s="54">
        <v>83822975736</v>
      </c>
      <c r="U312" s="54"/>
      <c r="V312" s="54"/>
      <c r="W312" s="54" t="s">
        <v>2359</v>
      </c>
      <c r="X312" s="54"/>
      <c r="Y312" s="54" t="s">
        <v>3728</v>
      </c>
      <c r="Z312" s="54">
        <v>1982</v>
      </c>
      <c r="AA312" s="54" t="s">
        <v>2402</v>
      </c>
      <c r="AB312" s="54" t="s">
        <v>2362</v>
      </c>
      <c r="AC312" s="54" t="s">
        <v>2363</v>
      </c>
      <c r="AD312" s="54"/>
      <c r="AE312" s="54" t="s">
        <v>2621</v>
      </c>
      <c r="AF312" s="54">
        <v>1985</v>
      </c>
      <c r="AG312" s="54" t="s">
        <v>2361</v>
      </c>
      <c r="AH312" s="54" t="s">
        <v>2365</v>
      </c>
      <c r="AI312" s="54" t="s">
        <v>2366</v>
      </c>
      <c r="AJ312" s="54"/>
      <c r="AK312" s="54"/>
      <c r="AL312" s="54"/>
      <c r="AM312" s="54"/>
      <c r="AN312" s="54"/>
      <c r="AO312" s="54"/>
      <c r="AP312" s="54"/>
      <c r="AQ312" s="54" t="s">
        <v>5147</v>
      </c>
      <c r="AR312" s="54"/>
      <c r="AS312" s="54"/>
      <c r="AT312" s="54" t="s">
        <v>2359</v>
      </c>
      <c r="AU312" s="54"/>
      <c r="AV312" s="54">
        <v>0</v>
      </c>
      <c r="AW312" s="54"/>
      <c r="AX312" s="54"/>
      <c r="AY312" s="54"/>
      <c r="AZ312" s="54"/>
      <c r="BA312" s="54"/>
      <c r="BB312" s="54" t="s">
        <v>2369</v>
      </c>
      <c r="BC312" s="54" t="s">
        <v>2370</v>
      </c>
      <c r="BD312" s="54" t="s">
        <v>2371</v>
      </c>
      <c r="BE312" s="54"/>
      <c r="BF312" s="54">
        <v>1</v>
      </c>
      <c r="BG312" s="54">
        <v>-7.0068000000000001</v>
      </c>
      <c r="BH312" s="54">
        <v>107.2349</v>
      </c>
      <c r="BI312" s="54">
        <v>3217121803150000</v>
      </c>
      <c r="BJ312" s="54">
        <v>42</v>
      </c>
      <c r="BK312" s="54">
        <v>143</v>
      </c>
      <c r="BL312" s="54">
        <v>57</v>
      </c>
      <c r="BM312" s="54">
        <v>2</v>
      </c>
      <c r="BN312" s="54">
        <v>1</v>
      </c>
    </row>
    <row r="313" spans="1:66" s="219" customFormat="1" hidden="1" x14ac:dyDescent="0.3">
      <c r="A313" s="54">
        <v>307</v>
      </c>
      <c r="B313" s="54" t="s">
        <v>1776</v>
      </c>
      <c r="C313" s="54" t="s">
        <v>1411</v>
      </c>
      <c r="D313" s="54" t="s">
        <v>52</v>
      </c>
      <c r="E313" s="54">
        <v>3099533667</v>
      </c>
      <c r="F313" s="54" t="s">
        <v>2446</v>
      </c>
      <c r="G313" s="108">
        <v>40002</v>
      </c>
      <c r="H313" s="54">
        <v>3217110807090000</v>
      </c>
      <c r="I313" s="54" t="s">
        <v>2353</v>
      </c>
      <c r="J313" s="54" t="s">
        <v>2616</v>
      </c>
      <c r="K313" s="54">
        <v>1</v>
      </c>
      <c r="L313" s="54">
        <v>6</v>
      </c>
      <c r="M313" s="54"/>
      <c r="N313" s="54" t="s">
        <v>2617</v>
      </c>
      <c r="O313" s="54" t="s">
        <v>2426</v>
      </c>
      <c r="P313" s="54">
        <v>40562</v>
      </c>
      <c r="Q313" s="54" t="s">
        <v>2357</v>
      </c>
      <c r="R313" s="54" t="s">
        <v>2358</v>
      </c>
      <c r="S313" s="54"/>
      <c r="T313" s="54">
        <v>81572358813</v>
      </c>
      <c r="U313" s="54"/>
      <c r="V313" s="54"/>
      <c r="W313" s="54" t="s">
        <v>2359</v>
      </c>
      <c r="X313" s="54"/>
      <c r="Y313" s="54" t="s">
        <v>1681</v>
      </c>
      <c r="Z313" s="54">
        <v>1976</v>
      </c>
      <c r="AA313" s="54" t="s">
        <v>2390</v>
      </c>
      <c r="AB313" s="54" t="s">
        <v>2362</v>
      </c>
      <c r="AC313" s="54" t="s">
        <v>2375</v>
      </c>
      <c r="AD313" s="54">
        <v>3217110711760000</v>
      </c>
      <c r="AE313" s="54" t="s">
        <v>3170</v>
      </c>
      <c r="AF313" s="54">
        <v>1987</v>
      </c>
      <c r="AG313" s="54" t="s">
        <v>2361</v>
      </c>
      <c r="AH313" s="54" t="s">
        <v>2365</v>
      </c>
      <c r="AI313" s="54" t="s">
        <v>2366</v>
      </c>
      <c r="AJ313" s="54">
        <v>3217116008790000</v>
      </c>
      <c r="AK313" s="54"/>
      <c r="AL313" s="54"/>
      <c r="AM313" s="54"/>
      <c r="AN313" s="54"/>
      <c r="AO313" s="54"/>
      <c r="AP313" s="54"/>
      <c r="AQ313" s="54" t="s">
        <v>5147</v>
      </c>
      <c r="AR313" s="54"/>
      <c r="AS313" s="54"/>
      <c r="AT313" s="54" t="s">
        <v>2359</v>
      </c>
      <c r="AU313" s="54"/>
      <c r="AV313" s="54">
        <v>0</v>
      </c>
      <c r="AW313" s="54"/>
      <c r="AX313" s="54"/>
      <c r="AY313" s="54"/>
      <c r="AZ313" s="54"/>
      <c r="BA313" s="54"/>
      <c r="BB313" s="54" t="s">
        <v>2369</v>
      </c>
      <c r="BC313" s="54" t="s">
        <v>2370</v>
      </c>
      <c r="BD313" s="54" t="s">
        <v>2371</v>
      </c>
      <c r="BE313" s="54" t="s">
        <v>2669</v>
      </c>
      <c r="BF313" s="54">
        <v>1</v>
      </c>
      <c r="BG313" s="54">
        <v>-6.9625000000000004</v>
      </c>
      <c r="BH313" s="54">
        <v>107.4346</v>
      </c>
      <c r="BI313" s="54"/>
      <c r="BJ313" s="54">
        <v>41</v>
      </c>
      <c r="BK313" s="54">
        <v>138</v>
      </c>
      <c r="BL313" s="54">
        <v>55</v>
      </c>
      <c r="BM313" s="54">
        <v>1</v>
      </c>
      <c r="BN313" s="54">
        <v>2</v>
      </c>
    </row>
    <row r="314" spans="1:66" hidden="1" x14ac:dyDescent="0.3">
      <c r="A314" s="3">
        <v>308</v>
      </c>
      <c r="B314" s="3" t="s">
        <v>3799</v>
      </c>
      <c r="C314" s="3" t="s">
        <v>4244</v>
      </c>
      <c r="D314" s="3" t="s">
        <v>52</v>
      </c>
      <c r="E314" s="3">
        <v>109686739</v>
      </c>
      <c r="F314" s="3" t="s">
        <v>2377</v>
      </c>
      <c r="G314" s="157">
        <v>40513</v>
      </c>
      <c r="H314" s="3">
        <v>3217110112100000</v>
      </c>
      <c r="I314" s="3" t="s">
        <v>2353</v>
      </c>
      <c r="J314" s="3" t="s">
        <v>4692</v>
      </c>
      <c r="K314" s="3">
        <v>1</v>
      </c>
      <c r="L314" s="3">
        <v>1</v>
      </c>
      <c r="M314" s="3"/>
      <c r="N314" s="3" t="s">
        <v>3105</v>
      </c>
      <c r="O314" s="3" t="s">
        <v>2426</v>
      </c>
      <c r="P314" s="3">
        <v>40562</v>
      </c>
      <c r="Q314" s="3" t="s">
        <v>2357</v>
      </c>
      <c r="R314" s="3" t="s">
        <v>2358</v>
      </c>
      <c r="S314" s="3"/>
      <c r="T314" s="3"/>
      <c r="U314" s="3"/>
      <c r="V314" s="3"/>
      <c r="W314" s="3" t="s">
        <v>2359</v>
      </c>
      <c r="X314" s="3"/>
      <c r="Y314" s="3" t="s">
        <v>4090</v>
      </c>
      <c r="Z314" s="3">
        <v>1966</v>
      </c>
      <c r="AA314" s="3" t="s">
        <v>2361</v>
      </c>
      <c r="AB314" s="3" t="s">
        <v>2362</v>
      </c>
      <c r="AC314" s="3" t="s">
        <v>2363</v>
      </c>
      <c r="AD314" s="3">
        <v>3217111209660000</v>
      </c>
      <c r="AE314" s="3" t="s">
        <v>4091</v>
      </c>
      <c r="AF314" s="3">
        <v>1983</v>
      </c>
      <c r="AG314" s="3" t="s">
        <v>2361</v>
      </c>
      <c r="AH314" s="3" t="s">
        <v>2365</v>
      </c>
      <c r="AI314" s="3" t="s">
        <v>2366</v>
      </c>
      <c r="AJ314" s="3">
        <v>3217115209830000</v>
      </c>
      <c r="AK314" s="3"/>
      <c r="AL314" s="3"/>
      <c r="AM314" s="3" t="s">
        <v>2367</v>
      </c>
      <c r="AN314" s="3"/>
      <c r="AO314" s="3"/>
      <c r="AP314" s="3"/>
      <c r="AQ314" s="3" t="s">
        <v>5146</v>
      </c>
      <c r="AR314" s="3"/>
      <c r="AS314" s="3"/>
      <c r="AT314" s="3" t="s">
        <v>2359</v>
      </c>
      <c r="AU314" s="3"/>
      <c r="AV314" s="3">
        <v>0</v>
      </c>
      <c r="AW314" s="3"/>
      <c r="AX314" s="3">
        <v>953.00684999999999</v>
      </c>
      <c r="AY314" s="3"/>
      <c r="AZ314" s="3"/>
      <c r="BA314" s="3"/>
      <c r="BB314" s="3" t="s">
        <v>2369</v>
      </c>
      <c r="BC314" s="3" t="s">
        <v>2370</v>
      </c>
      <c r="BD314" s="3" t="s">
        <v>2371</v>
      </c>
      <c r="BE314" s="3" t="s">
        <v>2691</v>
      </c>
      <c r="BF314" s="3">
        <v>1</v>
      </c>
      <c r="BG314" s="3">
        <v>-6.9866834180000001</v>
      </c>
      <c r="BH314" s="3">
        <v>107.43942319999999</v>
      </c>
      <c r="BI314" s="3"/>
      <c r="BJ314" s="3">
        <v>25</v>
      </c>
      <c r="BK314" s="3">
        <v>120</v>
      </c>
      <c r="BL314" s="3">
        <v>45</v>
      </c>
      <c r="BM314" s="3">
        <v>1</v>
      </c>
      <c r="BN314" s="3">
        <v>1</v>
      </c>
    </row>
    <row r="315" spans="1:66" s="219" customFormat="1" hidden="1" x14ac:dyDescent="0.3">
      <c r="A315" s="54">
        <v>309</v>
      </c>
      <c r="B315" s="54" t="s">
        <v>1855</v>
      </c>
      <c r="C315" s="54" t="s">
        <v>1502</v>
      </c>
      <c r="D315" s="54" t="s">
        <v>52</v>
      </c>
      <c r="E315" s="54">
        <v>87295041</v>
      </c>
      <c r="F315" s="54" t="s">
        <v>2468</v>
      </c>
      <c r="G315" s="108">
        <v>39691</v>
      </c>
      <c r="H315" s="54">
        <v>3175063108080010</v>
      </c>
      <c r="I315" s="54" t="s">
        <v>2353</v>
      </c>
      <c r="J315" s="54" t="s">
        <v>3507</v>
      </c>
      <c r="K315" s="54">
        <v>10</v>
      </c>
      <c r="L315" s="54">
        <v>13</v>
      </c>
      <c r="M315" s="54"/>
      <c r="N315" s="54" t="s">
        <v>3508</v>
      </c>
      <c r="O315" s="54" t="s">
        <v>3509</v>
      </c>
      <c r="P315" s="54">
        <v>13470</v>
      </c>
      <c r="Q315" s="54" t="s">
        <v>2357</v>
      </c>
      <c r="R315" s="54" t="s">
        <v>2374</v>
      </c>
      <c r="S315" s="54"/>
      <c r="T315" s="54">
        <v>83822576156</v>
      </c>
      <c r="U315" s="54"/>
      <c r="V315" s="54"/>
      <c r="W315" s="54" t="s">
        <v>2359</v>
      </c>
      <c r="X315" s="54" t="s">
        <v>3510</v>
      </c>
      <c r="Y315" s="54" t="s">
        <v>2638</v>
      </c>
      <c r="Z315" s="54">
        <v>1978</v>
      </c>
      <c r="AA315" s="54"/>
      <c r="AB315" s="54" t="s">
        <v>2362</v>
      </c>
      <c r="AC315" s="54" t="s">
        <v>2363</v>
      </c>
      <c r="AD315" s="54"/>
      <c r="AE315" s="54" t="s">
        <v>3511</v>
      </c>
      <c r="AF315" s="54">
        <v>1980</v>
      </c>
      <c r="AG315" s="54"/>
      <c r="AH315" s="54" t="s">
        <v>2388</v>
      </c>
      <c r="AI315" s="54" t="s">
        <v>2363</v>
      </c>
      <c r="AJ315" s="54"/>
      <c r="AK315" s="54"/>
      <c r="AL315" s="54"/>
      <c r="AM315" s="54"/>
      <c r="AN315" s="54"/>
      <c r="AO315" s="54"/>
      <c r="AP315" s="54"/>
      <c r="AQ315" s="54" t="s">
        <v>5147</v>
      </c>
      <c r="AR315" s="54"/>
      <c r="AS315" s="54"/>
      <c r="AT315" s="54" t="s">
        <v>2369</v>
      </c>
      <c r="AU315" s="54" t="s">
        <v>3510</v>
      </c>
      <c r="AV315" s="54">
        <v>0</v>
      </c>
      <c r="AW315" s="54"/>
      <c r="AX315" s="54"/>
      <c r="AY315" s="54" t="s">
        <v>2460</v>
      </c>
      <c r="AZ315" s="54">
        <v>118701005483507</v>
      </c>
      <c r="BA315" s="54" t="s">
        <v>1855</v>
      </c>
      <c r="BB315" s="54" t="s">
        <v>2369</v>
      </c>
      <c r="BC315" s="54"/>
      <c r="BD315" s="54" t="s">
        <v>2371</v>
      </c>
      <c r="BE315" s="54"/>
      <c r="BF315" s="54">
        <v>1</v>
      </c>
      <c r="BG315" s="54">
        <v>-6.219145471</v>
      </c>
      <c r="BH315" s="54">
        <v>106.91216470000001</v>
      </c>
      <c r="BI315" s="54"/>
      <c r="BJ315" s="54">
        <v>40</v>
      </c>
      <c r="BK315" s="54">
        <v>141</v>
      </c>
      <c r="BL315" s="54">
        <v>57</v>
      </c>
      <c r="BM315" s="54">
        <v>2</v>
      </c>
      <c r="BN315" s="54">
        <v>1</v>
      </c>
    </row>
    <row r="316" spans="1:66" s="219" customFormat="1" hidden="1" x14ac:dyDescent="0.3">
      <c r="A316" s="54">
        <v>310</v>
      </c>
      <c r="B316" s="54" t="s">
        <v>1745</v>
      </c>
      <c r="C316" s="54" t="s">
        <v>2260</v>
      </c>
      <c r="D316" s="54" t="s">
        <v>52</v>
      </c>
      <c r="E316" s="54">
        <v>108390314</v>
      </c>
      <c r="F316" s="54" t="s">
        <v>2377</v>
      </c>
      <c r="G316" s="108">
        <v>40441</v>
      </c>
      <c r="H316" s="54">
        <v>3217122009100000</v>
      </c>
      <c r="I316" s="54" t="s">
        <v>2353</v>
      </c>
      <c r="J316" s="54" t="s">
        <v>2831</v>
      </c>
      <c r="K316" s="54">
        <v>1</v>
      </c>
      <c r="L316" s="54">
        <v>4</v>
      </c>
      <c r="M316" s="54"/>
      <c r="N316" s="54" t="s">
        <v>2513</v>
      </c>
      <c r="O316" s="54" t="s">
        <v>2356</v>
      </c>
      <c r="P316" s="54">
        <v>40564</v>
      </c>
      <c r="Q316" s="54" t="s">
        <v>2357</v>
      </c>
      <c r="R316" s="54" t="s">
        <v>2358</v>
      </c>
      <c r="S316" s="54"/>
      <c r="T316" s="54">
        <v>83174559142</v>
      </c>
      <c r="U316" s="54"/>
      <c r="V316" s="54"/>
      <c r="W316" s="54" t="s">
        <v>2369</v>
      </c>
      <c r="X316" s="54" t="s">
        <v>3031</v>
      </c>
      <c r="Y316" s="54" t="s">
        <v>3032</v>
      </c>
      <c r="Z316" s="54">
        <v>1982</v>
      </c>
      <c r="AA316" s="54" t="s">
        <v>2361</v>
      </c>
      <c r="AB316" s="54" t="s">
        <v>2362</v>
      </c>
      <c r="AC316" s="54" t="s">
        <v>2363</v>
      </c>
      <c r="AD316" s="54">
        <v>3217120111820010</v>
      </c>
      <c r="AE316" s="54" t="s">
        <v>3033</v>
      </c>
      <c r="AF316" s="54">
        <v>1983</v>
      </c>
      <c r="AG316" s="54" t="s">
        <v>2361</v>
      </c>
      <c r="AH316" s="54" t="s">
        <v>2365</v>
      </c>
      <c r="AI316" s="54" t="s">
        <v>2366</v>
      </c>
      <c r="AJ316" s="54">
        <v>3217125505830000</v>
      </c>
      <c r="AK316" s="54"/>
      <c r="AL316" s="54"/>
      <c r="AM316" s="54" t="s">
        <v>2367</v>
      </c>
      <c r="AN316" s="54"/>
      <c r="AO316" s="54"/>
      <c r="AP316" s="54"/>
      <c r="AQ316" s="54" t="s">
        <v>8182</v>
      </c>
      <c r="AR316" s="54"/>
      <c r="AS316" s="54"/>
      <c r="AT316" s="54" t="s">
        <v>2359</v>
      </c>
      <c r="AU316" s="54"/>
      <c r="AV316" s="54">
        <v>0</v>
      </c>
      <c r="AW316" s="54"/>
      <c r="AX316" s="54" t="s">
        <v>3034</v>
      </c>
      <c r="AY316" s="54"/>
      <c r="AZ316" s="54"/>
      <c r="BA316" s="54"/>
      <c r="BB316" s="54" t="s">
        <v>2369</v>
      </c>
      <c r="BC316" s="54" t="s">
        <v>2443</v>
      </c>
      <c r="BD316" s="54" t="s">
        <v>2371</v>
      </c>
      <c r="BE316" s="54" t="s">
        <v>2372</v>
      </c>
      <c r="BF316" s="54">
        <v>1</v>
      </c>
      <c r="BG316" s="54">
        <v>-6.9676999999999998</v>
      </c>
      <c r="BH316" s="54">
        <v>107.4117</v>
      </c>
      <c r="BI316" s="54"/>
      <c r="BJ316" s="54">
        <v>50</v>
      </c>
      <c r="BK316" s="54">
        <v>144</v>
      </c>
      <c r="BL316" s="54">
        <v>0</v>
      </c>
      <c r="BM316" s="54">
        <v>0</v>
      </c>
      <c r="BN316" s="54">
        <v>0</v>
      </c>
    </row>
    <row r="317" spans="1:66" s="219" customFormat="1" hidden="1" x14ac:dyDescent="0.3">
      <c r="A317" s="54">
        <v>311</v>
      </c>
      <c r="B317" s="54" t="s">
        <v>1801</v>
      </c>
      <c r="C317" s="54" t="s">
        <v>1439</v>
      </c>
      <c r="D317" s="54" t="s">
        <v>52</v>
      </c>
      <c r="E317" s="54">
        <v>3081328723</v>
      </c>
      <c r="F317" s="54" t="s">
        <v>2373</v>
      </c>
      <c r="G317" s="108">
        <v>39506</v>
      </c>
      <c r="H317" s="54">
        <v>3217112902080000</v>
      </c>
      <c r="I317" s="54" t="s">
        <v>2353</v>
      </c>
      <c r="J317" s="54" t="s">
        <v>2616</v>
      </c>
      <c r="K317" s="54">
        <v>2</v>
      </c>
      <c r="L317" s="54">
        <v>7</v>
      </c>
      <c r="M317" s="54"/>
      <c r="N317" s="54" t="s">
        <v>2617</v>
      </c>
      <c r="O317" s="54" t="s">
        <v>2426</v>
      </c>
      <c r="P317" s="54">
        <v>40562</v>
      </c>
      <c r="Q317" s="54" t="s">
        <v>2357</v>
      </c>
      <c r="R317" s="54" t="s">
        <v>2358</v>
      </c>
      <c r="S317" s="54"/>
      <c r="T317" s="54">
        <v>82126284881</v>
      </c>
      <c r="U317" s="54"/>
      <c r="V317" s="54"/>
      <c r="W317" s="54" t="s">
        <v>2359</v>
      </c>
      <c r="X317" s="54"/>
      <c r="Y317" s="54"/>
      <c r="Z317" s="54">
        <v>1976</v>
      </c>
      <c r="AA317" s="54" t="s">
        <v>2402</v>
      </c>
      <c r="AB317" s="54" t="s">
        <v>2362</v>
      </c>
      <c r="AC317" s="54" t="s">
        <v>2375</v>
      </c>
      <c r="AD317" s="54"/>
      <c r="AE317" s="54" t="s">
        <v>3277</v>
      </c>
      <c r="AF317" s="54">
        <v>1980</v>
      </c>
      <c r="AG317" s="54" t="s">
        <v>2402</v>
      </c>
      <c r="AH317" s="54" t="s">
        <v>2365</v>
      </c>
      <c r="AI317" s="54" t="s">
        <v>2366</v>
      </c>
      <c r="AJ317" s="54"/>
      <c r="AK317" s="54"/>
      <c r="AL317" s="54"/>
      <c r="AM317" s="54"/>
      <c r="AN317" s="54"/>
      <c r="AO317" s="54"/>
      <c r="AP317" s="54"/>
      <c r="AQ317" s="54" t="s">
        <v>5147</v>
      </c>
      <c r="AR317" s="54"/>
      <c r="AS317" s="54"/>
      <c r="AT317" s="54" t="s">
        <v>2359</v>
      </c>
      <c r="AU317" s="54"/>
      <c r="AV317" s="54">
        <v>0</v>
      </c>
      <c r="AW317" s="54"/>
      <c r="AX317" s="54"/>
      <c r="AY317" s="54"/>
      <c r="AZ317" s="54"/>
      <c r="BA317" s="54"/>
      <c r="BB317" s="54" t="s">
        <v>2369</v>
      </c>
      <c r="BC317" s="54" t="s">
        <v>2370</v>
      </c>
      <c r="BD317" s="54" t="s">
        <v>2371</v>
      </c>
      <c r="BE317" s="54"/>
      <c r="BF317" s="54">
        <v>1</v>
      </c>
      <c r="BG317" s="54">
        <v>-6.9625000000000004</v>
      </c>
      <c r="BH317" s="54">
        <v>107.4346</v>
      </c>
      <c r="BI317" s="54"/>
      <c r="BJ317" s="54">
        <v>40</v>
      </c>
      <c r="BK317" s="54">
        <v>138</v>
      </c>
      <c r="BL317" s="54">
        <v>59</v>
      </c>
      <c r="BM317" s="54">
        <v>2</v>
      </c>
      <c r="BN317" s="54">
        <v>3</v>
      </c>
    </row>
    <row r="318" spans="1:66" hidden="1" x14ac:dyDescent="0.3">
      <c r="A318" s="3">
        <v>312</v>
      </c>
      <c r="B318" s="3" t="s">
        <v>4193</v>
      </c>
      <c r="C318" s="3" t="s">
        <v>4281</v>
      </c>
      <c r="D318" s="3" t="s">
        <v>52</v>
      </c>
      <c r="E318" s="3">
        <v>105386818</v>
      </c>
      <c r="F318" s="3" t="s">
        <v>2377</v>
      </c>
      <c r="G318" s="157">
        <v>40449</v>
      </c>
      <c r="H318" s="3">
        <v>3217122809100000</v>
      </c>
      <c r="I318" s="3" t="s">
        <v>2353</v>
      </c>
      <c r="J318" s="3" t="s">
        <v>3278</v>
      </c>
      <c r="K318" s="3">
        <v>2</v>
      </c>
      <c r="L318" s="3">
        <v>5</v>
      </c>
      <c r="M318" s="3"/>
      <c r="N318" s="3" t="s">
        <v>4475</v>
      </c>
      <c r="O318" s="3" t="s">
        <v>2356</v>
      </c>
      <c r="P318" s="3">
        <v>40564</v>
      </c>
      <c r="Q318" s="3" t="s">
        <v>2357</v>
      </c>
      <c r="R318" s="3" t="s">
        <v>2358</v>
      </c>
      <c r="S318" s="3"/>
      <c r="T318" s="3">
        <v>82315374588</v>
      </c>
      <c r="U318" s="3"/>
      <c r="V318" s="3"/>
      <c r="W318" s="3" t="s">
        <v>2359</v>
      </c>
      <c r="X318" s="3"/>
      <c r="Y318" s="3" t="s">
        <v>4195</v>
      </c>
      <c r="Z318" s="3">
        <v>0</v>
      </c>
      <c r="AA318" s="3" t="s">
        <v>2367</v>
      </c>
      <c r="AB318" s="3" t="s">
        <v>2362</v>
      </c>
      <c r="AC318" s="3" t="s">
        <v>2375</v>
      </c>
      <c r="AD318" s="3"/>
      <c r="AE318" s="3" t="s">
        <v>3481</v>
      </c>
      <c r="AF318" s="3">
        <v>0</v>
      </c>
      <c r="AG318" s="3" t="s">
        <v>2367</v>
      </c>
      <c r="AH318" s="3" t="s">
        <v>2365</v>
      </c>
      <c r="AI318" s="3" t="s">
        <v>2366</v>
      </c>
      <c r="AJ318" s="3"/>
      <c r="AK318" s="3"/>
      <c r="AL318" s="3"/>
      <c r="AM318" s="3" t="s">
        <v>2367</v>
      </c>
      <c r="AN318" s="3"/>
      <c r="AO318" s="3"/>
      <c r="AP318" s="3"/>
      <c r="AQ318" s="3" t="s">
        <v>5149</v>
      </c>
      <c r="AR318" s="3"/>
      <c r="AS318" s="3"/>
      <c r="AT318" s="3" t="s">
        <v>2359</v>
      </c>
      <c r="AU318" s="3"/>
      <c r="AV318" s="3">
        <v>0</v>
      </c>
      <c r="AW318" s="3"/>
      <c r="AX318" s="3" t="s">
        <v>4194</v>
      </c>
      <c r="AY318" s="3"/>
      <c r="AZ318" s="3"/>
      <c r="BA318" s="3"/>
      <c r="BB318" s="3" t="s">
        <v>2369</v>
      </c>
      <c r="BC318" s="3" t="s">
        <v>2370</v>
      </c>
      <c r="BD318" s="3" t="s">
        <v>2371</v>
      </c>
      <c r="BE318" s="3" t="s">
        <v>2372</v>
      </c>
      <c r="BF318" s="3">
        <v>1</v>
      </c>
      <c r="BG318" s="3">
        <v>-6.9676999999999998</v>
      </c>
      <c r="BH318" s="3">
        <v>107.4117</v>
      </c>
      <c r="BI318" s="3"/>
      <c r="BJ318" s="3">
        <v>49</v>
      </c>
      <c r="BK318" s="3">
        <v>143</v>
      </c>
      <c r="BL318" s="3">
        <v>55</v>
      </c>
      <c r="BM318" s="3">
        <v>1</v>
      </c>
      <c r="BN318" s="3">
        <v>20</v>
      </c>
    </row>
    <row r="319" spans="1:66" s="219" customFormat="1" hidden="1" x14ac:dyDescent="0.3">
      <c r="A319" s="54">
        <v>313</v>
      </c>
      <c r="B319" s="54" t="s">
        <v>4822</v>
      </c>
      <c r="C319" s="54" t="s">
        <v>4224</v>
      </c>
      <c r="D319" s="54" t="s">
        <v>52</v>
      </c>
      <c r="E319" s="54">
        <v>94413411</v>
      </c>
      <c r="F319" s="54" t="s">
        <v>2352</v>
      </c>
      <c r="G319" s="108">
        <v>39844</v>
      </c>
      <c r="H319" s="54">
        <v>3217113101060000</v>
      </c>
      <c r="I319" s="54" t="s">
        <v>2353</v>
      </c>
      <c r="J319" s="54" t="s">
        <v>3245</v>
      </c>
      <c r="K319" s="54">
        <v>4</v>
      </c>
      <c r="L319" s="54">
        <v>1</v>
      </c>
      <c r="M319" s="54"/>
      <c r="N319" s="54" t="s">
        <v>4604</v>
      </c>
      <c r="O319" s="54" t="s">
        <v>2426</v>
      </c>
      <c r="P319" s="54">
        <v>40562</v>
      </c>
      <c r="Q319" s="54" t="s">
        <v>2357</v>
      </c>
      <c r="R319" s="54" t="s">
        <v>2358</v>
      </c>
      <c r="S319" s="54"/>
      <c r="T319" s="54">
        <v>83143308977</v>
      </c>
      <c r="U319" s="54"/>
      <c r="V319" s="54"/>
      <c r="W319" s="54" t="s">
        <v>2359</v>
      </c>
      <c r="X319" s="54"/>
      <c r="Y319" s="54" t="s">
        <v>4823</v>
      </c>
      <c r="Z319" s="54">
        <v>1975</v>
      </c>
      <c r="AA319" s="54" t="s">
        <v>2361</v>
      </c>
      <c r="AB319" s="54" t="s">
        <v>2362</v>
      </c>
      <c r="AC319" s="54" t="s">
        <v>2363</v>
      </c>
      <c r="AD319" s="54">
        <v>3217111006750020</v>
      </c>
      <c r="AE319" s="54" t="s">
        <v>4824</v>
      </c>
      <c r="AF319" s="54">
        <v>1979</v>
      </c>
      <c r="AG319" s="54" t="s">
        <v>2361</v>
      </c>
      <c r="AH319" s="54" t="s">
        <v>2365</v>
      </c>
      <c r="AI319" s="54" t="s">
        <v>2366</v>
      </c>
      <c r="AJ319" s="54">
        <v>3217116608790000</v>
      </c>
      <c r="AK319" s="54"/>
      <c r="AL319" s="54"/>
      <c r="AM319" s="54"/>
      <c r="AN319" s="54"/>
      <c r="AO319" s="54"/>
      <c r="AP319" s="54"/>
      <c r="AQ319" s="54" t="s">
        <v>5147</v>
      </c>
      <c r="AR319" s="54"/>
      <c r="AS319" s="54"/>
      <c r="AT319" s="54" t="s">
        <v>2359</v>
      </c>
      <c r="AU319" s="54"/>
      <c r="AV319" s="54">
        <v>0</v>
      </c>
      <c r="AW319" s="54"/>
      <c r="AX319" s="54" t="s">
        <v>4825</v>
      </c>
      <c r="AY319" s="54"/>
      <c r="AZ319" s="54"/>
      <c r="BA319" s="54"/>
      <c r="BB319" s="54" t="s">
        <v>2369</v>
      </c>
      <c r="BC319" s="54" t="s">
        <v>2370</v>
      </c>
      <c r="BD319" s="54" t="s">
        <v>2371</v>
      </c>
      <c r="BE319" s="54" t="s">
        <v>3109</v>
      </c>
      <c r="BF319" s="54">
        <v>1</v>
      </c>
      <c r="BG319" s="54">
        <v>-6.9668999999999999</v>
      </c>
      <c r="BH319" s="54">
        <v>107.4242</v>
      </c>
      <c r="BI319" s="54"/>
      <c r="BJ319" s="54">
        <v>49</v>
      </c>
      <c r="BK319" s="54">
        <v>145</v>
      </c>
      <c r="BL319" s="54">
        <v>53</v>
      </c>
      <c r="BM319" s="54">
        <v>1</v>
      </c>
      <c r="BN319" s="54">
        <v>1</v>
      </c>
    </row>
    <row r="320" spans="1:66" s="219" customFormat="1" hidden="1" x14ac:dyDescent="0.3">
      <c r="A320" s="54">
        <v>314</v>
      </c>
      <c r="B320" s="54" t="s">
        <v>2728</v>
      </c>
      <c r="C320" s="54" t="s">
        <v>2178</v>
      </c>
      <c r="D320" s="54" t="s">
        <v>52</v>
      </c>
      <c r="E320" s="54">
        <v>99722787</v>
      </c>
      <c r="F320" s="54" t="s">
        <v>2373</v>
      </c>
      <c r="G320" s="108">
        <v>40137</v>
      </c>
      <c r="H320" s="54">
        <v>3217112011090000</v>
      </c>
      <c r="I320" s="54" t="s">
        <v>2353</v>
      </c>
      <c r="J320" s="54" t="s">
        <v>2530</v>
      </c>
      <c r="K320" s="54">
        <v>1</v>
      </c>
      <c r="L320" s="54">
        <v>14</v>
      </c>
      <c r="M320" s="54" t="s">
        <v>2530</v>
      </c>
      <c r="N320" s="54" t="s">
        <v>2425</v>
      </c>
      <c r="O320" s="54" t="s">
        <v>2426</v>
      </c>
      <c r="P320" s="54">
        <v>40562</v>
      </c>
      <c r="Q320" s="54" t="s">
        <v>2357</v>
      </c>
      <c r="R320" s="54" t="s">
        <v>2358</v>
      </c>
      <c r="S320" s="54"/>
      <c r="T320" s="54">
        <v>83148720399</v>
      </c>
      <c r="U320" s="54"/>
      <c r="V320" s="54"/>
      <c r="W320" s="54" t="s">
        <v>2359</v>
      </c>
      <c r="X320" s="54"/>
      <c r="Y320" s="54" t="s">
        <v>2729</v>
      </c>
      <c r="Z320" s="54">
        <v>1984</v>
      </c>
      <c r="AA320" s="54" t="s">
        <v>2390</v>
      </c>
      <c r="AB320" s="54" t="s">
        <v>2362</v>
      </c>
      <c r="AC320" s="54" t="s">
        <v>2403</v>
      </c>
      <c r="AD320" s="54"/>
      <c r="AE320" s="54" t="s">
        <v>2730</v>
      </c>
      <c r="AF320" s="54">
        <v>1988</v>
      </c>
      <c r="AG320" s="54" t="s">
        <v>2361</v>
      </c>
      <c r="AH320" s="54" t="s">
        <v>2365</v>
      </c>
      <c r="AI320" s="54" t="s">
        <v>2366</v>
      </c>
      <c r="AJ320" s="54"/>
      <c r="AK320" s="54"/>
      <c r="AL320" s="54"/>
      <c r="AM320" s="54" t="s">
        <v>2367</v>
      </c>
      <c r="AN320" s="54"/>
      <c r="AO320" s="54"/>
      <c r="AP320" s="54"/>
      <c r="AQ320" s="54" t="s">
        <v>8180</v>
      </c>
      <c r="AR320" s="54"/>
      <c r="AS320" s="54"/>
      <c r="AT320" s="54" t="s">
        <v>2359</v>
      </c>
      <c r="AU320" s="54"/>
      <c r="AV320" s="54">
        <v>0</v>
      </c>
      <c r="AW320" s="54"/>
      <c r="AX320" s="54" t="s">
        <v>2731</v>
      </c>
      <c r="AY320" s="54"/>
      <c r="AZ320" s="54"/>
      <c r="BA320" s="54"/>
      <c r="BB320" s="54" t="s">
        <v>2369</v>
      </c>
      <c r="BC320" s="54" t="s">
        <v>2370</v>
      </c>
      <c r="BD320" s="54" t="s">
        <v>2371</v>
      </c>
      <c r="BE320" s="54" t="s">
        <v>2430</v>
      </c>
      <c r="BF320" s="54">
        <v>1</v>
      </c>
      <c r="BG320" s="54">
        <v>-6.9514541999999997</v>
      </c>
      <c r="BH320" s="54">
        <v>107.4179645</v>
      </c>
      <c r="BI320" s="54"/>
      <c r="BJ320" s="54">
        <v>54</v>
      </c>
      <c r="BK320" s="54">
        <v>149</v>
      </c>
      <c r="BL320" s="54">
        <v>0</v>
      </c>
      <c r="BM320" s="54">
        <v>0</v>
      </c>
      <c r="BN320" s="54">
        <v>0</v>
      </c>
    </row>
    <row r="321" spans="1:66" hidden="1" x14ac:dyDescent="0.3">
      <c r="A321" s="3">
        <v>315</v>
      </c>
      <c r="B321" s="3" t="s">
        <v>3852</v>
      </c>
      <c r="C321" s="3" t="s">
        <v>4303</v>
      </c>
      <c r="D321" s="3" t="s">
        <v>52</v>
      </c>
      <c r="E321" s="3">
        <v>109216466</v>
      </c>
      <c r="F321" s="3" t="s">
        <v>2377</v>
      </c>
      <c r="G321" s="157">
        <v>40534</v>
      </c>
      <c r="H321" s="3">
        <v>3217122210100000</v>
      </c>
      <c r="I321" s="3" t="s">
        <v>2353</v>
      </c>
      <c r="J321" s="3" t="s">
        <v>4723</v>
      </c>
      <c r="K321" s="3">
        <v>2</v>
      </c>
      <c r="L321" s="3">
        <v>2</v>
      </c>
      <c r="M321" s="3"/>
      <c r="N321" s="3" t="s">
        <v>2355</v>
      </c>
      <c r="O321" s="3" t="s">
        <v>2356</v>
      </c>
      <c r="P321" s="3">
        <v>40563</v>
      </c>
      <c r="Q321" s="3" t="s">
        <v>2357</v>
      </c>
      <c r="R321" s="3" t="s">
        <v>2358</v>
      </c>
      <c r="S321" s="3"/>
      <c r="T321" s="3">
        <v>83824057833</v>
      </c>
      <c r="U321" s="3"/>
      <c r="V321" s="3"/>
      <c r="W321" s="3" t="s">
        <v>2359</v>
      </c>
      <c r="X321" s="3"/>
      <c r="Y321" s="3" t="s">
        <v>4826</v>
      </c>
      <c r="Z321" s="3">
        <v>1975</v>
      </c>
      <c r="AA321" s="3" t="s">
        <v>2361</v>
      </c>
      <c r="AB321" s="3" t="s">
        <v>2362</v>
      </c>
      <c r="AC321" s="3" t="s">
        <v>2403</v>
      </c>
      <c r="AD321" s="3">
        <v>3217121606750020</v>
      </c>
      <c r="AE321" s="3" t="s">
        <v>4827</v>
      </c>
      <c r="AF321" s="3">
        <v>1974</v>
      </c>
      <c r="AG321" s="3" t="s">
        <v>2361</v>
      </c>
      <c r="AH321" s="3" t="s">
        <v>2362</v>
      </c>
      <c r="AI321" s="3" t="s">
        <v>2366</v>
      </c>
      <c r="AJ321" s="3">
        <v>3217126010740010</v>
      </c>
      <c r="AK321" s="3"/>
      <c r="AL321" s="3"/>
      <c r="AM321" s="3" t="s">
        <v>2367</v>
      </c>
      <c r="AN321" s="3"/>
      <c r="AO321" s="3"/>
      <c r="AP321" s="3"/>
      <c r="AQ321" s="3" t="s">
        <v>5150</v>
      </c>
      <c r="AR321" s="3"/>
      <c r="AS321" s="3"/>
      <c r="AT321" s="3" t="s">
        <v>2359</v>
      </c>
      <c r="AU321" s="3"/>
      <c r="AV321" s="3">
        <v>0</v>
      </c>
      <c r="AW321" s="3"/>
      <c r="AX321" s="3" t="s">
        <v>4828</v>
      </c>
      <c r="AY321" s="3"/>
      <c r="AZ321" s="3"/>
      <c r="BA321" s="3"/>
      <c r="BB321" s="3" t="s">
        <v>2369</v>
      </c>
      <c r="BC321" s="3" t="s">
        <v>2370</v>
      </c>
      <c r="BD321" s="3" t="s">
        <v>2371</v>
      </c>
      <c r="BE321" s="3" t="s">
        <v>2477</v>
      </c>
      <c r="BF321" s="3">
        <v>2</v>
      </c>
      <c r="BG321" s="3">
        <v>-6.9661</v>
      </c>
      <c r="BH321" s="3">
        <v>107.4057</v>
      </c>
      <c r="BI321" s="3">
        <v>3217121807120040</v>
      </c>
      <c r="BJ321" s="3">
        <v>41</v>
      </c>
      <c r="BK321" s="3">
        <v>143</v>
      </c>
      <c r="BL321" s="3">
        <v>55</v>
      </c>
      <c r="BM321" s="3">
        <v>1</v>
      </c>
      <c r="BN321" s="3">
        <v>2</v>
      </c>
    </row>
    <row r="322" spans="1:66" hidden="1" x14ac:dyDescent="0.3">
      <c r="A322" s="3">
        <v>316</v>
      </c>
      <c r="B322" s="3" t="s">
        <v>4829</v>
      </c>
      <c r="C322" s="3" t="s">
        <v>4341</v>
      </c>
      <c r="D322" s="3" t="s">
        <v>52</v>
      </c>
      <c r="E322" s="3">
        <v>109880937</v>
      </c>
      <c r="F322" s="3" t="s">
        <v>2373</v>
      </c>
      <c r="G322" s="157">
        <v>40473</v>
      </c>
      <c r="H322" s="3">
        <v>3217112210100000</v>
      </c>
      <c r="I322" s="3" t="s">
        <v>2353</v>
      </c>
      <c r="J322" s="3" t="s">
        <v>2424</v>
      </c>
      <c r="K322" s="3">
        <v>3</v>
      </c>
      <c r="L322" s="3">
        <v>8</v>
      </c>
      <c r="M322" s="3"/>
      <c r="N322" s="3" t="s">
        <v>4508</v>
      </c>
      <c r="O322" s="3" t="s">
        <v>2426</v>
      </c>
      <c r="P322" s="3">
        <v>40562</v>
      </c>
      <c r="Q322" s="3" t="s">
        <v>2357</v>
      </c>
      <c r="R322" s="3" t="s">
        <v>2358</v>
      </c>
      <c r="S322" s="3"/>
      <c r="T322" s="3">
        <v>83841868487</v>
      </c>
      <c r="U322" s="3"/>
      <c r="V322" s="3"/>
      <c r="W322" s="3" t="s">
        <v>2359</v>
      </c>
      <c r="X322" s="3"/>
      <c r="Y322" s="3" t="s">
        <v>4830</v>
      </c>
      <c r="Z322" s="3">
        <v>1972</v>
      </c>
      <c r="AA322" s="3" t="s">
        <v>2361</v>
      </c>
      <c r="AB322" s="3" t="s">
        <v>2362</v>
      </c>
      <c r="AC322" s="3" t="s">
        <v>2403</v>
      </c>
      <c r="AD322" s="3">
        <v>3217110107720340</v>
      </c>
      <c r="AE322" s="3" t="s">
        <v>4831</v>
      </c>
      <c r="AF322" s="3">
        <v>1975</v>
      </c>
      <c r="AG322" s="3" t="s">
        <v>2390</v>
      </c>
      <c r="AH322" s="3" t="s">
        <v>2365</v>
      </c>
      <c r="AI322" s="3" t="s">
        <v>2366</v>
      </c>
      <c r="AJ322" s="3">
        <v>3217115808750010</v>
      </c>
      <c r="AK322" s="3"/>
      <c r="AL322" s="3"/>
      <c r="AM322" s="3" t="s">
        <v>2367</v>
      </c>
      <c r="AN322" s="3"/>
      <c r="AO322" s="3"/>
      <c r="AP322" s="3"/>
      <c r="AQ322" s="3" t="s">
        <v>5152</v>
      </c>
      <c r="AR322" s="3"/>
      <c r="AS322" s="3" t="s">
        <v>4832</v>
      </c>
      <c r="AT322" s="3" t="s">
        <v>2359</v>
      </c>
      <c r="AU322" s="3"/>
      <c r="AV322" s="3">
        <v>0</v>
      </c>
      <c r="AW322" s="3"/>
      <c r="AX322" s="3" t="s">
        <v>4114</v>
      </c>
      <c r="AY322" s="3"/>
      <c r="AZ322" s="3"/>
      <c r="BA322" s="3"/>
      <c r="BB322" s="3" t="s">
        <v>2369</v>
      </c>
      <c r="BC322" s="3" t="s">
        <v>2370</v>
      </c>
      <c r="BD322" s="3" t="s">
        <v>2371</v>
      </c>
      <c r="BE322" s="3" t="s">
        <v>2430</v>
      </c>
      <c r="BF322" s="3">
        <v>2</v>
      </c>
      <c r="BG322" s="3">
        <v>-6.9514541999999997</v>
      </c>
      <c r="BH322" s="3">
        <v>107.4179645</v>
      </c>
      <c r="BI322" s="3">
        <v>3217112009060000</v>
      </c>
      <c r="BJ322" s="3">
        <v>45</v>
      </c>
      <c r="BK322" s="3">
        <v>142</v>
      </c>
      <c r="BL322" s="3">
        <v>55</v>
      </c>
      <c r="BM322" s="3">
        <v>1</v>
      </c>
      <c r="BN322" s="3">
        <v>2</v>
      </c>
    </row>
    <row r="323" spans="1:66" s="219" customFormat="1" hidden="1" x14ac:dyDescent="0.3">
      <c r="A323" s="54">
        <v>317</v>
      </c>
      <c r="B323" s="54" t="s">
        <v>2942</v>
      </c>
      <c r="C323" s="54" t="s">
        <v>2233</v>
      </c>
      <c r="D323" s="54" t="s">
        <v>52</v>
      </c>
      <c r="E323" s="54">
        <v>105847853</v>
      </c>
      <c r="F323" s="54" t="s">
        <v>2373</v>
      </c>
      <c r="G323" s="108">
        <v>40284</v>
      </c>
      <c r="H323" s="54">
        <v>3217121604100000</v>
      </c>
      <c r="I323" s="54" t="s">
        <v>2353</v>
      </c>
      <c r="J323" s="54" t="s">
        <v>2943</v>
      </c>
      <c r="K323" s="54">
        <v>1</v>
      </c>
      <c r="L323" s="54">
        <v>8</v>
      </c>
      <c r="M323" s="54" t="s">
        <v>2944</v>
      </c>
      <c r="N323" s="54" t="s">
        <v>2945</v>
      </c>
      <c r="O323" s="54" t="s">
        <v>2356</v>
      </c>
      <c r="P323" s="54">
        <v>40764</v>
      </c>
      <c r="Q323" s="54" t="s">
        <v>2357</v>
      </c>
      <c r="R323" s="54" t="s">
        <v>2358</v>
      </c>
      <c r="S323" s="54"/>
      <c r="T323" s="54"/>
      <c r="U323" s="54"/>
      <c r="V323" s="54"/>
      <c r="W323" s="54" t="s">
        <v>2359</v>
      </c>
      <c r="X323" s="54"/>
      <c r="Y323" s="54" t="s">
        <v>2807</v>
      </c>
      <c r="Z323" s="54">
        <v>1980</v>
      </c>
      <c r="AA323" s="54" t="s">
        <v>2361</v>
      </c>
      <c r="AB323" s="54" t="s">
        <v>2472</v>
      </c>
      <c r="AC323" s="54" t="s">
        <v>2403</v>
      </c>
      <c r="AD323" s="54">
        <v>3217120608800030</v>
      </c>
      <c r="AE323" s="54" t="s">
        <v>2946</v>
      </c>
      <c r="AF323" s="54">
        <v>1980</v>
      </c>
      <c r="AG323" s="54" t="s">
        <v>2361</v>
      </c>
      <c r="AH323" s="54" t="s">
        <v>2474</v>
      </c>
      <c r="AI323" s="54" t="s">
        <v>2366</v>
      </c>
      <c r="AJ323" s="54">
        <v>3217120608800030</v>
      </c>
      <c r="AK323" s="54"/>
      <c r="AL323" s="54"/>
      <c r="AM323" s="54" t="s">
        <v>2367</v>
      </c>
      <c r="AN323" s="54"/>
      <c r="AO323" s="54"/>
      <c r="AP323" s="54"/>
      <c r="AQ323" s="54" t="s">
        <v>8177</v>
      </c>
      <c r="AR323" s="54"/>
      <c r="AS323" s="54"/>
      <c r="AT323" s="54" t="s">
        <v>2359</v>
      </c>
      <c r="AU323" s="54"/>
      <c r="AV323" s="54">
        <v>0</v>
      </c>
      <c r="AW323" s="54"/>
      <c r="AX323" s="54" t="s">
        <v>2947</v>
      </c>
      <c r="AY323" s="54"/>
      <c r="AZ323" s="54"/>
      <c r="BA323" s="54"/>
      <c r="BB323" s="54" t="s">
        <v>2369</v>
      </c>
      <c r="BC323" s="54" t="s">
        <v>2370</v>
      </c>
      <c r="BD323" s="54" t="s">
        <v>2371</v>
      </c>
      <c r="BE323" s="54" t="s">
        <v>2948</v>
      </c>
      <c r="BF323" s="54">
        <v>2</v>
      </c>
      <c r="BG323" s="54">
        <v>-6.9409580000000002</v>
      </c>
      <c r="BH323" s="54">
        <v>107.323818</v>
      </c>
      <c r="BI323" s="54">
        <v>3217120507120100</v>
      </c>
      <c r="BJ323" s="54">
        <v>54</v>
      </c>
      <c r="BK323" s="54">
        <v>148</v>
      </c>
      <c r="BL323" s="54">
        <v>0</v>
      </c>
      <c r="BM323" s="54">
        <v>0</v>
      </c>
      <c r="BN323" s="54">
        <v>0</v>
      </c>
    </row>
    <row r="324" spans="1:66" s="219" customFormat="1" hidden="1" x14ac:dyDescent="0.3">
      <c r="A324" s="54">
        <v>318</v>
      </c>
      <c r="B324" s="54" t="s">
        <v>2075</v>
      </c>
      <c r="C324" s="54" t="s">
        <v>2108</v>
      </c>
      <c r="D324" s="54" t="s">
        <v>52</v>
      </c>
      <c r="E324" s="54">
        <v>92858238</v>
      </c>
      <c r="F324" s="54" t="s">
        <v>2373</v>
      </c>
      <c r="G324" s="108">
        <v>40135</v>
      </c>
      <c r="H324" s="54">
        <v>3217121811090000</v>
      </c>
      <c r="I324" s="54" t="s">
        <v>2353</v>
      </c>
      <c r="J324" s="54" t="s">
        <v>2462</v>
      </c>
      <c r="K324" s="54">
        <v>5</v>
      </c>
      <c r="L324" s="54">
        <v>5</v>
      </c>
      <c r="M324" s="54" t="s">
        <v>2463</v>
      </c>
      <c r="N324" s="54" t="s">
        <v>2438</v>
      </c>
      <c r="O324" s="54" t="s">
        <v>2356</v>
      </c>
      <c r="P324" s="54">
        <v>40764</v>
      </c>
      <c r="Q324" s="54" t="s">
        <v>2357</v>
      </c>
      <c r="R324" s="54" t="s">
        <v>2358</v>
      </c>
      <c r="S324" s="54"/>
      <c r="T324" s="54">
        <v>83820223034</v>
      </c>
      <c r="U324" s="54"/>
      <c r="V324" s="54"/>
      <c r="W324" s="54" t="s">
        <v>2359</v>
      </c>
      <c r="X324" s="54"/>
      <c r="Y324" s="54" t="s">
        <v>2464</v>
      </c>
      <c r="Z324" s="54">
        <v>1970</v>
      </c>
      <c r="AA324" s="54" t="s">
        <v>2361</v>
      </c>
      <c r="AB324" s="54" t="s">
        <v>2362</v>
      </c>
      <c r="AC324" s="54" t="s">
        <v>2403</v>
      </c>
      <c r="AD324" s="54">
        <v>3217120104700000</v>
      </c>
      <c r="AE324" s="54" t="s">
        <v>2465</v>
      </c>
      <c r="AF324" s="54">
        <v>1977</v>
      </c>
      <c r="AG324" s="54" t="s">
        <v>2402</v>
      </c>
      <c r="AH324" s="54" t="s">
        <v>2365</v>
      </c>
      <c r="AI324" s="54" t="s">
        <v>2366</v>
      </c>
      <c r="AJ324" s="54">
        <v>3217125409770000</v>
      </c>
      <c r="AK324" s="54"/>
      <c r="AL324" s="54"/>
      <c r="AM324" s="54" t="s">
        <v>2367</v>
      </c>
      <c r="AN324" s="54"/>
      <c r="AO324" s="54"/>
      <c r="AP324" s="54"/>
      <c r="AQ324" s="54" t="s">
        <v>8185</v>
      </c>
      <c r="AR324" s="54"/>
      <c r="AS324" s="54"/>
      <c r="AT324" s="54" t="s">
        <v>2369</v>
      </c>
      <c r="AU324" s="54" t="s">
        <v>2466</v>
      </c>
      <c r="AV324" s="54">
        <v>0</v>
      </c>
      <c r="AW324" s="54"/>
      <c r="AX324" s="54" t="s">
        <v>2467</v>
      </c>
      <c r="AY324" s="54" t="s">
        <v>2460</v>
      </c>
      <c r="AZ324" s="54">
        <v>411601002952503</v>
      </c>
      <c r="BA324" s="54" t="s">
        <v>2075</v>
      </c>
      <c r="BB324" s="54" t="s">
        <v>2369</v>
      </c>
      <c r="BC324" s="54"/>
      <c r="BD324" s="54" t="s">
        <v>2371</v>
      </c>
      <c r="BE324" s="54" t="s">
        <v>2444</v>
      </c>
      <c r="BF324" s="54">
        <v>2</v>
      </c>
      <c r="BG324" s="54">
        <v>-6.9530000000000003</v>
      </c>
      <c r="BH324" s="54">
        <v>107.4034</v>
      </c>
      <c r="BI324" s="54">
        <v>3217121604057750</v>
      </c>
      <c r="BJ324" s="54">
        <v>53</v>
      </c>
      <c r="BK324" s="54">
        <v>145</v>
      </c>
      <c r="BL324" s="54">
        <v>0</v>
      </c>
      <c r="BM324" s="54">
        <v>0</v>
      </c>
      <c r="BN324" s="54">
        <v>0</v>
      </c>
    </row>
    <row r="325" spans="1:66" x14ac:dyDescent="0.3">
      <c r="A325" s="3">
        <v>319</v>
      </c>
      <c r="B325" s="3" t="s">
        <v>3946</v>
      </c>
      <c r="C325" s="3" t="s">
        <v>4406</v>
      </c>
      <c r="D325" s="3" t="s">
        <v>52</v>
      </c>
      <c r="E325" s="3">
        <v>117188814</v>
      </c>
      <c r="F325" s="3" t="s">
        <v>2377</v>
      </c>
      <c r="G325" s="157">
        <v>40828</v>
      </c>
      <c r="H325" s="3">
        <v>3217121210110000</v>
      </c>
      <c r="I325" s="3" t="s">
        <v>2353</v>
      </c>
      <c r="J325" s="3" t="s">
        <v>2641</v>
      </c>
      <c r="K325" s="3">
        <v>3</v>
      </c>
      <c r="L325" s="3">
        <v>10</v>
      </c>
      <c r="M325" s="3"/>
      <c r="N325" s="3" t="s">
        <v>4475</v>
      </c>
      <c r="O325" s="3" t="s">
        <v>2356</v>
      </c>
      <c r="P325" s="3">
        <v>40564</v>
      </c>
      <c r="Q325" s="3" t="s">
        <v>2357</v>
      </c>
      <c r="R325" s="3" t="s">
        <v>2358</v>
      </c>
      <c r="S325" s="3"/>
      <c r="T325" s="3">
        <v>83829968185</v>
      </c>
      <c r="U325" s="3"/>
      <c r="V325" s="3"/>
      <c r="W325" s="3" t="s">
        <v>2359</v>
      </c>
      <c r="X325" s="3"/>
      <c r="Y325" s="3" t="s">
        <v>2682</v>
      </c>
      <c r="Z325" s="3">
        <v>1979</v>
      </c>
      <c r="AA325" s="3" t="s">
        <v>2361</v>
      </c>
      <c r="AB325" s="3" t="s">
        <v>2362</v>
      </c>
      <c r="AC325" s="3" t="s">
        <v>2375</v>
      </c>
      <c r="AD325" s="3">
        <v>3217120210790000</v>
      </c>
      <c r="AE325" s="3" t="s">
        <v>4190</v>
      </c>
      <c r="AF325" s="3">
        <v>1984</v>
      </c>
      <c r="AG325" s="3" t="s">
        <v>2361</v>
      </c>
      <c r="AH325" s="3" t="s">
        <v>2365</v>
      </c>
      <c r="AI325" s="3" t="s">
        <v>2366</v>
      </c>
      <c r="AJ325" s="3">
        <v>3217124708840010</v>
      </c>
      <c r="AK325" s="3"/>
      <c r="AL325" s="3"/>
      <c r="AM325" s="3" t="s">
        <v>2367</v>
      </c>
      <c r="AN325" s="3"/>
      <c r="AO325" s="3"/>
      <c r="AP325" s="3"/>
      <c r="AQ325" s="3" t="s">
        <v>5148</v>
      </c>
      <c r="AR325" s="3"/>
      <c r="AS325" s="3"/>
      <c r="AT325" s="3" t="s">
        <v>2359</v>
      </c>
      <c r="AU325" s="3"/>
      <c r="AV325" s="3">
        <v>0</v>
      </c>
      <c r="AW325" s="3"/>
      <c r="AX325" s="3" t="s">
        <v>4833</v>
      </c>
      <c r="AY325" s="3"/>
      <c r="AZ325" s="3"/>
      <c r="BA325" s="3"/>
      <c r="BB325" s="3" t="s">
        <v>2369</v>
      </c>
      <c r="BC325" s="3" t="s">
        <v>2370</v>
      </c>
      <c r="BD325" s="3" t="s">
        <v>2371</v>
      </c>
      <c r="BE325" s="3" t="s">
        <v>2372</v>
      </c>
      <c r="BF325" s="3">
        <v>2</v>
      </c>
      <c r="BG325" s="3">
        <v>-6.9676999999999998</v>
      </c>
      <c r="BH325" s="3">
        <v>107.4117</v>
      </c>
      <c r="BI325" s="3"/>
      <c r="BJ325" s="3">
        <v>39</v>
      </c>
      <c r="BK325" s="3">
        <v>138</v>
      </c>
      <c r="BL325" s="3">
        <v>53</v>
      </c>
      <c r="BM325" s="3">
        <v>1</v>
      </c>
      <c r="BN325" s="3">
        <v>4</v>
      </c>
    </row>
    <row r="326" spans="1:66" s="219" customFormat="1" hidden="1" x14ac:dyDescent="0.3">
      <c r="A326" s="54">
        <v>320</v>
      </c>
      <c r="B326" s="54" t="s">
        <v>1880</v>
      </c>
      <c r="C326" s="54" t="s">
        <v>1529</v>
      </c>
      <c r="D326" s="54" t="s">
        <v>52</v>
      </c>
      <c r="E326" s="54">
        <v>91294670</v>
      </c>
      <c r="F326" s="54" t="s">
        <v>2377</v>
      </c>
      <c r="G326" s="108">
        <v>39889</v>
      </c>
      <c r="H326" s="54">
        <v>3217111703090000</v>
      </c>
      <c r="I326" s="54" t="s">
        <v>2353</v>
      </c>
      <c r="J326" s="54" t="s">
        <v>3623</v>
      </c>
      <c r="K326" s="54">
        <v>6</v>
      </c>
      <c r="L326" s="54">
        <v>2</v>
      </c>
      <c r="M326" s="54"/>
      <c r="N326" s="54" t="s">
        <v>3105</v>
      </c>
      <c r="O326" s="54" t="s">
        <v>2426</v>
      </c>
      <c r="P326" s="54">
        <v>40562</v>
      </c>
      <c r="Q326" s="54" t="s">
        <v>2357</v>
      </c>
      <c r="R326" s="54" t="s">
        <v>2358</v>
      </c>
      <c r="S326" s="54"/>
      <c r="T326" s="54">
        <v>85860177200</v>
      </c>
      <c r="U326" s="54"/>
      <c r="V326" s="54"/>
      <c r="W326" s="54" t="s">
        <v>2369</v>
      </c>
      <c r="X326" s="54" t="s">
        <v>3624</v>
      </c>
      <c r="Y326" s="54" t="s">
        <v>3625</v>
      </c>
      <c r="Z326" s="54">
        <v>1968</v>
      </c>
      <c r="AA326" s="54" t="s">
        <v>2361</v>
      </c>
      <c r="AB326" s="54" t="s">
        <v>2362</v>
      </c>
      <c r="AC326" s="54" t="s">
        <v>2403</v>
      </c>
      <c r="AD326" s="54">
        <v>3217111212680010</v>
      </c>
      <c r="AE326" s="54" t="s">
        <v>3626</v>
      </c>
      <c r="AF326" s="54">
        <v>1968</v>
      </c>
      <c r="AG326" s="54" t="s">
        <v>2361</v>
      </c>
      <c r="AH326" s="54" t="s">
        <v>2365</v>
      </c>
      <c r="AI326" s="54" t="s">
        <v>2366</v>
      </c>
      <c r="AJ326" s="54">
        <v>3217115109680000</v>
      </c>
      <c r="AK326" s="54"/>
      <c r="AL326" s="54"/>
      <c r="AM326" s="54"/>
      <c r="AN326" s="54"/>
      <c r="AO326" s="54"/>
      <c r="AP326" s="54"/>
      <c r="AQ326" s="54" t="s">
        <v>5147</v>
      </c>
      <c r="AR326" s="54"/>
      <c r="AS326" s="54"/>
      <c r="AT326" s="54" t="s">
        <v>2359</v>
      </c>
      <c r="AU326" s="54"/>
      <c r="AV326" s="54">
        <v>0</v>
      </c>
      <c r="AW326" s="54"/>
      <c r="AX326" s="54"/>
      <c r="AY326" s="54"/>
      <c r="AZ326" s="54"/>
      <c r="BA326" s="54"/>
      <c r="BB326" s="54" t="s">
        <v>2369</v>
      </c>
      <c r="BC326" s="54" t="s">
        <v>2443</v>
      </c>
      <c r="BD326" s="54" t="s">
        <v>2371</v>
      </c>
      <c r="BE326" s="54"/>
      <c r="BF326" s="54">
        <v>1</v>
      </c>
      <c r="BG326" s="54">
        <v>-6.9668999999999999</v>
      </c>
      <c r="BH326" s="54">
        <v>107.4242</v>
      </c>
      <c r="BI326" s="54"/>
      <c r="BJ326" s="54">
        <v>36</v>
      </c>
      <c r="BK326" s="54">
        <v>142</v>
      </c>
      <c r="BL326" s="54">
        <v>55</v>
      </c>
      <c r="BM326" s="54">
        <v>3</v>
      </c>
      <c r="BN326" s="54">
        <v>1</v>
      </c>
    </row>
    <row r="327" spans="1:66" s="219" customFormat="1" hidden="1" x14ac:dyDescent="0.3">
      <c r="A327" s="54">
        <v>321</v>
      </c>
      <c r="B327" s="54" t="s">
        <v>2064</v>
      </c>
      <c r="C327" s="54" t="s">
        <v>2111</v>
      </c>
      <c r="D327" s="54" t="s">
        <v>52</v>
      </c>
      <c r="E327" s="54">
        <v>91276476</v>
      </c>
      <c r="F327" s="54" t="s">
        <v>2468</v>
      </c>
      <c r="G327" s="108">
        <v>39991</v>
      </c>
      <c r="H327" s="54">
        <v>3175092706091000</v>
      </c>
      <c r="I327" s="54" t="s">
        <v>2353</v>
      </c>
      <c r="J327" s="54" t="s">
        <v>2469</v>
      </c>
      <c r="K327" s="54">
        <v>2</v>
      </c>
      <c r="L327" s="54">
        <v>2</v>
      </c>
      <c r="M327" s="54" t="s">
        <v>2469</v>
      </c>
      <c r="N327" s="54" t="s">
        <v>2355</v>
      </c>
      <c r="O327" s="54" t="s">
        <v>2356</v>
      </c>
      <c r="P327" s="54">
        <v>40564</v>
      </c>
      <c r="Q327" s="54" t="s">
        <v>2470</v>
      </c>
      <c r="R327" s="54" t="s">
        <v>2358</v>
      </c>
      <c r="S327" s="54"/>
      <c r="T327" s="54">
        <v>83195633301</v>
      </c>
      <c r="U327" s="54"/>
      <c r="V327" s="54"/>
      <c r="W327" s="54" t="s">
        <v>2359</v>
      </c>
      <c r="X327" s="54"/>
      <c r="Y327" s="54" t="s">
        <v>2471</v>
      </c>
      <c r="Z327" s="54">
        <v>1980</v>
      </c>
      <c r="AA327" s="54" t="s">
        <v>2390</v>
      </c>
      <c r="AB327" s="54" t="s">
        <v>2472</v>
      </c>
      <c r="AC327" s="54" t="s">
        <v>2403</v>
      </c>
      <c r="AD327" s="54">
        <v>3175090311800010</v>
      </c>
      <c r="AE327" s="54" t="s">
        <v>2473</v>
      </c>
      <c r="AF327" s="54">
        <v>1982</v>
      </c>
      <c r="AG327" s="54" t="s">
        <v>2390</v>
      </c>
      <c r="AH327" s="54" t="s">
        <v>2474</v>
      </c>
      <c r="AI327" s="54" t="s">
        <v>2366</v>
      </c>
      <c r="AJ327" s="54">
        <v>3175096605820010</v>
      </c>
      <c r="AK327" s="54" t="s">
        <v>2475</v>
      </c>
      <c r="AL327" s="54">
        <v>1940</v>
      </c>
      <c r="AM327" s="54" t="s">
        <v>2361</v>
      </c>
      <c r="AN327" s="54" t="s">
        <v>2362</v>
      </c>
      <c r="AO327" s="54" t="s">
        <v>2403</v>
      </c>
      <c r="AP327" s="54">
        <v>3217400712400000</v>
      </c>
      <c r="AQ327" s="54" t="s">
        <v>8185</v>
      </c>
      <c r="AR327" s="54"/>
      <c r="AS327" s="54"/>
      <c r="AT327" s="54" t="s">
        <v>2359</v>
      </c>
      <c r="AU327" s="54"/>
      <c r="AV327" s="54">
        <v>1</v>
      </c>
      <c r="AW327" s="54"/>
      <c r="AX327" s="54" t="s">
        <v>2476</v>
      </c>
      <c r="AY327" s="54"/>
      <c r="AZ327" s="54"/>
      <c r="BA327" s="54"/>
      <c r="BB327" s="54" t="s">
        <v>2369</v>
      </c>
      <c r="BC327" s="54" t="s">
        <v>2370</v>
      </c>
      <c r="BD327" s="54" t="s">
        <v>2371</v>
      </c>
      <c r="BE327" s="54" t="s">
        <v>2477</v>
      </c>
      <c r="BF327" s="54">
        <v>2</v>
      </c>
      <c r="BG327" s="54">
        <v>-6.9661</v>
      </c>
      <c r="BH327" s="54">
        <v>107.4057</v>
      </c>
      <c r="BI327" s="54">
        <v>3175090807110020</v>
      </c>
      <c r="BJ327" s="54">
        <v>56</v>
      </c>
      <c r="BK327" s="54">
        <v>143</v>
      </c>
      <c r="BL327" s="54">
        <v>0</v>
      </c>
      <c r="BM327" s="54">
        <v>0</v>
      </c>
      <c r="BN327" s="54">
        <v>0</v>
      </c>
    </row>
    <row r="328" spans="1:66" hidden="1" x14ac:dyDescent="0.3">
      <c r="A328" s="3">
        <v>322</v>
      </c>
      <c r="B328" s="3" t="s">
        <v>4834</v>
      </c>
      <c r="C328" s="3" t="s">
        <v>4245</v>
      </c>
      <c r="D328" s="3" t="s">
        <v>52</v>
      </c>
      <c r="E328" s="3">
        <v>103432430</v>
      </c>
      <c r="F328" s="3" t="s">
        <v>2377</v>
      </c>
      <c r="G328" s="157">
        <v>40413</v>
      </c>
      <c r="H328" s="3">
        <v>3217122308100000</v>
      </c>
      <c r="I328" s="3" t="s">
        <v>2353</v>
      </c>
      <c r="J328" s="3" t="s">
        <v>4723</v>
      </c>
      <c r="K328" s="3">
        <v>1</v>
      </c>
      <c r="L328" s="3">
        <v>2</v>
      </c>
      <c r="M328" s="3"/>
      <c r="N328" s="3" t="s">
        <v>4475</v>
      </c>
      <c r="O328" s="3" t="s">
        <v>2356</v>
      </c>
      <c r="P328" s="3">
        <v>40564</v>
      </c>
      <c r="Q328" s="3" t="s">
        <v>2357</v>
      </c>
      <c r="R328" s="3" t="s">
        <v>2358</v>
      </c>
      <c r="S328" s="3"/>
      <c r="T328" s="3">
        <v>81572358545</v>
      </c>
      <c r="U328" s="3"/>
      <c r="V328" s="3"/>
      <c r="W328" s="3" t="s">
        <v>2359</v>
      </c>
      <c r="X328" s="3"/>
      <c r="Y328" s="3" t="s">
        <v>4005</v>
      </c>
      <c r="Z328" s="3">
        <v>1979</v>
      </c>
      <c r="AA328" s="3" t="s">
        <v>2361</v>
      </c>
      <c r="AB328" s="3" t="s">
        <v>2362</v>
      </c>
      <c r="AC328" s="3" t="s">
        <v>2403</v>
      </c>
      <c r="AD328" s="3">
        <v>3217121007790010</v>
      </c>
      <c r="AE328" s="3" t="s">
        <v>2608</v>
      </c>
      <c r="AF328" s="3">
        <v>1984</v>
      </c>
      <c r="AG328" s="3" t="s">
        <v>2361</v>
      </c>
      <c r="AH328" s="3" t="s">
        <v>2365</v>
      </c>
      <c r="AI328" s="3" t="s">
        <v>2366</v>
      </c>
      <c r="AJ328" s="3">
        <v>3217124711840020</v>
      </c>
      <c r="AK328" s="3"/>
      <c r="AL328" s="3"/>
      <c r="AM328" s="3" t="s">
        <v>2367</v>
      </c>
      <c r="AN328" s="3"/>
      <c r="AO328" s="3"/>
      <c r="AP328" s="3"/>
      <c r="AQ328" s="3" t="s">
        <v>5146</v>
      </c>
      <c r="AR328" s="3"/>
      <c r="AS328" s="3"/>
      <c r="AT328" s="3" t="s">
        <v>2359</v>
      </c>
      <c r="AU328" s="3"/>
      <c r="AV328" s="3">
        <v>1</v>
      </c>
      <c r="AW328" s="3"/>
      <c r="AX328" s="3" t="s">
        <v>4835</v>
      </c>
      <c r="AY328" s="3"/>
      <c r="AZ328" s="3"/>
      <c r="BA328" s="3"/>
      <c r="BB328" s="3" t="s">
        <v>2369</v>
      </c>
      <c r="BC328" s="3" t="s">
        <v>2370</v>
      </c>
      <c r="BD328" s="3" t="s">
        <v>2371</v>
      </c>
      <c r="BE328" s="3" t="s">
        <v>2477</v>
      </c>
      <c r="BF328" s="3">
        <v>2</v>
      </c>
      <c r="BG328" s="3">
        <v>-6.9661</v>
      </c>
      <c r="BH328" s="3">
        <v>107.4057</v>
      </c>
      <c r="BI328" s="3">
        <v>3217121807120040</v>
      </c>
      <c r="BJ328" s="3">
        <v>58</v>
      </c>
      <c r="BK328" s="3">
        <v>145</v>
      </c>
      <c r="BL328" s="3">
        <v>55</v>
      </c>
      <c r="BM328" s="3">
        <v>1</v>
      </c>
      <c r="BN328" s="3">
        <v>2</v>
      </c>
    </row>
    <row r="329" spans="1:66" s="219" customFormat="1" hidden="1" x14ac:dyDescent="0.3">
      <c r="A329" s="54">
        <v>323</v>
      </c>
      <c r="B329" s="54" t="s">
        <v>2292</v>
      </c>
      <c r="C329" s="54" t="s">
        <v>2295</v>
      </c>
      <c r="D329" s="54" t="s">
        <v>52</v>
      </c>
      <c r="E329" s="54">
        <v>92213923</v>
      </c>
      <c r="F329" s="54" t="s">
        <v>2373</v>
      </c>
      <c r="G329" s="108">
        <v>40090</v>
      </c>
      <c r="H329" s="54">
        <v>3217110410090000</v>
      </c>
      <c r="I329" s="54" t="s">
        <v>2353</v>
      </c>
      <c r="J329" s="54" t="s">
        <v>4738</v>
      </c>
      <c r="K329" s="54">
        <v>1</v>
      </c>
      <c r="L329" s="54">
        <v>9</v>
      </c>
      <c r="M329" s="54" t="s">
        <v>4739</v>
      </c>
      <c r="N329" s="54" t="s">
        <v>2571</v>
      </c>
      <c r="O329" s="54" t="s">
        <v>2426</v>
      </c>
      <c r="P329" s="54">
        <v>40562</v>
      </c>
      <c r="Q329" s="54" t="s">
        <v>2357</v>
      </c>
      <c r="R329" s="54" t="s">
        <v>2374</v>
      </c>
      <c r="S329" s="54"/>
      <c r="T329" s="54">
        <v>82218593275</v>
      </c>
      <c r="U329" s="54"/>
      <c r="V329" s="54"/>
      <c r="W329" s="54" t="s">
        <v>2359</v>
      </c>
      <c r="X329" s="54"/>
      <c r="Y329" s="54" t="s">
        <v>2828</v>
      </c>
      <c r="Z329" s="54">
        <v>1986</v>
      </c>
      <c r="AA329" s="54" t="s">
        <v>2390</v>
      </c>
      <c r="AB329" s="54" t="s">
        <v>2362</v>
      </c>
      <c r="AC329" s="54" t="s">
        <v>2403</v>
      </c>
      <c r="AD329" s="54">
        <v>3217111212860020</v>
      </c>
      <c r="AE329" s="54" t="s">
        <v>4836</v>
      </c>
      <c r="AF329" s="54">
        <v>1990</v>
      </c>
      <c r="AG329" s="54" t="s">
        <v>2361</v>
      </c>
      <c r="AH329" s="54" t="s">
        <v>2365</v>
      </c>
      <c r="AI329" s="54" t="s">
        <v>2366</v>
      </c>
      <c r="AJ329" s="54">
        <v>3217115410850000</v>
      </c>
      <c r="AK329" s="54"/>
      <c r="AL329" s="54"/>
      <c r="AM329" s="54" t="s">
        <v>2367</v>
      </c>
      <c r="AN329" s="54"/>
      <c r="AO329" s="54"/>
      <c r="AP329" s="54"/>
      <c r="AQ329" s="54" t="s">
        <v>8179</v>
      </c>
      <c r="AR329" s="54"/>
      <c r="AS329" s="54" t="s">
        <v>4837</v>
      </c>
      <c r="AT329" s="54" t="s">
        <v>2359</v>
      </c>
      <c r="AU329" s="54"/>
      <c r="AV329" s="54">
        <v>0</v>
      </c>
      <c r="AW329" s="54"/>
      <c r="AX329" s="54" t="s">
        <v>4838</v>
      </c>
      <c r="AY329" s="54"/>
      <c r="AZ329" s="54"/>
      <c r="BA329" s="54"/>
      <c r="BB329" s="54" t="s">
        <v>2369</v>
      </c>
      <c r="BC329" s="54" t="s">
        <v>2370</v>
      </c>
      <c r="BD329" s="54" t="s">
        <v>2371</v>
      </c>
      <c r="BE329" s="54" t="s">
        <v>4742</v>
      </c>
      <c r="BF329" s="54">
        <v>1</v>
      </c>
      <c r="BG329" s="54">
        <v>-6.9351000000000003</v>
      </c>
      <c r="BH329" s="54">
        <v>107.38939999999999</v>
      </c>
      <c r="BI329" s="54">
        <v>3217112302090020</v>
      </c>
      <c r="BJ329" s="54">
        <v>40</v>
      </c>
      <c r="BK329" s="54">
        <v>145</v>
      </c>
      <c r="BL329" s="54">
        <v>59</v>
      </c>
      <c r="BM329" s="54">
        <v>1</v>
      </c>
      <c r="BN329" s="54">
        <v>4</v>
      </c>
    </row>
    <row r="330" spans="1:66" s="219" customFormat="1" hidden="1" x14ac:dyDescent="0.3">
      <c r="A330" s="54">
        <v>324</v>
      </c>
      <c r="B330" s="54" t="s">
        <v>4839</v>
      </c>
      <c r="C330" s="54" t="s">
        <v>2283</v>
      </c>
      <c r="D330" s="54" t="s">
        <v>52</v>
      </c>
      <c r="E330" s="54">
        <v>94439246</v>
      </c>
      <c r="F330" s="54" t="s">
        <v>2373</v>
      </c>
      <c r="G330" s="108">
        <v>39998</v>
      </c>
      <c r="H330" s="54">
        <v>3217110407090000</v>
      </c>
      <c r="I330" s="54" t="s">
        <v>2353</v>
      </c>
      <c r="J330" s="54" t="s">
        <v>2582</v>
      </c>
      <c r="K330" s="54">
        <v>3</v>
      </c>
      <c r="L330" s="54">
        <v>14</v>
      </c>
      <c r="M330" s="54" t="s">
        <v>2582</v>
      </c>
      <c r="N330" s="54" t="s">
        <v>2425</v>
      </c>
      <c r="O330" s="54" t="s">
        <v>2426</v>
      </c>
      <c r="P330" s="54">
        <v>40562</v>
      </c>
      <c r="Q330" s="54" t="s">
        <v>2357</v>
      </c>
      <c r="R330" s="54" t="s">
        <v>2358</v>
      </c>
      <c r="S330" s="54"/>
      <c r="T330" s="54">
        <v>83825711985</v>
      </c>
      <c r="U330" s="54"/>
      <c r="V330" s="54"/>
      <c r="W330" s="54" t="s">
        <v>2359</v>
      </c>
      <c r="X330" s="54"/>
      <c r="Y330" s="54" t="s">
        <v>4840</v>
      </c>
      <c r="Z330" s="54">
        <v>1989</v>
      </c>
      <c r="AA330" s="54" t="s">
        <v>2402</v>
      </c>
      <c r="AB330" s="54" t="s">
        <v>2362</v>
      </c>
      <c r="AC330" s="54" t="s">
        <v>2403</v>
      </c>
      <c r="AD330" s="54"/>
      <c r="AE330" s="54" t="s">
        <v>4841</v>
      </c>
      <c r="AF330" s="54">
        <v>1990</v>
      </c>
      <c r="AG330" s="54" t="s">
        <v>2402</v>
      </c>
      <c r="AH330" s="54" t="s">
        <v>2365</v>
      </c>
      <c r="AI330" s="54" t="s">
        <v>2366</v>
      </c>
      <c r="AJ330" s="54"/>
      <c r="AK330" s="54"/>
      <c r="AL330" s="54"/>
      <c r="AM330" s="54" t="s">
        <v>2367</v>
      </c>
      <c r="AN330" s="54"/>
      <c r="AO330" s="54"/>
      <c r="AP330" s="54"/>
      <c r="AQ330" s="54" t="s">
        <v>8179</v>
      </c>
      <c r="AR330" s="54"/>
      <c r="AS330" s="54"/>
      <c r="AT330" s="54" t="s">
        <v>2359</v>
      </c>
      <c r="AU330" s="54"/>
      <c r="AV330" s="54">
        <v>0</v>
      </c>
      <c r="AW330" s="54"/>
      <c r="AX330" s="54" t="s">
        <v>4842</v>
      </c>
      <c r="AY330" s="54"/>
      <c r="AZ330" s="54"/>
      <c r="BA330" s="54"/>
      <c r="BB330" s="54" t="s">
        <v>2369</v>
      </c>
      <c r="BC330" s="54" t="s">
        <v>2370</v>
      </c>
      <c r="BD330" s="54" t="s">
        <v>2371</v>
      </c>
      <c r="BE330" s="54" t="s">
        <v>2430</v>
      </c>
      <c r="BF330" s="54">
        <v>2</v>
      </c>
      <c r="BG330" s="54">
        <v>-6.9514541999999997</v>
      </c>
      <c r="BH330" s="54">
        <v>107.4179645</v>
      </c>
      <c r="BI330" s="54"/>
      <c r="BJ330" s="54">
        <v>53</v>
      </c>
      <c r="BK330" s="54">
        <v>147</v>
      </c>
      <c r="BL330" s="54">
        <v>61</v>
      </c>
      <c r="BM330" s="54">
        <v>1</v>
      </c>
      <c r="BN330" s="54">
        <v>2</v>
      </c>
    </row>
    <row r="331" spans="1:66" s="219" customFormat="1" hidden="1" x14ac:dyDescent="0.3">
      <c r="A331" s="54">
        <v>325</v>
      </c>
      <c r="B331" s="54" t="s">
        <v>1777</v>
      </c>
      <c r="C331" s="54" t="s">
        <v>1412</v>
      </c>
      <c r="D331" s="54" t="s">
        <v>52</v>
      </c>
      <c r="E331" s="54">
        <v>93623692</v>
      </c>
      <c r="F331" s="54" t="s">
        <v>2377</v>
      </c>
      <c r="G331" s="108">
        <v>39878</v>
      </c>
      <c r="H331" s="54">
        <v>3217120603090000</v>
      </c>
      <c r="I331" s="54" t="s">
        <v>2353</v>
      </c>
      <c r="J331" s="54" t="s">
        <v>3171</v>
      </c>
      <c r="K331" s="54">
        <v>2</v>
      </c>
      <c r="L331" s="54">
        <v>13</v>
      </c>
      <c r="M331" s="54"/>
      <c r="N331" s="54" t="s">
        <v>4475</v>
      </c>
      <c r="O331" s="54" t="s">
        <v>2356</v>
      </c>
      <c r="P331" s="54">
        <v>40764</v>
      </c>
      <c r="Q331" s="54" t="s">
        <v>2357</v>
      </c>
      <c r="R331" s="54" t="s">
        <v>2358</v>
      </c>
      <c r="S331" s="54"/>
      <c r="T331" s="54">
        <v>83894514853</v>
      </c>
      <c r="U331" s="54"/>
      <c r="V331" s="54"/>
      <c r="W331" s="54" t="s">
        <v>2369</v>
      </c>
      <c r="X331" s="54" t="s">
        <v>3172</v>
      </c>
      <c r="Y331" s="54" t="s">
        <v>3173</v>
      </c>
      <c r="Z331" s="54">
        <v>1974</v>
      </c>
      <c r="AA331" s="54" t="s">
        <v>2390</v>
      </c>
      <c r="AB331" s="54" t="s">
        <v>2362</v>
      </c>
      <c r="AC331" s="54" t="s">
        <v>2363</v>
      </c>
      <c r="AD331" s="54">
        <v>3217120203740010</v>
      </c>
      <c r="AE331" s="54" t="s">
        <v>2552</v>
      </c>
      <c r="AF331" s="54">
        <v>1969</v>
      </c>
      <c r="AG331" s="54" t="s">
        <v>2361</v>
      </c>
      <c r="AH331" s="54" t="s">
        <v>2365</v>
      </c>
      <c r="AI331" s="54" t="s">
        <v>2366</v>
      </c>
      <c r="AJ331" s="54">
        <v>3217124908690000</v>
      </c>
      <c r="AK331" s="54"/>
      <c r="AL331" s="54"/>
      <c r="AM331" s="54"/>
      <c r="AN331" s="54"/>
      <c r="AO331" s="54"/>
      <c r="AP331" s="54"/>
      <c r="AQ331" s="54" t="s">
        <v>5147</v>
      </c>
      <c r="AR331" s="54"/>
      <c r="AS331" s="54"/>
      <c r="AT331" s="54" t="s">
        <v>2359</v>
      </c>
      <c r="AU331" s="54"/>
      <c r="AV331" s="54">
        <v>0</v>
      </c>
      <c r="AW331" s="54" t="s">
        <v>3174</v>
      </c>
      <c r="AX331" s="54" t="s">
        <v>4843</v>
      </c>
      <c r="AY331" s="54"/>
      <c r="AZ331" s="54"/>
      <c r="BA331" s="54"/>
      <c r="BB331" s="54" t="s">
        <v>2369</v>
      </c>
      <c r="BC331" s="54" t="s">
        <v>2443</v>
      </c>
      <c r="BD331" s="54" t="s">
        <v>2371</v>
      </c>
      <c r="BE331" s="54" t="s">
        <v>3157</v>
      </c>
      <c r="BF331" s="54">
        <v>2</v>
      </c>
      <c r="BG331" s="54">
        <v>-6.9676999999999998</v>
      </c>
      <c r="BH331" s="54">
        <v>107.4117</v>
      </c>
      <c r="BI331" s="54">
        <v>3217121609120140</v>
      </c>
      <c r="BJ331" s="54">
        <v>43</v>
      </c>
      <c r="BK331" s="54">
        <v>146</v>
      </c>
      <c r="BL331" s="54">
        <v>56</v>
      </c>
      <c r="BM331" s="54">
        <v>2</v>
      </c>
      <c r="BN331" s="54">
        <v>3</v>
      </c>
    </row>
    <row r="332" spans="1:66" s="219" customFormat="1" hidden="1" x14ac:dyDescent="0.3">
      <c r="A332" s="54">
        <v>326</v>
      </c>
      <c r="B332" s="54" t="s">
        <v>1802</v>
      </c>
      <c r="C332" s="54" t="s">
        <v>1440</v>
      </c>
      <c r="D332" s="54" t="s">
        <v>52</v>
      </c>
      <c r="E332" s="54">
        <v>91650670</v>
      </c>
      <c r="F332" s="54" t="s">
        <v>2377</v>
      </c>
      <c r="G332" s="108">
        <v>40000</v>
      </c>
      <c r="H332" s="54">
        <v>3217120607090000</v>
      </c>
      <c r="I332" s="54" t="s">
        <v>2353</v>
      </c>
      <c r="J332" s="54" t="s">
        <v>3278</v>
      </c>
      <c r="K332" s="54">
        <v>1</v>
      </c>
      <c r="L332" s="54">
        <v>5</v>
      </c>
      <c r="M332" s="54"/>
      <c r="N332" s="54" t="s">
        <v>2513</v>
      </c>
      <c r="O332" s="54" t="s">
        <v>2356</v>
      </c>
      <c r="P332" s="54">
        <v>40564</v>
      </c>
      <c r="Q332" s="54" t="s">
        <v>2357</v>
      </c>
      <c r="R332" s="54" t="s">
        <v>2358</v>
      </c>
      <c r="S332" s="54"/>
      <c r="T332" s="54">
        <v>859111460187</v>
      </c>
      <c r="U332" s="54"/>
      <c r="V332" s="54"/>
      <c r="W332" s="54" t="s">
        <v>2359</v>
      </c>
      <c r="X332" s="54" t="s">
        <v>3279</v>
      </c>
      <c r="Y332" s="54" t="s">
        <v>3280</v>
      </c>
      <c r="Z332" s="54">
        <v>1976</v>
      </c>
      <c r="AA332" s="54" t="s">
        <v>2361</v>
      </c>
      <c r="AB332" s="54" t="s">
        <v>2362</v>
      </c>
      <c r="AC332" s="54" t="s">
        <v>2363</v>
      </c>
      <c r="AD332" s="54">
        <v>3217121202760010</v>
      </c>
      <c r="AE332" s="54" t="s">
        <v>3281</v>
      </c>
      <c r="AF332" s="54">
        <v>1982</v>
      </c>
      <c r="AG332" s="54" t="s">
        <v>2361</v>
      </c>
      <c r="AH332" s="54" t="s">
        <v>2365</v>
      </c>
      <c r="AI332" s="54" t="s">
        <v>2366</v>
      </c>
      <c r="AJ332" s="54">
        <v>3217125204820020</v>
      </c>
      <c r="AK332" s="54"/>
      <c r="AL332" s="54"/>
      <c r="AM332" s="54"/>
      <c r="AN332" s="54"/>
      <c r="AO332" s="54"/>
      <c r="AP332" s="54"/>
      <c r="AQ332" s="54" t="s">
        <v>5147</v>
      </c>
      <c r="AR332" s="54"/>
      <c r="AS332" s="54"/>
      <c r="AT332" s="54" t="s">
        <v>2369</v>
      </c>
      <c r="AU332" s="54" t="s">
        <v>3279</v>
      </c>
      <c r="AV332" s="54">
        <v>0</v>
      </c>
      <c r="AW332" s="54"/>
      <c r="AX332" s="54"/>
      <c r="AY332" s="54" t="s">
        <v>2460</v>
      </c>
      <c r="AZ332" s="54">
        <v>411601002904500</v>
      </c>
      <c r="BA332" s="54" t="s">
        <v>1802</v>
      </c>
      <c r="BB332" s="54" t="s">
        <v>2369</v>
      </c>
      <c r="BC332" s="54"/>
      <c r="BD332" s="54" t="s">
        <v>2371</v>
      </c>
      <c r="BE332" s="54"/>
      <c r="BF332" s="54">
        <v>2</v>
      </c>
      <c r="BG332" s="54">
        <v>-6.9676999999999998</v>
      </c>
      <c r="BH332" s="54">
        <v>107.4117</v>
      </c>
      <c r="BI332" s="54">
        <v>3217121609120150</v>
      </c>
      <c r="BJ332" s="54">
        <v>21</v>
      </c>
      <c r="BK332" s="54">
        <v>121</v>
      </c>
      <c r="BL332" s="54">
        <v>54</v>
      </c>
      <c r="BM332" s="54">
        <v>1</v>
      </c>
      <c r="BN332" s="54">
        <v>1</v>
      </c>
    </row>
    <row r="333" spans="1:66" hidden="1" x14ac:dyDescent="0.3">
      <c r="A333" s="3">
        <v>327</v>
      </c>
      <c r="B333" s="3" t="s">
        <v>3853</v>
      </c>
      <c r="C333" s="3" t="s">
        <v>4304</v>
      </c>
      <c r="D333" s="3" t="s">
        <v>52</v>
      </c>
      <c r="E333" s="3">
        <v>115391175</v>
      </c>
      <c r="F333" s="3" t="s">
        <v>2373</v>
      </c>
      <c r="G333" s="157">
        <v>40567</v>
      </c>
      <c r="H333" s="3">
        <v>3217112401110000</v>
      </c>
      <c r="I333" s="3" t="s">
        <v>2353</v>
      </c>
      <c r="J333" s="3" t="s">
        <v>4511</v>
      </c>
      <c r="K333" s="3">
        <v>2</v>
      </c>
      <c r="L333" s="3">
        <v>2</v>
      </c>
      <c r="M333" s="3"/>
      <c r="N333" s="3" t="s">
        <v>3105</v>
      </c>
      <c r="O333" s="3" t="s">
        <v>2426</v>
      </c>
      <c r="P333" s="3"/>
      <c r="Q333" s="3" t="s">
        <v>2357</v>
      </c>
      <c r="R333" s="3" t="s">
        <v>2358</v>
      </c>
      <c r="S333" s="3"/>
      <c r="T333" s="3">
        <v>87877754479</v>
      </c>
      <c r="U333" s="3"/>
      <c r="V333" s="3"/>
      <c r="W333" s="3" t="s">
        <v>2359</v>
      </c>
      <c r="X333" s="3"/>
      <c r="Y333" s="3" t="s">
        <v>4083</v>
      </c>
      <c r="Z333" s="3">
        <v>1970</v>
      </c>
      <c r="AA333" s="3" t="s">
        <v>2367</v>
      </c>
      <c r="AB333" s="3" t="s">
        <v>2493</v>
      </c>
      <c r="AC333" s="3" t="s">
        <v>2403</v>
      </c>
      <c r="AD333" s="3"/>
      <c r="AE333" s="3" t="s">
        <v>4084</v>
      </c>
      <c r="AF333" s="3">
        <v>1982</v>
      </c>
      <c r="AG333" s="3" t="s">
        <v>2367</v>
      </c>
      <c r="AH333" s="3" t="s">
        <v>2365</v>
      </c>
      <c r="AI333" s="3" t="s">
        <v>2366</v>
      </c>
      <c r="AJ333" s="3"/>
      <c r="AK333" s="3"/>
      <c r="AL333" s="3"/>
      <c r="AM333" s="3" t="s">
        <v>2367</v>
      </c>
      <c r="AN333" s="3"/>
      <c r="AO333" s="3"/>
      <c r="AP333" s="3"/>
      <c r="AQ333" s="3" t="s">
        <v>5150</v>
      </c>
      <c r="AR333" s="3"/>
      <c r="AS333" s="3"/>
      <c r="AT333" s="3" t="s">
        <v>2359</v>
      </c>
      <c r="AU333" s="3"/>
      <c r="AV333" s="3">
        <v>0</v>
      </c>
      <c r="AW333" s="3"/>
      <c r="AX333" s="3" t="s">
        <v>4844</v>
      </c>
      <c r="AY333" s="3"/>
      <c r="AZ333" s="3"/>
      <c r="BA333" s="3"/>
      <c r="BB333" s="3" t="s">
        <v>2369</v>
      </c>
      <c r="BC333" s="3" t="s">
        <v>2370</v>
      </c>
      <c r="BD333" s="3" t="s">
        <v>2371</v>
      </c>
      <c r="BE333" s="3" t="s">
        <v>2691</v>
      </c>
      <c r="BF333" s="3">
        <v>1</v>
      </c>
      <c r="BG333" s="3">
        <v>-6.9743000000000004</v>
      </c>
      <c r="BH333" s="3">
        <v>107.43559999999999</v>
      </c>
      <c r="BI333" s="3"/>
      <c r="BJ333" s="3">
        <v>35</v>
      </c>
      <c r="BK333" s="3">
        <v>135</v>
      </c>
      <c r="BL333" s="3">
        <v>0</v>
      </c>
      <c r="BM333" s="3">
        <v>0</v>
      </c>
      <c r="BN333" s="3">
        <v>1</v>
      </c>
    </row>
    <row r="334" spans="1:66" hidden="1" x14ac:dyDescent="0.3">
      <c r="A334" s="3">
        <v>328</v>
      </c>
      <c r="B334" s="3" t="s">
        <v>3800</v>
      </c>
      <c r="C334" s="3" t="s">
        <v>4246</v>
      </c>
      <c r="D334" s="3" t="s">
        <v>52</v>
      </c>
      <c r="E334" s="3">
        <v>101906004</v>
      </c>
      <c r="F334" s="3" t="s">
        <v>2352</v>
      </c>
      <c r="G334" s="157">
        <v>40321</v>
      </c>
      <c r="H334" s="3">
        <v>3217112305100000</v>
      </c>
      <c r="I334" s="3" t="s">
        <v>2353</v>
      </c>
      <c r="J334" s="3" t="s">
        <v>4511</v>
      </c>
      <c r="K334" s="3">
        <v>6</v>
      </c>
      <c r="L334" s="3">
        <v>1</v>
      </c>
      <c r="M334" s="3"/>
      <c r="N334" s="3" t="s">
        <v>3105</v>
      </c>
      <c r="O334" s="3" t="s">
        <v>2426</v>
      </c>
      <c r="P334" s="3">
        <v>40562</v>
      </c>
      <c r="Q334" s="3" t="s">
        <v>2357</v>
      </c>
      <c r="R334" s="3" t="s">
        <v>2358</v>
      </c>
      <c r="S334" s="3"/>
      <c r="T334" s="3">
        <v>83822943200</v>
      </c>
      <c r="U334" s="3"/>
      <c r="V334" s="3"/>
      <c r="W334" s="3" t="s">
        <v>2359</v>
      </c>
      <c r="X334" s="3"/>
      <c r="Y334" s="3" t="s">
        <v>4845</v>
      </c>
      <c r="Z334" s="3">
        <v>1985</v>
      </c>
      <c r="AA334" s="3" t="s">
        <v>2402</v>
      </c>
      <c r="AB334" s="3" t="s">
        <v>2362</v>
      </c>
      <c r="AC334" s="3" t="s">
        <v>2363</v>
      </c>
      <c r="AD334" s="3">
        <v>3217111003850010</v>
      </c>
      <c r="AE334" s="3" t="s">
        <v>4085</v>
      </c>
      <c r="AF334" s="3">
        <v>1984</v>
      </c>
      <c r="AG334" s="3" t="s">
        <v>2361</v>
      </c>
      <c r="AH334" s="3" t="s">
        <v>2365</v>
      </c>
      <c r="AI334" s="3" t="s">
        <v>2366</v>
      </c>
      <c r="AJ334" s="3">
        <v>3217115310840000</v>
      </c>
      <c r="AK334" s="3"/>
      <c r="AL334" s="3"/>
      <c r="AM334" s="3" t="s">
        <v>2367</v>
      </c>
      <c r="AN334" s="3"/>
      <c r="AO334" s="3"/>
      <c r="AP334" s="3"/>
      <c r="AQ334" s="3" t="s">
        <v>5146</v>
      </c>
      <c r="AR334" s="3"/>
      <c r="AS334" s="3"/>
      <c r="AT334" s="3" t="s">
        <v>2359</v>
      </c>
      <c r="AU334" s="3"/>
      <c r="AV334" s="3">
        <v>0</v>
      </c>
      <c r="AW334" s="3"/>
      <c r="AX334" s="3">
        <v>9530014459</v>
      </c>
      <c r="AY334" s="3"/>
      <c r="AZ334" s="3"/>
      <c r="BA334" s="3"/>
      <c r="BB334" s="3" t="s">
        <v>2369</v>
      </c>
      <c r="BC334" s="3" t="s">
        <v>2370</v>
      </c>
      <c r="BD334" s="3" t="s">
        <v>2371</v>
      </c>
      <c r="BE334" s="3" t="s">
        <v>2691</v>
      </c>
      <c r="BF334" s="3">
        <v>1</v>
      </c>
      <c r="BG334" s="3">
        <v>-6.9743000000000004</v>
      </c>
      <c r="BH334" s="3">
        <v>107.43559999999999</v>
      </c>
      <c r="BI334" s="3"/>
      <c r="BJ334" s="3">
        <v>29</v>
      </c>
      <c r="BK334" s="3">
        <v>129</v>
      </c>
      <c r="BL334" s="3">
        <v>54</v>
      </c>
      <c r="BM334" s="3">
        <v>2</v>
      </c>
      <c r="BN334" s="3">
        <v>1</v>
      </c>
    </row>
    <row r="335" spans="1:66" s="219" customFormat="1" hidden="1" x14ac:dyDescent="0.3">
      <c r="A335" s="54">
        <v>329</v>
      </c>
      <c r="B335" s="54" t="s">
        <v>2610</v>
      </c>
      <c r="C335" s="54" t="s">
        <v>2145</v>
      </c>
      <c r="D335" s="54" t="s">
        <v>52</v>
      </c>
      <c r="E335" s="54">
        <v>99684285</v>
      </c>
      <c r="F335" s="54" t="s">
        <v>2373</v>
      </c>
      <c r="G335" s="108">
        <v>40153</v>
      </c>
      <c r="H335" s="54">
        <v>3217110612090000</v>
      </c>
      <c r="I335" s="54" t="s">
        <v>2353</v>
      </c>
      <c r="J335" s="54" t="s">
        <v>2565</v>
      </c>
      <c r="K335" s="54">
        <v>1</v>
      </c>
      <c r="L335" s="54">
        <v>2</v>
      </c>
      <c r="M335" s="54"/>
      <c r="N335" s="54" t="s">
        <v>2566</v>
      </c>
      <c r="O335" s="54" t="s">
        <v>2426</v>
      </c>
      <c r="P335" s="54">
        <v>40562</v>
      </c>
      <c r="Q335" s="54" t="s">
        <v>2357</v>
      </c>
      <c r="R335" s="54" t="s">
        <v>2358</v>
      </c>
      <c r="S335" s="54"/>
      <c r="T335" s="54">
        <v>87822044492</v>
      </c>
      <c r="U335" s="54"/>
      <c r="V335" s="54"/>
      <c r="W335" s="54" t="s">
        <v>2359</v>
      </c>
      <c r="X335" s="54"/>
      <c r="Y335" s="54" t="s">
        <v>2611</v>
      </c>
      <c r="Z335" s="54">
        <v>1984</v>
      </c>
      <c r="AA335" s="54" t="s">
        <v>2390</v>
      </c>
      <c r="AB335" s="54" t="s">
        <v>2493</v>
      </c>
      <c r="AC335" s="54" t="s">
        <v>2363</v>
      </c>
      <c r="AD335" s="54">
        <v>3217110408840610</v>
      </c>
      <c r="AE335" s="54" t="s">
        <v>2612</v>
      </c>
      <c r="AF335" s="54">
        <v>1987</v>
      </c>
      <c r="AG335" s="54" t="s">
        <v>2390</v>
      </c>
      <c r="AH335" s="54" t="s">
        <v>2365</v>
      </c>
      <c r="AI335" s="54" t="s">
        <v>2366</v>
      </c>
      <c r="AJ335" s="54">
        <v>3217115604870000</v>
      </c>
      <c r="AK335" s="54"/>
      <c r="AL335" s="54"/>
      <c r="AM335" s="54" t="s">
        <v>2367</v>
      </c>
      <c r="AN335" s="54"/>
      <c r="AO335" s="54"/>
      <c r="AP335" s="54"/>
      <c r="AQ335" s="54" t="s">
        <v>8181</v>
      </c>
      <c r="AR335" s="54"/>
      <c r="AS335" s="54"/>
      <c r="AT335" s="54" t="s">
        <v>2359</v>
      </c>
      <c r="AU335" s="54"/>
      <c r="AV335" s="54">
        <v>0</v>
      </c>
      <c r="AW335" s="54"/>
      <c r="AX335" s="54" t="s">
        <v>2613</v>
      </c>
      <c r="AY335" s="54"/>
      <c r="AZ335" s="54"/>
      <c r="BA335" s="54"/>
      <c r="BB335" s="54" t="s">
        <v>2369</v>
      </c>
      <c r="BC335" s="54" t="s">
        <v>2370</v>
      </c>
      <c r="BD335" s="54" t="s">
        <v>2371</v>
      </c>
      <c r="BE335" s="54" t="s">
        <v>4593</v>
      </c>
      <c r="BF335" s="54">
        <v>1</v>
      </c>
      <c r="BG335" s="54">
        <v>-6.9668999999999999</v>
      </c>
      <c r="BH335" s="54">
        <v>107.4242</v>
      </c>
      <c r="BI335" s="54"/>
      <c r="BJ335" s="54">
        <v>45</v>
      </c>
      <c r="BK335" s="54">
        <v>143</v>
      </c>
      <c r="BL335" s="54">
        <v>0</v>
      </c>
      <c r="BM335" s="54">
        <v>0</v>
      </c>
      <c r="BN335" s="54">
        <v>0</v>
      </c>
    </row>
    <row r="336" spans="1:66" s="219" customFormat="1" hidden="1" x14ac:dyDescent="0.3">
      <c r="A336" s="54">
        <v>330</v>
      </c>
      <c r="B336" s="54" t="s">
        <v>1362</v>
      </c>
      <c r="C336" s="54" t="s">
        <v>1472</v>
      </c>
      <c r="D336" s="54" t="s">
        <v>52</v>
      </c>
      <c r="E336" s="54">
        <v>92507271</v>
      </c>
      <c r="F336" s="54" t="s">
        <v>2446</v>
      </c>
      <c r="G336" s="108">
        <v>40087</v>
      </c>
      <c r="H336" s="54">
        <v>3217110110090000</v>
      </c>
      <c r="I336" s="54" t="s">
        <v>2353</v>
      </c>
      <c r="J336" s="54" t="s">
        <v>2565</v>
      </c>
      <c r="K336" s="54">
        <v>6</v>
      </c>
      <c r="L336" s="54">
        <v>1</v>
      </c>
      <c r="M336" s="54"/>
      <c r="N336" s="54" t="s">
        <v>2566</v>
      </c>
      <c r="O336" s="54" t="s">
        <v>2426</v>
      </c>
      <c r="P336" s="54">
        <v>40562</v>
      </c>
      <c r="Q336" s="54" t="s">
        <v>2357</v>
      </c>
      <c r="R336" s="54" t="s">
        <v>2358</v>
      </c>
      <c r="S336" s="54"/>
      <c r="T336" s="54">
        <v>83861627122</v>
      </c>
      <c r="U336" s="54"/>
      <c r="V336" s="54"/>
      <c r="W336" s="54" t="s">
        <v>2359</v>
      </c>
      <c r="X336" s="54"/>
      <c r="Y336" s="54" t="s">
        <v>3388</v>
      </c>
      <c r="Z336" s="54">
        <v>1983</v>
      </c>
      <c r="AA336" s="54" t="s">
        <v>2390</v>
      </c>
      <c r="AB336" s="54" t="s">
        <v>2362</v>
      </c>
      <c r="AC336" s="54" t="s">
        <v>2403</v>
      </c>
      <c r="AD336" s="54"/>
      <c r="AE336" s="54" t="s">
        <v>3389</v>
      </c>
      <c r="AF336" s="54">
        <v>1987</v>
      </c>
      <c r="AG336" s="54" t="s">
        <v>2402</v>
      </c>
      <c r="AH336" s="54" t="s">
        <v>2365</v>
      </c>
      <c r="AI336" s="54" t="s">
        <v>2366</v>
      </c>
      <c r="AJ336" s="54"/>
      <c r="AK336" s="54"/>
      <c r="AL336" s="54"/>
      <c r="AM336" s="54"/>
      <c r="AN336" s="54"/>
      <c r="AO336" s="54"/>
      <c r="AP336" s="54"/>
      <c r="AQ336" s="54" t="s">
        <v>5147</v>
      </c>
      <c r="AR336" s="54"/>
      <c r="AS336" s="54"/>
      <c r="AT336" s="54" t="s">
        <v>2359</v>
      </c>
      <c r="AU336" s="54"/>
      <c r="AV336" s="54">
        <v>0</v>
      </c>
      <c r="AW336" s="54"/>
      <c r="AX336" s="54"/>
      <c r="AY336" s="54"/>
      <c r="AZ336" s="54"/>
      <c r="BA336" s="54"/>
      <c r="BB336" s="54" t="s">
        <v>2369</v>
      </c>
      <c r="BC336" s="54" t="s">
        <v>2370</v>
      </c>
      <c r="BD336" s="54" t="s">
        <v>2371</v>
      </c>
      <c r="BE336" s="54"/>
      <c r="BF336" s="54">
        <v>1</v>
      </c>
      <c r="BG336" s="54">
        <v>-6.9743000000000004</v>
      </c>
      <c r="BH336" s="54">
        <v>107.43559999999999</v>
      </c>
      <c r="BI336" s="54"/>
      <c r="BJ336" s="54">
        <v>30</v>
      </c>
      <c r="BK336" s="54">
        <v>131</v>
      </c>
      <c r="BL336" s="54">
        <v>55</v>
      </c>
      <c r="BM336" s="54">
        <v>2</v>
      </c>
      <c r="BN336" s="54">
        <v>1</v>
      </c>
    </row>
    <row r="337" spans="1:66" hidden="1" x14ac:dyDescent="0.3">
      <c r="A337" s="3">
        <v>331</v>
      </c>
      <c r="B337" s="3" t="s">
        <v>4846</v>
      </c>
      <c r="C337" s="3" t="s">
        <v>4282</v>
      </c>
      <c r="D337" s="3" t="s">
        <v>52</v>
      </c>
      <c r="E337" s="3">
        <v>3108872064</v>
      </c>
      <c r="F337" s="3" t="s">
        <v>2377</v>
      </c>
      <c r="G337" s="157">
        <v>40478</v>
      </c>
      <c r="H337" s="3">
        <v>3217112710100000</v>
      </c>
      <c r="I337" s="3" t="s">
        <v>2353</v>
      </c>
      <c r="J337" s="3" t="s">
        <v>2695</v>
      </c>
      <c r="K337" s="3">
        <v>4</v>
      </c>
      <c r="L337" s="3">
        <v>12</v>
      </c>
      <c r="M337" s="3"/>
      <c r="N337" s="3" t="s">
        <v>4508</v>
      </c>
      <c r="O337" s="3" t="s">
        <v>2426</v>
      </c>
      <c r="P337" s="3">
        <v>40562</v>
      </c>
      <c r="Q337" s="3" t="s">
        <v>2357</v>
      </c>
      <c r="R337" s="3" t="s">
        <v>2358</v>
      </c>
      <c r="S337" s="3"/>
      <c r="T337" s="3"/>
      <c r="U337" s="3"/>
      <c r="V337" s="3"/>
      <c r="W337" s="3" t="s">
        <v>2359</v>
      </c>
      <c r="X337" s="3"/>
      <c r="Y337" s="3" t="s">
        <v>4847</v>
      </c>
      <c r="Z337" s="3">
        <v>1985</v>
      </c>
      <c r="AA337" s="3" t="s">
        <v>2390</v>
      </c>
      <c r="AB337" s="3" t="s">
        <v>2362</v>
      </c>
      <c r="AC337" s="3" t="s">
        <v>2363</v>
      </c>
      <c r="AD337" s="3">
        <v>3217111308850000</v>
      </c>
      <c r="AE337" s="3" t="s">
        <v>4848</v>
      </c>
      <c r="AF337" s="3">
        <v>1981</v>
      </c>
      <c r="AG337" s="3" t="s">
        <v>2390</v>
      </c>
      <c r="AH337" s="3" t="s">
        <v>2365</v>
      </c>
      <c r="AI337" s="3" t="s">
        <v>2366</v>
      </c>
      <c r="AJ337" s="3">
        <v>3217116611881000</v>
      </c>
      <c r="AK337" s="3"/>
      <c r="AL337" s="3"/>
      <c r="AM337" s="3"/>
      <c r="AN337" s="3"/>
      <c r="AO337" s="3"/>
      <c r="AP337" s="3"/>
      <c r="AQ337" s="3" t="s">
        <v>5149</v>
      </c>
      <c r="AR337" s="3"/>
      <c r="AS337" s="3"/>
      <c r="AT337" s="3" t="s">
        <v>2359</v>
      </c>
      <c r="AU337" s="3"/>
      <c r="AV337" s="3">
        <v>1</v>
      </c>
      <c r="AW337" s="3"/>
      <c r="AX337" s="3" t="s">
        <v>4849</v>
      </c>
      <c r="AY337" s="3"/>
      <c r="AZ337" s="3"/>
      <c r="BA337" s="3"/>
      <c r="BB337" s="3" t="s">
        <v>2359</v>
      </c>
      <c r="BC337" s="3"/>
      <c r="BD337" s="3" t="s">
        <v>2371</v>
      </c>
      <c r="BE337" s="3"/>
      <c r="BF337" s="3">
        <v>1</v>
      </c>
      <c r="BG337" s="3">
        <v>-6.9625000000000004</v>
      </c>
      <c r="BH337" s="3">
        <v>107.4346</v>
      </c>
      <c r="BI337" s="3">
        <v>3217112702170010</v>
      </c>
      <c r="BJ337" s="3">
        <v>42</v>
      </c>
      <c r="BK337" s="3">
        <v>133</v>
      </c>
      <c r="BL337" s="3">
        <v>53</v>
      </c>
      <c r="BM337" s="3">
        <v>1</v>
      </c>
      <c r="BN337" s="3">
        <v>2</v>
      </c>
    </row>
    <row r="338" spans="1:66" s="219" customFormat="1" hidden="1" x14ac:dyDescent="0.3">
      <c r="A338" s="54">
        <v>332</v>
      </c>
      <c r="B338" s="54" t="s">
        <v>1803</v>
      </c>
      <c r="C338" s="54" t="s">
        <v>1441</v>
      </c>
      <c r="D338" s="54" t="s">
        <v>52</v>
      </c>
      <c r="E338" s="54">
        <v>3087192170</v>
      </c>
      <c r="F338" s="54" t="s">
        <v>2446</v>
      </c>
      <c r="G338" s="108">
        <v>39621</v>
      </c>
      <c r="H338" s="54">
        <v>3217122206080000</v>
      </c>
      <c r="I338" s="54" t="s">
        <v>2353</v>
      </c>
      <c r="J338" s="54" t="s">
        <v>3282</v>
      </c>
      <c r="K338" s="54">
        <v>1</v>
      </c>
      <c r="L338" s="54">
        <v>2</v>
      </c>
      <c r="M338" s="54" t="s">
        <v>3283</v>
      </c>
      <c r="N338" s="54" t="s">
        <v>2513</v>
      </c>
      <c r="O338" s="54" t="s">
        <v>2356</v>
      </c>
      <c r="P338" s="54">
        <v>40764</v>
      </c>
      <c r="Q338" s="54" t="s">
        <v>2357</v>
      </c>
      <c r="R338" s="54" t="s">
        <v>2374</v>
      </c>
      <c r="S338" s="54"/>
      <c r="T338" s="54"/>
      <c r="U338" s="54"/>
      <c r="V338" s="54"/>
      <c r="W338" s="54" t="s">
        <v>2359</v>
      </c>
      <c r="X338" s="54"/>
      <c r="Y338" s="54"/>
      <c r="Z338" s="54">
        <v>0</v>
      </c>
      <c r="AA338" s="54"/>
      <c r="AB338" s="54"/>
      <c r="AC338" s="54"/>
      <c r="AD338" s="54"/>
      <c r="AE338" s="54" t="s">
        <v>3284</v>
      </c>
      <c r="AF338" s="54">
        <v>0</v>
      </c>
      <c r="AG338" s="54"/>
      <c r="AH338" s="54" t="s">
        <v>2365</v>
      </c>
      <c r="AI338" s="54" t="s">
        <v>2366</v>
      </c>
      <c r="AJ338" s="54"/>
      <c r="AK338" s="54"/>
      <c r="AL338" s="54"/>
      <c r="AM338" s="54"/>
      <c r="AN338" s="54"/>
      <c r="AO338" s="54"/>
      <c r="AP338" s="54"/>
      <c r="AQ338" s="54" t="s">
        <v>5147</v>
      </c>
      <c r="AR338" s="54"/>
      <c r="AS338" s="54"/>
      <c r="AT338" s="54" t="s">
        <v>2359</v>
      </c>
      <c r="AU338" s="54"/>
      <c r="AV338" s="54">
        <v>0</v>
      </c>
      <c r="AW338" s="54"/>
      <c r="AX338" s="54" t="s">
        <v>3285</v>
      </c>
      <c r="AY338" s="54"/>
      <c r="AZ338" s="54"/>
      <c r="BA338" s="54"/>
      <c r="BB338" s="54" t="s">
        <v>2359</v>
      </c>
      <c r="BC338" s="54"/>
      <c r="BD338" s="54" t="s">
        <v>2371</v>
      </c>
      <c r="BE338" s="54"/>
      <c r="BF338" s="54">
        <v>2</v>
      </c>
      <c r="BG338" s="54">
        <v>-6.9625000000000004</v>
      </c>
      <c r="BH338" s="54">
        <v>107.4346</v>
      </c>
      <c r="BI338" s="54">
        <v>3217120908120050</v>
      </c>
      <c r="BJ338" s="54">
        <v>47</v>
      </c>
      <c r="BK338" s="54">
        <v>142</v>
      </c>
      <c r="BL338" s="54">
        <v>59</v>
      </c>
      <c r="BM338" s="54">
        <v>1</v>
      </c>
      <c r="BN338" s="54">
        <v>1</v>
      </c>
    </row>
    <row r="339" spans="1:66" hidden="1" x14ac:dyDescent="0.3">
      <c r="A339" s="3">
        <v>333</v>
      </c>
      <c r="B339" s="3" t="s">
        <v>4850</v>
      </c>
      <c r="C339" s="3" t="s">
        <v>4342</v>
      </c>
      <c r="D339" s="3" t="s">
        <v>52</v>
      </c>
      <c r="E339" s="3">
        <v>101301754</v>
      </c>
      <c r="F339" s="3" t="s">
        <v>2373</v>
      </c>
      <c r="G339" s="157">
        <v>40497</v>
      </c>
      <c r="H339" s="3">
        <v>3217121511100000</v>
      </c>
      <c r="I339" s="3" t="s">
        <v>2353</v>
      </c>
      <c r="J339" s="3" t="s">
        <v>2454</v>
      </c>
      <c r="K339" s="3">
        <v>2</v>
      </c>
      <c r="L339" s="3">
        <v>5</v>
      </c>
      <c r="M339" s="3">
        <v>4</v>
      </c>
      <c r="N339" s="3" t="s">
        <v>4557</v>
      </c>
      <c r="O339" s="3" t="s">
        <v>2356</v>
      </c>
      <c r="P339" s="3">
        <v>40553</v>
      </c>
      <c r="Q339" s="3" t="s">
        <v>2357</v>
      </c>
      <c r="R339" s="3" t="s">
        <v>2374</v>
      </c>
      <c r="S339" s="3"/>
      <c r="T339" s="3">
        <v>83120280942</v>
      </c>
      <c r="U339" s="3"/>
      <c r="V339" s="3"/>
      <c r="W339" s="3" t="s">
        <v>2359</v>
      </c>
      <c r="X339" s="3"/>
      <c r="Y339" s="3" t="s">
        <v>4851</v>
      </c>
      <c r="Z339" s="3">
        <v>1986</v>
      </c>
      <c r="AA339" s="3" t="s">
        <v>2402</v>
      </c>
      <c r="AB339" s="3" t="s">
        <v>2362</v>
      </c>
      <c r="AC339" s="3" t="s">
        <v>2403</v>
      </c>
      <c r="AD339" s="3">
        <v>3217122602860010</v>
      </c>
      <c r="AE339" s="3" t="s">
        <v>4852</v>
      </c>
      <c r="AF339" s="3">
        <v>1989</v>
      </c>
      <c r="AG339" s="3" t="s">
        <v>2361</v>
      </c>
      <c r="AH339" s="3" t="s">
        <v>2365</v>
      </c>
      <c r="AI339" s="3" t="s">
        <v>2366</v>
      </c>
      <c r="AJ339" s="3">
        <v>3217125609890010</v>
      </c>
      <c r="AK339" s="3"/>
      <c r="AL339" s="3"/>
      <c r="AM339" s="3" t="s">
        <v>2367</v>
      </c>
      <c r="AN339" s="3"/>
      <c r="AO339" s="3"/>
      <c r="AP339" s="3"/>
      <c r="AQ339" s="3" t="s">
        <v>5152</v>
      </c>
      <c r="AR339" s="3"/>
      <c r="AS339" s="3" t="s">
        <v>4853</v>
      </c>
      <c r="AT339" s="3" t="s">
        <v>2359</v>
      </c>
      <c r="AU339" s="3"/>
      <c r="AV339" s="3">
        <v>0</v>
      </c>
      <c r="AW339" s="3"/>
      <c r="AX339" s="3" t="s">
        <v>4854</v>
      </c>
      <c r="AY339" s="3"/>
      <c r="AZ339" s="3"/>
      <c r="BA339" s="3"/>
      <c r="BB339" s="3" t="s">
        <v>2369</v>
      </c>
      <c r="BC339" s="3" t="s">
        <v>2370</v>
      </c>
      <c r="BD339" s="3" t="s">
        <v>2371</v>
      </c>
      <c r="BE339" s="3" t="s">
        <v>2880</v>
      </c>
      <c r="BF339" s="3">
        <v>1</v>
      </c>
      <c r="BG339" s="3">
        <v>-6.9513058399999998</v>
      </c>
      <c r="BH339" s="3">
        <v>107.40363120000001</v>
      </c>
      <c r="BI339" s="3">
        <v>3217121112080030</v>
      </c>
      <c r="BJ339" s="3">
        <v>41</v>
      </c>
      <c r="BK339" s="3">
        <v>138</v>
      </c>
      <c r="BL339" s="3">
        <v>49</v>
      </c>
      <c r="BM339" s="3">
        <v>1</v>
      </c>
      <c r="BN339" s="3">
        <v>2</v>
      </c>
    </row>
    <row r="340" spans="1:66" x14ac:dyDescent="0.3">
      <c r="A340" s="3">
        <v>334</v>
      </c>
      <c r="B340" s="3" t="s">
        <v>4855</v>
      </c>
      <c r="C340" s="3" t="s">
        <v>4407</v>
      </c>
      <c r="D340" s="3" t="s">
        <v>52</v>
      </c>
      <c r="E340" s="3">
        <v>105629792</v>
      </c>
      <c r="F340" s="3" t="s">
        <v>2352</v>
      </c>
      <c r="G340" s="157">
        <v>40213</v>
      </c>
      <c r="H340" s="3">
        <v>3204460402090000</v>
      </c>
      <c r="I340" s="3" t="s">
        <v>2353</v>
      </c>
      <c r="J340" s="3" t="s">
        <v>2641</v>
      </c>
      <c r="K340" s="3">
        <v>3</v>
      </c>
      <c r="L340" s="3">
        <v>10</v>
      </c>
      <c r="M340" s="3"/>
      <c r="N340" s="3" t="s">
        <v>4475</v>
      </c>
      <c r="O340" s="3" t="s">
        <v>2356</v>
      </c>
      <c r="P340" s="3">
        <v>40564</v>
      </c>
      <c r="Q340" s="3" t="s">
        <v>2357</v>
      </c>
      <c r="R340" s="3" t="s">
        <v>2358</v>
      </c>
      <c r="S340" s="3"/>
      <c r="T340" s="3">
        <v>85885057814</v>
      </c>
      <c r="U340" s="3"/>
      <c r="V340" s="3"/>
      <c r="W340" s="3" t="s">
        <v>2359</v>
      </c>
      <c r="X340" s="3"/>
      <c r="Y340" s="3" t="s">
        <v>4149</v>
      </c>
      <c r="Z340" s="3">
        <v>1983</v>
      </c>
      <c r="AA340" s="3" t="s">
        <v>2402</v>
      </c>
      <c r="AB340" s="3" t="s">
        <v>2362</v>
      </c>
      <c r="AC340" s="3" t="s">
        <v>2375</v>
      </c>
      <c r="AD340" s="3">
        <v>3204461801830000</v>
      </c>
      <c r="AE340" s="3" t="s">
        <v>4150</v>
      </c>
      <c r="AF340" s="3">
        <v>1989</v>
      </c>
      <c r="AG340" s="3" t="s">
        <v>2402</v>
      </c>
      <c r="AH340" s="3" t="s">
        <v>2365</v>
      </c>
      <c r="AI340" s="3" t="s">
        <v>2366</v>
      </c>
      <c r="AJ340" s="3">
        <v>3204467108890000</v>
      </c>
      <c r="AK340" s="3"/>
      <c r="AL340" s="3"/>
      <c r="AM340" s="3" t="s">
        <v>2367</v>
      </c>
      <c r="AN340" s="3"/>
      <c r="AO340" s="3"/>
      <c r="AP340" s="3"/>
      <c r="AQ340" s="3" t="s">
        <v>5148</v>
      </c>
      <c r="AR340" s="3"/>
      <c r="AS340" s="3"/>
      <c r="AT340" s="3" t="s">
        <v>2359</v>
      </c>
      <c r="AU340" s="3"/>
      <c r="AV340" s="3">
        <v>0</v>
      </c>
      <c r="AW340" s="3" t="s">
        <v>4856</v>
      </c>
      <c r="AX340" s="3" t="s">
        <v>4857</v>
      </c>
      <c r="AY340" s="3"/>
      <c r="AZ340" s="3"/>
      <c r="BA340" s="3"/>
      <c r="BB340" s="3" t="s">
        <v>2369</v>
      </c>
      <c r="BC340" s="3" t="s">
        <v>2370</v>
      </c>
      <c r="BD340" s="3" t="s">
        <v>2371</v>
      </c>
      <c r="BE340" s="3" t="s">
        <v>2372</v>
      </c>
      <c r="BF340" s="3">
        <v>2</v>
      </c>
      <c r="BG340" s="3">
        <v>-6.9676999999999998</v>
      </c>
      <c r="BH340" s="3">
        <v>107.4117</v>
      </c>
      <c r="BI340" s="3"/>
      <c r="BJ340" s="3">
        <v>38</v>
      </c>
      <c r="BK340" s="3">
        <v>138</v>
      </c>
      <c r="BL340" s="3">
        <v>52</v>
      </c>
      <c r="BM340" s="3">
        <v>2</v>
      </c>
      <c r="BN340" s="3">
        <v>2</v>
      </c>
    </row>
    <row r="341" spans="1:66" s="219" customFormat="1" hidden="1" x14ac:dyDescent="0.3">
      <c r="A341" s="54">
        <v>335</v>
      </c>
      <c r="B341" s="54" t="s">
        <v>1906</v>
      </c>
      <c r="C341" s="54" t="s">
        <v>1563</v>
      </c>
      <c r="D341" s="54" t="s">
        <v>52</v>
      </c>
      <c r="E341" s="54">
        <v>91616073</v>
      </c>
      <c r="F341" s="54" t="s">
        <v>2446</v>
      </c>
      <c r="G341" s="108">
        <v>40074</v>
      </c>
      <c r="H341" s="54">
        <v>3217121809090000</v>
      </c>
      <c r="I341" s="54" t="s">
        <v>2353</v>
      </c>
      <c r="J341" s="54" t="s">
        <v>2895</v>
      </c>
      <c r="K341" s="54">
        <v>2</v>
      </c>
      <c r="L341" s="54">
        <v>3</v>
      </c>
      <c r="M341" s="54"/>
      <c r="N341" s="54" t="s">
        <v>2513</v>
      </c>
      <c r="O341" s="54" t="s">
        <v>2356</v>
      </c>
      <c r="P341" s="54">
        <v>40764</v>
      </c>
      <c r="Q341" s="54" t="s">
        <v>2357</v>
      </c>
      <c r="R341" s="54" t="s">
        <v>2358</v>
      </c>
      <c r="S341" s="54"/>
      <c r="T341" s="54">
        <v>81222329414</v>
      </c>
      <c r="U341" s="54"/>
      <c r="V341" s="54"/>
      <c r="W341" s="54" t="s">
        <v>2359</v>
      </c>
      <c r="X341" s="54"/>
      <c r="Y341" s="54" t="s">
        <v>3729</v>
      </c>
      <c r="Z341" s="54">
        <v>1983</v>
      </c>
      <c r="AA341" s="54" t="s">
        <v>2390</v>
      </c>
      <c r="AB341" s="54" t="s">
        <v>2362</v>
      </c>
      <c r="AC341" s="54" t="s">
        <v>2363</v>
      </c>
      <c r="AD341" s="54">
        <v>3217120200636000</v>
      </c>
      <c r="AE341" s="54" t="s">
        <v>3730</v>
      </c>
      <c r="AF341" s="54">
        <v>1988</v>
      </c>
      <c r="AG341" s="54" t="s">
        <v>2361</v>
      </c>
      <c r="AH341" s="54" t="s">
        <v>2365</v>
      </c>
      <c r="AI341" s="54" t="s">
        <v>2366</v>
      </c>
      <c r="AJ341" s="54">
        <v>3217124405386010</v>
      </c>
      <c r="AK341" s="54"/>
      <c r="AL341" s="54"/>
      <c r="AM341" s="54"/>
      <c r="AN341" s="54"/>
      <c r="AO341" s="54"/>
      <c r="AP341" s="54"/>
      <c r="AQ341" s="54" t="s">
        <v>5147</v>
      </c>
      <c r="AR341" s="54"/>
      <c r="AS341" s="54"/>
      <c r="AT341" s="54" t="s">
        <v>2359</v>
      </c>
      <c r="AU341" s="54"/>
      <c r="AV341" s="54">
        <v>0</v>
      </c>
      <c r="AW341" s="54"/>
      <c r="AX341" s="54"/>
      <c r="AY341" s="54"/>
      <c r="AZ341" s="54"/>
      <c r="BA341" s="54"/>
      <c r="BB341" s="54" t="s">
        <v>2369</v>
      </c>
      <c r="BC341" s="54" t="s">
        <v>2370</v>
      </c>
      <c r="BD341" s="54" t="s">
        <v>2371</v>
      </c>
      <c r="BE341" s="54"/>
      <c r="BF341" s="54">
        <v>2</v>
      </c>
      <c r="BG341" s="54">
        <v>-7.0068000000000001</v>
      </c>
      <c r="BH341" s="54">
        <v>107.2349</v>
      </c>
      <c r="BI341" s="54">
        <v>3217121502080010</v>
      </c>
      <c r="BJ341" s="54">
        <v>12</v>
      </c>
      <c r="BK341" s="54">
        <v>123</v>
      </c>
      <c r="BL341" s="54">
        <v>45</v>
      </c>
      <c r="BM341" s="54">
        <v>45</v>
      </c>
      <c r="BN341" s="54">
        <v>1</v>
      </c>
    </row>
    <row r="342" spans="1:66" s="219" customFormat="1" hidden="1" x14ac:dyDescent="0.3">
      <c r="A342" s="54">
        <v>336</v>
      </c>
      <c r="B342" s="54" t="s">
        <v>1366</v>
      </c>
      <c r="C342" s="54" t="s">
        <v>1503</v>
      </c>
      <c r="D342" s="54" t="s">
        <v>52</v>
      </c>
      <c r="E342" s="54">
        <v>97587770</v>
      </c>
      <c r="F342" s="54" t="s">
        <v>2446</v>
      </c>
      <c r="G342" s="108">
        <v>39893</v>
      </c>
      <c r="H342" s="54">
        <v>3217112103090000</v>
      </c>
      <c r="I342" s="54" t="s">
        <v>2353</v>
      </c>
      <c r="J342" s="54" t="s">
        <v>3512</v>
      </c>
      <c r="K342" s="54">
        <v>1</v>
      </c>
      <c r="L342" s="54">
        <v>1</v>
      </c>
      <c r="M342" s="54"/>
      <c r="N342" s="54" t="s">
        <v>2425</v>
      </c>
      <c r="O342" s="54" t="s">
        <v>2426</v>
      </c>
      <c r="P342" s="54">
        <v>40562</v>
      </c>
      <c r="Q342" s="54" t="s">
        <v>2357</v>
      </c>
      <c r="R342" s="54" t="s">
        <v>3513</v>
      </c>
      <c r="S342" s="54"/>
      <c r="T342" s="54">
        <v>83829474045</v>
      </c>
      <c r="U342" s="54"/>
      <c r="V342" s="54"/>
      <c r="W342" s="54" t="s">
        <v>2359</v>
      </c>
      <c r="X342" s="54"/>
      <c r="Y342" s="54" t="s">
        <v>3514</v>
      </c>
      <c r="Z342" s="54">
        <v>1983</v>
      </c>
      <c r="AA342" s="54" t="s">
        <v>2361</v>
      </c>
      <c r="AB342" s="54" t="s">
        <v>2362</v>
      </c>
      <c r="AC342" s="54" t="s">
        <v>2403</v>
      </c>
      <c r="AD342" s="54"/>
      <c r="AE342" s="54" t="s">
        <v>3515</v>
      </c>
      <c r="AF342" s="54">
        <v>1992</v>
      </c>
      <c r="AG342" s="54" t="s">
        <v>2361</v>
      </c>
      <c r="AH342" s="54" t="s">
        <v>2365</v>
      </c>
      <c r="AI342" s="54" t="s">
        <v>2366</v>
      </c>
      <c r="AJ342" s="54"/>
      <c r="AK342" s="54"/>
      <c r="AL342" s="54"/>
      <c r="AM342" s="54" t="s">
        <v>2367</v>
      </c>
      <c r="AN342" s="54"/>
      <c r="AO342" s="54"/>
      <c r="AP342" s="54"/>
      <c r="AQ342" s="54" t="s">
        <v>5147</v>
      </c>
      <c r="AR342" s="54"/>
      <c r="AS342" s="54"/>
      <c r="AT342" s="54" t="s">
        <v>2359</v>
      </c>
      <c r="AU342" s="54"/>
      <c r="AV342" s="54">
        <v>0</v>
      </c>
      <c r="AW342" s="54"/>
      <c r="AX342" s="54"/>
      <c r="AY342" s="54"/>
      <c r="AZ342" s="54"/>
      <c r="BA342" s="54"/>
      <c r="BB342" s="54" t="s">
        <v>2369</v>
      </c>
      <c r="BC342" s="54" t="s">
        <v>2370</v>
      </c>
      <c r="BD342" s="54" t="s">
        <v>2371</v>
      </c>
      <c r="BE342" s="54"/>
      <c r="BF342" s="54">
        <v>1</v>
      </c>
      <c r="BG342" s="54">
        <v>-6.9514541999999997</v>
      </c>
      <c r="BH342" s="54">
        <v>107.4179645</v>
      </c>
      <c r="BI342" s="54"/>
      <c r="BJ342" s="54">
        <v>19</v>
      </c>
      <c r="BK342" s="54">
        <v>119</v>
      </c>
      <c r="BL342" s="54">
        <v>55</v>
      </c>
      <c r="BM342" s="54">
        <v>2</v>
      </c>
      <c r="BN342" s="54">
        <v>1</v>
      </c>
    </row>
    <row r="343" spans="1:66" x14ac:dyDescent="0.3">
      <c r="A343" s="3">
        <v>337</v>
      </c>
      <c r="B343" s="3" t="s">
        <v>4858</v>
      </c>
      <c r="C343" s="3" t="s">
        <v>4408</v>
      </c>
      <c r="D343" s="3" t="s">
        <v>52</v>
      </c>
      <c r="E343" s="3">
        <v>105396522</v>
      </c>
      <c r="F343" s="3" t="s">
        <v>2373</v>
      </c>
      <c r="G343" s="157">
        <v>40475</v>
      </c>
      <c r="H343" s="3">
        <v>3217122410100000</v>
      </c>
      <c r="I343" s="3" t="s">
        <v>2353</v>
      </c>
      <c r="J343" s="3" t="s">
        <v>2757</v>
      </c>
      <c r="K343" s="3">
        <v>1</v>
      </c>
      <c r="L343" s="3">
        <v>12</v>
      </c>
      <c r="M343" s="3"/>
      <c r="N343" s="3" t="s">
        <v>2395</v>
      </c>
      <c r="O343" s="3" t="s">
        <v>2356</v>
      </c>
      <c r="P343" s="3">
        <v>40764</v>
      </c>
      <c r="Q343" s="3" t="s">
        <v>2357</v>
      </c>
      <c r="R343" s="3" t="s">
        <v>2358</v>
      </c>
      <c r="S343" s="3"/>
      <c r="T343" s="3">
        <v>85759358059</v>
      </c>
      <c r="U343" s="3"/>
      <c r="V343" s="3"/>
      <c r="W343" s="3" t="s">
        <v>2359</v>
      </c>
      <c r="X343" s="3"/>
      <c r="Y343" s="3" t="s">
        <v>4859</v>
      </c>
      <c r="Z343" s="3">
        <v>0</v>
      </c>
      <c r="AA343" s="3" t="s">
        <v>2361</v>
      </c>
      <c r="AB343" s="3" t="s">
        <v>2362</v>
      </c>
      <c r="AC343" s="3" t="s">
        <v>2363</v>
      </c>
      <c r="AD343" s="3"/>
      <c r="AE343" s="3" t="s">
        <v>4860</v>
      </c>
      <c r="AF343" s="3">
        <v>1975</v>
      </c>
      <c r="AG343" s="3" t="s">
        <v>2367</v>
      </c>
      <c r="AH343" s="3" t="s">
        <v>2365</v>
      </c>
      <c r="AI343" s="3" t="s">
        <v>2366</v>
      </c>
      <c r="AJ343" s="3">
        <v>3217124604750010</v>
      </c>
      <c r="AK343" s="3"/>
      <c r="AL343" s="3"/>
      <c r="AM343" s="3" t="s">
        <v>2367</v>
      </c>
      <c r="AN343" s="3"/>
      <c r="AO343" s="3"/>
      <c r="AP343" s="3"/>
      <c r="AQ343" s="3" t="s">
        <v>5148</v>
      </c>
      <c r="AR343" s="3"/>
      <c r="AS343" s="3"/>
      <c r="AT343" s="3" t="s">
        <v>2369</v>
      </c>
      <c r="AU343" s="3"/>
      <c r="AV343" s="3">
        <v>0</v>
      </c>
      <c r="AW343" s="3"/>
      <c r="AX343" s="3"/>
      <c r="AY343" s="3"/>
      <c r="AZ343" s="3"/>
      <c r="BA343" s="3"/>
      <c r="BB343" s="3" t="s">
        <v>2369</v>
      </c>
      <c r="BC343" s="3"/>
      <c r="BD343" s="3" t="s">
        <v>2371</v>
      </c>
      <c r="BE343" s="3" t="s">
        <v>2553</v>
      </c>
      <c r="BF343" s="3">
        <v>3</v>
      </c>
      <c r="BG343" s="3">
        <v>-7.0068000000000001</v>
      </c>
      <c r="BH343" s="3">
        <v>107.2349</v>
      </c>
      <c r="BI343" s="3">
        <v>3217122606070030</v>
      </c>
      <c r="BJ343" s="3">
        <v>41</v>
      </c>
      <c r="BK343" s="3">
        <v>143</v>
      </c>
      <c r="BL343" s="3">
        <v>58</v>
      </c>
      <c r="BM343" s="3">
        <v>1</v>
      </c>
      <c r="BN343" s="3">
        <v>2</v>
      </c>
    </row>
    <row r="344" spans="1:66" s="219" customFormat="1" hidden="1" x14ac:dyDescent="0.3">
      <c r="A344" s="54">
        <v>338</v>
      </c>
      <c r="B344" s="54" t="s">
        <v>1907</v>
      </c>
      <c r="C344" s="54" t="s">
        <v>1564</v>
      </c>
      <c r="D344" s="54" t="s">
        <v>52</v>
      </c>
      <c r="E344" s="54">
        <v>93579746</v>
      </c>
      <c r="F344" s="54" t="s">
        <v>2759</v>
      </c>
      <c r="G344" s="108">
        <v>39989</v>
      </c>
      <c r="H344" s="54">
        <v>3217112506090000</v>
      </c>
      <c r="I344" s="54" t="s">
        <v>2353</v>
      </c>
      <c r="J344" s="54" t="s">
        <v>3731</v>
      </c>
      <c r="K344" s="54">
        <v>6</v>
      </c>
      <c r="L344" s="54">
        <v>5</v>
      </c>
      <c r="M344" s="54"/>
      <c r="N344" s="54" t="s">
        <v>2571</v>
      </c>
      <c r="O344" s="54" t="s">
        <v>2426</v>
      </c>
      <c r="P344" s="54">
        <v>40562</v>
      </c>
      <c r="Q344" s="54" t="s">
        <v>2357</v>
      </c>
      <c r="R344" s="54" t="s">
        <v>2358</v>
      </c>
      <c r="S344" s="54"/>
      <c r="T344" s="54">
        <v>82130289647</v>
      </c>
      <c r="U344" s="54"/>
      <c r="V344" s="54"/>
      <c r="W344" s="54" t="s">
        <v>2359</v>
      </c>
      <c r="X344" s="54"/>
      <c r="Y344" s="54" t="s">
        <v>3732</v>
      </c>
      <c r="Z344" s="54">
        <v>1983</v>
      </c>
      <c r="AA344" s="54" t="s">
        <v>2402</v>
      </c>
      <c r="AB344" s="54" t="s">
        <v>2362</v>
      </c>
      <c r="AC344" s="54" t="s">
        <v>2403</v>
      </c>
      <c r="AD344" s="54"/>
      <c r="AE344" s="54" t="s">
        <v>3733</v>
      </c>
      <c r="AF344" s="54">
        <v>1990</v>
      </c>
      <c r="AG344" s="54"/>
      <c r="AH344" s="54" t="s">
        <v>2365</v>
      </c>
      <c r="AI344" s="54" t="s">
        <v>2366</v>
      </c>
      <c r="AJ344" s="54"/>
      <c r="AK344" s="54"/>
      <c r="AL344" s="54"/>
      <c r="AM344" s="54"/>
      <c r="AN344" s="54"/>
      <c r="AO344" s="54"/>
      <c r="AP344" s="54"/>
      <c r="AQ344" s="54" t="s">
        <v>5147</v>
      </c>
      <c r="AR344" s="54"/>
      <c r="AS344" s="54"/>
      <c r="AT344" s="54" t="s">
        <v>2359</v>
      </c>
      <c r="AU344" s="54"/>
      <c r="AV344" s="54">
        <v>0</v>
      </c>
      <c r="AW344" s="54"/>
      <c r="AX344" s="54"/>
      <c r="AY344" s="54"/>
      <c r="AZ344" s="54"/>
      <c r="BA344" s="54"/>
      <c r="BB344" s="54" t="s">
        <v>2369</v>
      </c>
      <c r="BC344" s="54" t="s">
        <v>2370</v>
      </c>
      <c r="BD344" s="54" t="s">
        <v>2371</v>
      </c>
      <c r="BE344" s="54"/>
      <c r="BF344" s="54">
        <v>2</v>
      </c>
      <c r="BG344" s="54">
        <v>-6.9771000000000001</v>
      </c>
      <c r="BH344" s="54">
        <v>107.43729999999999</v>
      </c>
      <c r="BI344" s="54"/>
      <c r="BJ344" s="54">
        <v>43</v>
      </c>
      <c r="BK344" s="54">
        <v>144</v>
      </c>
      <c r="BL344" s="54">
        <v>58</v>
      </c>
      <c r="BM344" s="54">
        <v>3</v>
      </c>
      <c r="BN344" s="54">
        <v>3</v>
      </c>
    </row>
    <row r="345" spans="1:66" s="219" customFormat="1" hidden="1" x14ac:dyDescent="0.3">
      <c r="A345" s="54">
        <v>339</v>
      </c>
      <c r="B345" s="54" t="s">
        <v>1908</v>
      </c>
      <c r="C345" s="54" t="s">
        <v>1559</v>
      </c>
      <c r="D345" s="54" t="s">
        <v>52</v>
      </c>
      <c r="E345" s="54">
        <v>84543529</v>
      </c>
      <c r="F345" s="54" t="s">
        <v>2446</v>
      </c>
      <c r="G345" s="108">
        <v>39578</v>
      </c>
      <c r="H345" s="54">
        <v>3217111005080000</v>
      </c>
      <c r="I345" s="54" t="s">
        <v>2353</v>
      </c>
      <c r="J345" s="54" t="s">
        <v>3731</v>
      </c>
      <c r="K345" s="54">
        <v>6</v>
      </c>
      <c r="L345" s="54">
        <v>5</v>
      </c>
      <c r="M345" s="54"/>
      <c r="N345" s="54" t="s">
        <v>2571</v>
      </c>
      <c r="O345" s="54" t="s">
        <v>2426</v>
      </c>
      <c r="P345" s="54">
        <v>40562</v>
      </c>
      <c r="Q345" s="54" t="s">
        <v>2357</v>
      </c>
      <c r="R345" s="54" t="s">
        <v>2358</v>
      </c>
      <c r="S345" s="54"/>
      <c r="T345" s="54"/>
      <c r="U345" s="54"/>
      <c r="V345" s="54"/>
      <c r="W345" s="54" t="s">
        <v>2359</v>
      </c>
      <c r="X345" s="54"/>
      <c r="Y345" s="54" t="s">
        <v>3734</v>
      </c>
      <c r="Z345" s="54">
        <v>1981</v>
      </c>
      <c r="AA345" s="54" t="s">
        <v>2361</v>
      </c>
      <c r="AB345" s="54" t="s">
        <v>2362</v>
      </c>
      <c r="AC345" s="54" t="s">
        <v>2403</v>
      </c>
      <c r="AD345" s="54"/>
      <c r="AE345" s="54" t="s">
        <v>3735</v>
      </c>
      <c r="AF345" s="54">
        <v>1986</v>
      </c>
      <c r="AG345" s="54" t="s">
        <v>2361</v>
      </c>
      <c r="AH345" s="54" t="s">
        <v>2365</v>
      </c>
      <c r="AI345" s="54" t="s">
        <v>2366</v>
      </c>
      <c r="AJ345" s="54"/>
      <c r="AK345" s="54"/>
      <c r="AL345" s="54"/>
      <c r="AM345" s="54"/>
      <c r="AN345" s="54"/>
      <c r="AO345" s="54"/>
      <c r="AP345" s="54"/>
      <c r="AQ345" s="54" t="s">
        <v>5147</v>
      </c>
      <c r="AR345" s="54"/>
      <c r="AS345" s="54"/>
      <c r="AT345" s="54" t="s">
        <v>2359</v>
      </c>
      <c r="AU345" s="54"/>
      <c r="AV345" s="54">
        <v>0</v>
      </c>
      <c r="AW345" s="54"/>
      <c r="AX345" s="54"/>
      <c r="AY345" s="54"/>
      <c r="AZ345" s="54"/>
      <c r="BA345" s="54"/>
      <c r="BB345" s="54" t="s">
        <v>2369</v>
      </c>
      <c r="BC345" s="54" t="s">
        <v>2370</v>
      </c>
      <c r="BD345" s="54" t="s">
        <v>2371</v>
      </c>
      <c r="BE345" s="54"/>
      <c r="BF345" s="54">
        <v>2</v>
      </c>
      <c r="BG345" s="54">
        <v>-6.9771000000000001</v>
      </c>
      <c r="BH345" s="54">
        <v>107.43729999999999</v>
      </c>
      <c r="BI345" s="54"/>
      <c r="BJ345" s="54">
        <v>47</v>
      </c>
      <c r="BK345" s="54">
        <v>143</v>
      </c>
      <c r="BL345" s="54">
        <v>58</v>
      </c>
      <c r="BM345" s="54">
        <v>2</v>
      </c>
      <c r="BN345" s="54">
        <v>3</v>
      </c>
    </row>
    <row r="346" spans="1:66" s="219" customFormat="1" hidden="1" x14ac:dyDescent="0.3">
      <c r="A346" s="54">
        <v>340</v>
      </c>
      <c r="B346" s="54" t="s">
        <v>2087</v>
      </c>
      <c r="C346" s="54" t="s">
        <v>2261</v>
      </c>
      <c r="D346" s="54" t="s">
        <v>52</v>
      </c>
      <c r="E346" s="54">
        <v>3099145047</v>
      </c>
      <c r="F346" s="54" t="s">
        <v>2373</v>
      </c>
      <c r="G346" s="108">
        <v>40020</v>
      </c>
      <c r="H346" s="54">
        <v>3217102607090000</v>
      </c>
      <c r="I346" s="54" t="s">
        <v>2353</v>
      </c>
      <c r="J346" s="54" t="s">
        <v>3035</v>
      </c>
      <c r="K346" s="54">
        <v>2</v>
      </c>
      <c r="L346" s="54">
        <v>3</v>
      </c>
      <c r="M346" s="54"/>
      <c r="N346" s="54" t="s">
        <v>3036</v>
      </c>
      <c r="O346" s="54" t="s">
        <v>3037</v>
      </c>
      <c r="P346" s="54"/>
      <c r="Q346" s="54" t="s">
        <v>2357</v>
      </c>
      <c r="R346" s="54" t="s">
        <v>2374</v>
      </c>
      <c r="S346" s="54"/>
      <c r="T346" s="54"/>
      <c r="U346" s="54"/>
      <c r="V346" s="54"/>
      <c r="W346" s="54" t="s">
        <v>2359</v>
      </c>
      <c r="X346" s="54"/>
      <c r="Y346" s="54"/>
      <c r="Z346" s="54">
        <v>0</v>
      </c>
      <c r="AA346" s="54"/>
      <c r="AB346" s="54" t="s">
        <v>2362</v>
      </c>
      <c r="AC346" s="54" t="s">
        <v>2375</v>
      </c>
      <c r="AD346" s="54"/>
      <c r="AE346" s="54" t="s">
        <v>3038</v>
      </c>
      <c r="AF346" s="54">
        <v>0</v>
      </c>
      <c r="AG346" s="54"/>
      <c r="AH346" s="54" t="s">
        <v>2365</v>
      </c>
      <c r="AI346" s="54" t="s">
        <v>2366</v>
      </c>
      <c r="AJ346" s="54"/>
      <c r="AK346" s="54"/>
      <c r="AL346" s="54"/>
      <c r="AM346" s="54"/>
      <c r="AN346" s="54"/>
      <c r="AO346" s="54"/>
      <c r="AP346" s="54"/>
      <c r="AQ346" s="54" t="s">
        <v>8182</v>
      </c>
      <c r="AR346" s="54"/>
      <c r="AS346" s="54"/>
      <c r="AT346" s="54" t="s">
        <v>2359</v>
      </c>
      <c r="AU346" s="54"/>
      <c r="AV346" s="54">
        <v>1</v>
      </c>
      <c r="AW346" s="54"/>
      <c r="AX346" s="54"/>
      <c r="AY346" s="54"/>
      <c r="AZ346" s="54"/>
      <c r="BA346" s="54"/>
      <c r="BB346" s="54" t="s">
        <v>2359</v>
      </c>
      <c r="BC346" s="54"/>
      <c r="BD346" s="54" t="s">
        <v>2371</v>
      </c>
      <c r="BE346" s="54" t="s">
        <v>2376</v>
      </c>
      <c r="BF346" s="54">
        <v>1</v>
      </c>
      <c r="BG346" s="54">
        <v>-6.9625000000000004</v>
      </c>
      <c r="BH346" s="54">
        <v>107.4346</v>
      </c>
      <c r="BI346" s="54"/>
      <c r="BJ346" s="54">
        <v>45</v>
      </c>
      <c r="BK346" s="54">
        <v>140</v>
      </c>
      <c r="BL346" s="54">
        <v>59</v>
      </c>
      <c r="BM346" s="54">
        <v>1</v>
      </c>
      <c r="BN346" s="54">
        <v>6</v>
      </c>
    </row>
    <row r="347" spans="1:66" s="219" customFormat="1" hidden="1" x14ac:dyDescent="0.3">
      <c r="A347" s="54">
        <v>341</v>
      </c>
      <c r="B347" s="54" t="s">
        <v>1704</v>
      </c>
      <c r="C347" s="54" t="s">
        <v>2210</v>
      </c>
      <c r="D347" s="54" t="s">
        <v>52</v>
      </c>
      <c r="E347" s="54">
        <v>97632248</v>
      </c>
      <c r="F347" s="54" t="s">
        <v>2377</v>
      </c>
      <c r="G347" s="108">
        <v>40040</v>
      </c>
      <c r="H347" s="54">
        <v>3217121508090000</v>
      </c>
      <c r="I347" s="54" t="s">
        <v>2353</v>
      </c>
      <c r="J347" s="54" t="s">
        <v>2858</v>
      </c>
      <c r="K347" s="54">
        <v>2</v>
      </c>
      <c r="L347" s="54">
        <v>5</v>
      </c>
      <c r="M347" s="54" t="s">
        <v>2859</v>
      </c>
      <c r="N347" s="54" t="s">
        <v>2399</v>
      </c>
      <c r="O347" s="54" t="s">
        <v>2356</v>
      </c>
      <c r="P347" s="54">
        <v>40564</v>
      </c>
      <c r="Q347" s="54" t="s">
        <v>2357</v>
      </c>
      <c r="R347" s="54" t="s">
        <v>2358</v>
      </c>
      <c r="S347" s="54"/>
      <c r="T347" s="54">
        <v>85643895259</v>
      </c>
      <c r="U347" s="54"/>
      <c r="V347" s="54"/>
      <c r="W347" s="54" t="s">
        <v>2359</v>
      </c>
      <c r="X347" s="54"/>
      <c r="Y347" s="54" t="s">
        <v>2860</v>
      </c>
      <c r="Z347" s="54">
        <v>1982</v>
      </c>
      <c r="AA347" s="54" t="s">
        <v>2402</v>
      </c>
      <c r="AB347" s="54" t="s">
        <v>2362</v>
      </c>
      <c r="AC347" s="54" t="s">
        <v>2403</v>
      </c>
      <c r="AD347" s="54">
        <v>3217120808820020</v>
      </c>
      <c r="AE347" s="54" t="s">
        <v>2861</v>
      </c>
      <c r="AF347" s="54">
        <v>1988</v>
      </c>
      <c r="AG347" s="54" t="s">
        <v>2361</v>
      </c>
      <c r="AH347" s="54" t="s">
        <v>2365</v>
      </c>
      <c r="AI347" s="54" t="s">
        <v>2366</v>
      </c>
      <c r="AJ347" s="54">
        <v>3217124509880010</v>
      </c>
      <c r="AK347" s="54"/>
      <c r="AL347" s="54"/>
      <c r="AM347" s="54" t="s">
        <v>2367</v>
      </c>
      <c r="AN347" s="54"/>
      <c r="AO347" s="54"/>
      <c r="AP347" s="54"/>
      <c r="AQ347" s="54" t="s">
        <v>8179</v>
      </c>
      <c r="AR347" s="54"/>
      <c r="AS347" s="54"/>
      <c r="AT347" s="54" t="s">
        <v>2359</v>
      </c>
      <c r="AU347" s="54"/>
      <c r="AV347" s="54">
        <v>0</v>
      </c>
      <c r="AW347" s="54"/>
      <c r="AX347" s="54" t="s">
        <v>2862</v>
      </c>
      <c r="AY347" s="54"/>
      <c r="AZ347" s="54"/>
      <c r="BA347" s="54"/>
      <c r="BB347" s="54" t="s">
        <v>2369</v>
      </c>
      <c r="BC347" s="54" t="s">
        <v>2370</v>
      </c>
      <c r="BD347" s="54" t="s">
        <v>2371</v>
      </c>
      <c r="BE347" s="54" t="s">
        <v>2406</v>
      </c>
      <c r="BF347" s="54">
        <v>1</v>
      </c>
      <c r="BG347" s="54">
        <v>-6.9548948670000001</v>
      </c>
      <c r="BH347" s="54">
        <v>107.3885679</v>
      </c>
      <c r="BI347" s="54"/>
      <c r="BJ347" s="54">
        <v>50</v>
      </c>
      <c r="BK347" s="54">
        <v>146</v>
      </c>
      <c r="BL347" s="54">
        <v>56</v>
      </c>
      <c r="BM347" s="54">
        <v>1</v>
      </c>
      <c r="BN347" s="54">
        <v>3</v>
      </c>
    </row>
    <row r="348" spans="1:66" s="219" customFormat="1" hidden="1" x14ac:dyDescent="0.3">
      <c r="A348" s="54">
        <v>342</v>
      </c>
      <c r="B348" s="54" t="s">
        <v>2863</v>
      </c>
      <c r="C348" s="54" t="s">
        <v>2211</v>
      </c>
      <c r="D348" s="54" t="s">
        <v>52</v>
      </c>
      <c r="E348" s="54">
        <v>107696709</v>
      </c>
      <c r="F348" s="54" t="s">
        <v>2373</v>
      </c>
      <c r="G348" s="108">
        <v>40515</v>
      </c>
      <c r="H348" s="54">
        <v>3217110312100000</v>
      </c>
      <c r="I348" s="54" t="s">
        <v>2353</v>
      </c>
      <c r="J348" s="54" t="s">
        <v>2565</v>
      </c>
      <c r="K348" s="54">
        <v>5</v>
      </c>
      <c r="L348" s="54">
        <v>1</v>
      </c>
      <c r="M348" s="54"/>
      <c r="N348" s="54" t="s">
        <v>2566</v>
      </c>
      <c r="O348" s="54" t="s">
        <v>2426</v>
      </c>
      <c r="P348" s="54">
        <v>40562</v>
      </c>
      <c r="Q348" s="54" t="s">
        <v>2357</v>
      </c>
      <c r="R348" s="54" t="s">
        <v>2358</v>
      </c>
      <c r="S348" s="54"/>
      <c r="T348" s="54">
        <v>83891835829</v>
      </c>
      <c r="U348" s="54"/>
      <c r="V348" s="54"/>
      <c r="W348" s="54" t="s">
        <v>2359</v>
      </c>
      <c r="X348" s="54"/>
      <c r="Y348" s="54" t="s">
        <v>2864</v>
      </c>
      <c r="Z348" s="54">
        <v>1961</v>
      </c>
      <c r="AA348" s="54" t="s">
        <v>2390</v>
      </c>
      <c r="AB348" s="54" t="s">
        <v>2493</v>
      </c>
      <c r="AC348" s="54" t="s">
        <v>2375</v>
      </c>
      <c r="AD348" s="54">
        <v>3217113007610000</v>
      </c>
      <c r="AE348" s="54" t="s">
        <v>2865</v>
      </c>
      <c r="AF348" s="54">
        <v>1976</v>
      </c>
      <c r="AG348" s="54" t="s">
        <v>2402</v>
      </c>
      <c r="AH348" s="54" t="s">
        <v>2365</v>
      </c>
      <c r="AI348" s="54" t="s">
        <v>2366</v>
      </c>
      <c r="AJ348" s="54">
        <v>3217116109761000</v>
      </c>
      <c r="AK348" s="54"/>
      <c r="AL348" s="54"/>
      <c r="AM348" s="54" t="s">
        <v>2367</v>
      </c>
      <c r="AN348" s="54"/>
      <c r="AO348" s="54"/>
      <c r="AP348" s="54"/>
      <c r="AQ348" s="54" t="s">
        <v>8179</v>
      </c>
      <c r="AR348" s="54"/>
      <c r="AS348" s="54"/>
      <c r="AT348" s="54" t="s">
        <v>2359</v>
      </c>
      <c r="AU348" s="54"/>
      <c r="AV348" s="54">
        <v>0</v>
      </c>
      <c r="AW348" s="54"/>
      <c r="AX348" s="54">
        <v>9530068503</v>
      </c>
      <c r="AY348" s="54"/>
      <c r="AZ348" s="54"/>
      <c r="BA348" s="54"/>
      <c r="BB348" s="54" t="s">
        <v>2369</v>
      </c>
      <c r="BC348" s="54" t="s">
        <v>2370</v>
      </c>
      <c r="BD348" s="54" t="s">
        <v>2371</v>
      </c>
      <c r="BE348" s="54" t="s">
        <v>2691</v>
      </c>
      <c r="BF348" s="54">
        <v>1</v>
      </c>
      <c r="BG348" s="54">
        <v>-6.9743000000000004</v>
      </c>
      <c r="BH348" s="54">
        <v>107.43559999999999</v>
      </c>
      <c r="BI348" s="54">
        <v>3217110412070000</v>
      </c>
      <c r="BJ348" s="54">
        <v>52</v>
      </c>
      <c r="BK348" s="54">
        <v>144</v>
      </c>
      <c r="BL348" s="54">
        <v>0</v>
      </c>
      <c r="BM348" s="54">
        <v>0</v>
      </c>
      <c r="BN348" s="54">
        <v>0</v>
      </c>
    </row>
    <row r="349" spans="1:66" s="219" customFormat="1" hidden="1" x14ac:dyDescent="0.3">
      <c r="A349" s="54">
        <v>343</v>
      </c>
      <c r="B349" s="54" t="s">
        <v>1367</v>
      </c>
      <c r="C349" s="54" t="s">
        <v>1504</v>
      </c>
      <c r="D349" s="54" t="s">
        <v>52</v>
      </c>
      <c r="E349" s="54">
        <v>94351285</v>
      </c>
      <c r="F349" s="54" t="s">
        <v>2373</v>
      </c>
      <c r="G349" s="108">
        <v>39818</v>
      </c>
      <c r="H349" s="54">
        <v>3217120501090000</v>
      </c>
      <c r="I349" s="54" t="s">
        <v>2353</v>
      </c>
      <c r="J349" s="54" t="s">
        <v>2686</v>
      </c>
      <c r="K349" s="54">
        <v>3</v>
      </c>
      <c r="L349" s="54">
        <v>6</v>
      </c>
      <c r="M349" s="54"/>
      <c r="N349" s="54" t="s">
        <v>2513</v>
      </c>
      <c r="O349" s="54" t="s">
        <v>2356</v>
      </c>
      <c r="P349" s="54">
        <v>40564</v>
      </c>
      <c r="Q349" s="54" t="s">
        <v>2357</v>
      </c>
      <c r="R349" s="54" t="s">
        <v>2358</v>
      </c>
      <c r="S349" s="54"/>
      <c r="T349" s="54">
        <v>87884794851</v>
      </c>
      <c r="U349" s="54"/>
      <c r="V349" s="54"/>
      <c r="W349" s="54" t="s">
        <v>2369</v>
      </c>
      <c r="X349" s="54" t="s">
        <v>3516</v>
      </c>
      <c r="Y349" s="54" t="s">
        <v>3517</v>
      </c>
      <c r="Z349" s="54">
        <v>1980</v>
      </c>
      <c r="AA349" s="54" t="s">
        <v>3167</v>
      </c>
      <c r="AB349" s="54" t="s">
        <v>2362</v>
      </c>
      <c r="AC349" s="54" t="s">
        <v>2403</v>
      </c>
      <c r="AD349" s="54">
        <v>3217122108800010</v>
      </c>
      <c r="AE349" s="54" t="s">
        <v>3518</v>
      </c>
      <c r="AF349" s="54">
        <v>1976</v>
      </c>
      <c r="AG349" s="54" t="s">
        <v>2402</v>
      </c>
      <c r="AH349" s="54" t="s">
        <v>2365</v>
      </c>
      <c r="AI349" s="54" t="s">
        <v>2366</v>
      </c>
      <c r="AJ349" s="54">
        <v>3217125405760010</v>
      </c>
      <c r="AK349" s="54"/>
      <c r="AL349" s="54"/>
      <c r="AM349" s="54"/>
      <c r="AN349" s="54"/>
      <c r="AO349" s="54"/>
      <c r="AP349" s="54"/>
      <c r="AQ349" s="54" t="s">
        <v>5147</v>
      </c>
      <c r="AR349" s="54"/>
      <c r="AS349" s="54"/>
      <c r="AT349" s="54" t="s">
        <v>2369</v>
      </c>
      <c r="AU349" s="54" t="s">
        <v>3516</v>
      </c>
      <c r="AV349" s="54">
        <v>0</v>
      </c>
      <c r="AW349" s="54" t="s">
        <v>3519</v>
      </c>
      <c r="AX349" s="54"/>
      <c r="AY349" s="54" t="s">
        <v>2460</v>
      </c>
      <c r="AZ349" s="54">
        <v>367101002501507</v>
      </c>
      <c r="BA349" s="54" t="s">
        <v>3520</v>
      </c>
      <c r="BB349" s="54" t="s">
        <v>2369</v>
      </c>
      <c r="BC349" s="54"/>
      <c r="BD349" s="54" t="s">
        <v>2371</v>
      </c>
      <c r="BE349" s="54"/>
      <c r="BF349" s="54">
        <v>1</v>
      </c>
      <c r="BG349" s="54">
        <v>-6.9743000000000004</v>
      </c>
      <c r="BH349" s="54">
        <v>107.43559999999999</v>
      </c>
      <c r="BI349" s="54"/>
      <c r="BJ349" s="54">
        <v>38</v>
      </c>
      <c r="BK349" s="54">
        <v>135</v>
      </c>
      <c r="BL349" s="54">
        <v>55</v>
      </c>
      <c r="BM349" s="54">
        <v>2</v>
      </c>
      <c r="BN349" s="54">
        <v>1</v>
      </c>
    </row>
    <row r="350" spans="1:66" s="219" customFormat="1" hidden="1" x14ac:dyDescent="0.3">
      <c r="A350" s="54">
        <v>344</v>
      </c>
      <c r="B350" s="54" t="s">
        <v>1727</v>
      </c>
      <c r="C350" s="54" t="s">
        <v>2235</v>
      </c>
      <c r="D350" s="54" t="s">
        <v>52</v>
      </c>
      <c r="E350" s="54">
        <v>108821352</v>
      </c>
      <c r="F350" s="54" t="s">
        <v>2377</v>
      </c>
      <c r="G350" s="108">
        <v>40199</v>
      </c>
      <c r="H350" s="54">
        <v>3217112101100000</v>
      </c>
      <c r="I350" s="54" t="s">
        <v>2353</v>
      </c>
      <c r="J350" s="54" t="s">
        <v>2949</v>
      </c>
      <c r="K350" s="54">
        <v>1</v>
      </c>
      <c r="L350" s="54">
        <v>11</v>
      </c>
      <c r="M350" s="54"/>
      <c r="N350" s="54" t="s">
        <v>2425</v>
      </c>
      <c r="O350" s="54" t="s">
        <v>2426</v>
      </c>
      <c r="P350" s="54">
        <v>40562</v>
      </c>
      <c r="Q350" s="54" t="s">
        <v>2357</v>
      </c>
      <c r="R350" s="54" t="s">
        <v>2358</v>
      </c>
      <c r="S350" s="54"/>
      <c r="T350" s="54"/>
      <c r="U350" s="54"/>
      <c r="V350" s="54"/>
      <c r="W350" s="54" t="s">
        <v>2359</v>
      </c>
      <c r="X350" s="54"/>
      <c r="Y350" s="54"/>
      <c r="Z350" s="54">
        <v>0</v>
      </c>
      <c r="AA350" s="54"/>
      <c r="AB350" s="54" t="s">
        <v>2362</v>
      </c>
      <c r="AC350" s="54" t="s">
        <v>2375</v>
      </c>
      <c r="AD350" s="54"/>
      <c r="AE350" s="54" t="s">
        <v>2950</v>
      </c>
      <c r="AF350" s="54">
        <v>0</v>
      </c>
      <c r="AG350" s="54"/>
      <c r="AH350" s="54" t="s">
        <v>2365</v>
      </c>
      <c r="AI350" s="54" t="s">
        <v>2366</v>
      </c>
      <c r="AJ350" s="54"/>
      <c r="AK350" s="54"/>
      <c r="AL350" s="54"/>
      <c r="AM350" s="54"/>
      <c r="AN350" s="54"/>
      <c r="AO350" s="54"/>
      <c r="AP350" s="54"/>
      <c r="AQ350" s="54" t="s">
        <v>8178</v>
      </c>
      <c r="AR350" s="54"/>
      <c r="AS350" s="54"/>
      <c r="AT350" s="54" t="s">
        <v>2359</v>
      </c>
      <c r="AU350" s="54"/>
      <c r="AV350" s="54">
        <v>1</v>
      </c>
      <c r="AW350" s="54"/>
      <c r="AX350" s="54"/>
      <c r="AY350" s="54"/>
      <c r="AZ350" s="54"/>
      <c r="BA350" s="54"/>
      <c r="BB350" s="54" t="s">
        <v>2369</v>
      </c>
      <c r="BC350" s="54" t="s">
        <v>2370</v>
      </c>
      <c r="BD350" s="54" t="s">
        <v>2371</v>
      </c>
      <c r="BE350" s="54" t="s">
        <v>2669</v>
      </c>
      <c r="BF350" s="54">
        <v>1</v>
      </c>
      <c r="BG350" s="54">
        <v>-6.9625000000000004</v>
      </c>
      <c r="BH350" s="54">
        <v>107.4346</v>
      </c>
      <c r="BI350" s="54"/>
      <c r="BJ350" s="54">
        <v>40</v>
      </c>
      <c r="BK350" s="54">
        <v>138</v>
      </c>
      <c r="BL350" s="54">
        <v>56</v>
      </c>
      <c r="BM350" s="54">
        <v>1</v>
      </c>
      <c r="BN350" s="54">
        <v>2</v>
      </c>
    </row>
    <row r="351" spans="1:66" s="219" customFormat="1" hidden="1" x14ac:dyDescent="0.3">
      <c r="A351" s="54">
        <v>345</v>
      </c>
      <c r="B351" s="54" t="s">
        <v>4212</v>
      </c>
      <c r="C351" s="54" t="s">
        <v>4218</v>
      </c>
      <c r="D351" s="54" t="s">
        <v>52</v>
      </c>
      <c r="E351" s="54">
        <v>3095342073</v>
      </c>
      <c r="F351" s="54" t="s">
        <v>2377</v>
      </c>
      <c r="G351" s="108">
        <v>39928</v>
      </c>
      <c r="H351" s="54">
        <v>3217112504090000</v>
      </c>
      <c r="I351" s="54" t="s">
        <v>2353</v>
      </c>
      <c r="J351" s="54" t="s">
        <v>2530</v>
      </c>
      <c r="K351" s="54">
        <v>1</v>
      </c>
      <c r="L351" s="54">
        <v>7</v>
      </c>
      <c r="M351" s="54"/>
      <c r="N351" s="54" t="s">
        <v>3581</v>
      </c>
      <c r="O351" s="54" t="s">
        <v>2426</v>
      </c>
      <c r="P351" s="54">
        <v>40562</v>
      </c>
      <c r="Q351" s="54" t="s">
        <v>2357</v>
      </c>
      <c r="R351" s="54" t="s">
        <v>2358</v>
      </c>
      <c r="S351" s="54"/>
      <c r="T351" s="54"/>
      <c r="U351" s="54"/>
      <c r="V351" s="54"/>
      <c r="W351" s="54" t="s">
        <v>2359</v>
      </c>
      <c r="X351" s="54"/>
      <c r="Y351" s="54" t="s">
        <v>4861</v>
      </c>
      <c r="Z351" s="54">
        <v>1972</v>
      </c>
      <c r="AA351" s="54" t="s">
        <v>2402</v>
      </c>
      <c r="AB351" s="54" t="s">
        <v>2362</v>
      </c>
      <c r="AC351" s="54" t="s">
        <v>2363</v>
      </c>
      <c r="AD351" s="54">
        <v>3217110802720000</v>
      </c>
      <c r="AE351" s="54" t="s">
        <v>2657</v>
      </c>
      <c r="AF351" s="54">
        <v>1978</v>
      </c>
      <c r="AG351" s="54" t="s">
        <v>2361</v>
      </c>
      <c r="AH351" s="54" t="s">
        <v>2365</v>
      </c>
      <c r="AI351" s="54" t="s">
        <v>2366</v>
      </c>
      <c r="AJ351" s="54">
        <v>3217114505780010</v>
      </c>
      <c r="AK351" s="54"/>
      <c r="AL351" s="54"/>
      <c r="AM351" s="54"/>
      <c r="AN351" s="54"/>
      <c r="AO351" s="54"/>
      <c r="AP351" s="54"/>
      <c r="AQ351" s="54" t="s">
        <v>8182</v>
      </c>
      <c r="AR351" s="54" t="s">
        <v>4862</v>
      </c>
      <c r="AS351" s="54" t="s">
        <v>4863</v>
      </c>
      <c r="AT351" s="54" t="s">
        <v>2359</v>
      </c>
      <c r="AU351" s="54"/>
      <c r="AV351" s="54">
        <v>1</v>
      </c>
      <c r="AW351" s="54"/>
      <c r="AX351" s="54" t="s">
        <v>4864</v>
      </c>
      <c r="AY351" s="54"/>
      <c r="AZ351" s="54"/>
      <c r="BA351" s="54"/>
      <c r="BB351" s="54" t="s">
        <v>2369</v>
      </c>
      <c r="BC351" s="54" t="s">
        <v>2868</v>
      </c>
      <c r="BD351" s="54" t="s">
        <v>2371</v>
      </c>
      <c r="BE351" s="54" t="s">
        <v>4865</v>
      </c>
      <c r="BF351" s="54">
        <v>2</v>
      </c>
      <c r="BG351" s="54">
        <v>-6.9625000000000004</v>
      </c>
      <c r="BH351" s="54">
        <v>107.4346</v>
      </c>
      <c r="BI351" s="54">
        <v>3217112707070000</v>
      </c>
      <c r="BJ351" s="54">
        <v>41</v>
      </c>
      <c r="BK351" s="54">
        <v>139</v>
      </c>
      <c r="BL351" s="54">
        <v>49</v>
      </c>
      <c r="BM351" s="54">
        <v>1</v>
      </c>
      <c r="BN351" s="54">
        <v>1</v>
      </c>
    </row>
    <row r="352" spans="1:66" s="219" customFormat="1" hidden="1" x14ac:dyDescent="0.3">
      <c r="A352" s="54">
        <v>346</v>
      </c>
      <c r="B352" s="54" t="s">
        <v>1856</v>
      </c>
      <c r="C352" s="54" t="s">
        <v>1605</v>
      </c>
      <c r="D352" s="54" t="s">
        <v>52</v>
      </c>
      <c r="E352" s="54">
        <v>3091728638</v>
      </c>
      <c r="F352" s="54" t="s">
        <v>2373</v>
      </c>
      <c r="G352" s="108">
        <v>40077</v>
      </c>
      <c r="H352" s="54">
        <v>3217112109090000</v>
      </c>
      <c r="I352" s="54" t="s">
        <v>2353</v>
      </c>
      <c r="J352" s="54" t="s">
        <v>2593</v>
      </c>
      <c r="K352" s="54">
        <v>3</v>
      </c>
      <c r="L352" s="54">
        <v>13</v>
      </c>
      <c r="M352" s="54"/>
      <c r="N352" s="54" t="s">
        <v>2425</v>
      </c>
      <c r="O352" s="54" t="s">
        <v>2426</v>
      </c>
      <c r="P352" s="54">
        <v>40560</v>
      </c>
      <c r="Q352" s="54" t="s">
        <v>2357</v>
      </c>
      <c r="R352" s="54" t="s">
        <v>2358</v>
      </c>
      <c r="S352" s="54"/>
      <c r="T352" s="54">
        <v>82115422505</v>
      </c>
      <c r="U352" s="54"/>
      <c r="V352" s="54"/>
      <c r="W352" s="54" t="s">
        <v>2359</v>
      </c>
      <c r="X352" s="54"/>
      <c r="Y352" s="54" t="s">
        <v>3521</v>
      </c>
      <c r="Z352" s="54">
        <v>1963</v>
      </c>
      <c r="AA352" s="54" t="s">
        <v>2402</v>
      </c>
      <c r="AB352" s="54" t="s">
        <v>2362</v>
      </c>
      <c r="AC352" s="54" t="s">
        <v>2363</v>
      </c>
      <c r="AD352" s="54">
        <v>3217112912630000</v>
      </c>
      <c r="AE352" s="54" t="s">
        <v>3522</v>
      </c>
      <c r="AF352" s="54">
        <v>1969</v>
      </c>
      <c r="AG352" s="54"/>
      <c r="AH352" s="54" t="s">
        <v>2365</v>
      </c>
      <c r="AI352" s="54" t="s">
        <v>2366</v>
      </c>
      <c r="AJ352" s="54">
        <v>3217114612693000</v>
      </c>
      <c r="AK352" s="54"/>
      <c r="AL352" s="54"/>
      <c r="AM352" s="54"/>
      <c r="AN352" s="54"/>
      <c r="AO352" s="54"/>
      <c r="AP352" s="54"/>
      <c r="AQ352" s="54" t="s">
        <v>5147</v>
      </c>
      <c r="AR352" s="54" t="s">
        <v>4866</v>
      </c>
      <c r="AS352" s="54" t="s">
        <v>3523</v>
      </c>
      <c r="AT352" s="54" t="s">
        <v>2359</v>
      </c>
      <c r="AU352" s="54"/>
      <c r="AV352" s="54">
        <v>1</v>
      </c>
      <c r="AW352" s="54"/>
      <c r="AX352" s="54" t="s">
        <v>3524</v>
      </c>
      <c r="AY352" s="54"/>
      <c r="AZ352" s="54"/>
      <c r="BA352" s="54"/>
      <c r="BB352" s="54" t="s">
        <v>2369</v>
      </c>
      <c r="BC352" s="54" t="s">
        <v>2370</v>
      </c>
      <c r="BD352" s="54" t="s">
        <v>2371</v>
      </c>
      <c r="BE352" s="54" t="s">
        <v>3525</v>
      </c>
      <c r="BF352" s="54">
        <v>1</v>
      </c>
      <c r="BG352" s="54">
        <v>-6.9625000000000004</v>
      </c>
      <c r="BH352" s="54">
        <v>107.4346</v>
      </c>
      <c r="BI352" s="54">
        <v>3217111704080010</v>
      </c>
      <c r="BJ352" s="54">
        <v>43</v>
      </c>
      <c r="BK352" s="54">
        <v>142</v>
      </c>
      <c r="BL352" s="54">
        <v>59</v>
      </c>
      <c r="BM352" s="54">
        <v>1</v>
      </c>
      <c r="BN352" s="54">
        <v>1</v>
      </c>
    </row>
    <row r="353" spans="1:66" s="219" customFormat="1" hidden="1" x14ac:dyDescent="0.3">
      <c r="A353" s="54">
        <v>347</v>
      </c>
      <c r="B353" s="54" t="s">
        <v>1684</v>
      </c>
      <c r="C353" s="54" t="s">
        <v>2179</v>
      </c>
      <c r="D353" s="54" t="s">
        <v>52</v>
      </c>
      <c r="E353" s="54">
        <v>93705715</v>
      </c>
      <c r="F353" s="54" t="s">
        <v>2352</v>
      </c>
      <c r="G353" s="108">
        <v>39968</v>
      </c>
      <c r="H353" s="54">
        <v>3217120406090000</v>
      </c>
      <c r="I353" s="54" t="s">
        <v>2353</v>
      </c>
      <c r="J353" s="54" t="s">
        <v>2732</v>
      </c>
      <c r="K353" s="54">
        <v>3</v>
      </c>
      <c r="L353" s="54">
        <v>1</v>
      </c>
      <c r="M353" s="54" t="s">
        <v>2733</v>
      </c>
      <c r="N353" s="54" t="s">
        <v>2399</v>
      </c>
      <c r="O353" s="54" t="s">
        <v>2356</v>
      </c>
      <c r="P353" s="54">
        <v>40564</v>
      </c>
      <c r="Q353" s="54" t="s">
        <v>2357</v>
      </c>
      <c r="R353" s="54" t="s">
        <v>2358</v>
      </c>
      <c r="S353" s="54"/>
      <c r="T353" s="54">
        <v>85523838907</v>
      </c>
      <c r="U353" s="54"/>
      <c r="V353" s="54"/>
      <c r="W353" s="54" t="s">
        <v>2359</v>
      </c>
      <c r="X353" s="54"/>
      <c r="Y353" s="54" t="s">
        <v>2734</v>
      </c>
      <c r="Z353" s="54">
        <v>1975</v>
      </c>
      <c r="AA353" s="54" t="s">
        <v>2361</v>
      </c>
      <c r="AB353" s="54" t="s">
        <v>2362</v>
      </c>
      <c r="AC353" s="54" t="s">
        <v>2403</v>
      </c>
      <c r="AD353" s="54">
        <v>3217120805750000</v>
      </c>
      <c r="AE353" s="54" t="s">
        <v>2735</v>
      </c>
      <c r="AF353" s="54">
        <v>1978</v>
      </c>
      <c r="AG353" s="54" t="s">
        <v>2361</v>
      </c>
      <c r="AH353" s="54" t="s">
        <v>2365</v>
      </c>
      <c r="AI353" s="54" t="s">
        <v>2366</v>
      </c>
      <c r="AJ353" s="54">
        <v>3217126805780000</v>
      </c>
      <c r="AK353" s="54"/>
      <c r="AL353" s="54"/>
      <c r="AM353" s="54" t="s">
        <v>2367</v>
      </c>
      <c r="AN353" s="54"/>
      <c r="AO353" s="54"/>
      <c r="AP353" s="54"/>
      <c r="AQ353" s="54" t="s">
        <v>8180</v>
      </c>
      <c r="AR353" s="54"/>
      <c r="AS353" s="54"/>
      <c r="AT353" s="54" t="s">
        <v>2359</v>
      </c>
      <c r="AU353" s="54"/>
      <c r="AV353" s="54">
        <v>0</v>
      </c>
      <c r="AW353" s="54"/>
      <c r="AX353" s="54" t="s">
        <v>2736</v>
      </c>
      <c r="AY353" s="54"/>
      <c r="AZ353" s="54"/>
      <c r="BA353" s="54"/>
      <c r="BB353" s="54" t="s">
        <v>2369</v>
      </c>
      <c r="BC353" s="54" t="s">
        <v>2370</v>
      </c>
      <c r="BD353" s="54" t="s">
        <v>2371</v>
      </c>
      <c r="BE353" s="54" t="s">
        <v>2406</v>
      </c>
      <c r="BF353" s="54">
        <v>3</v>
      </c>
      <c r="BG353" s="54">
        <v>-6.9535316790000001</v>
      </c>
      <c r="BH353" s="54">
        <v>107.3898447</v>
      </c>
      <c r="BI353" s="54"/>
      <c r="BJ353" s="54">
        <v>44</v>
      </c>
      <c r="BK353" s="54">
        <v>143</v>
      </c>
      <c r="BL353" s="54">
        <v>0</v>
      </c>
      <c r="BM353" s="54">
        <v>0</v>
      </c>
      <c r="BN353" s="54">
        <v>0</v>
      </c>
    </row>
    <row r="354" spans="1:66" s="219" customFormat="1" hidden="1" x14ac:dyDescent="0.3">
      <c r="A354" s="54">
        <v>348</v>
      </c>
      <c r="B354" s="54" t="s">
        <v>1640</v>
      </c>
      <c r="C354" s="54" t="s">
        <v>2112</v>
      </c>
      <c r="D354" s="54" t="s">
        <v>52</v>
      </c>
      <c r="E354" s="54">
        <v>105827701</v>
      </c>
      <c r="F354" s="54" t="s">
        <v>2377</v>
      </c>
      <c r="G354" s="108">
        <v>40223</v>
      </c>
      <c r="H354" s="54">
        <v>3217121402100000</v>
      </c>
      <c r="I354" s="54" t="s">
        <v>2353</v>
      </c>
      <c r="J354" s="54" t="s">
        <v>2478</v>
      </c>
      <c r="K354" s="54">
        <v>2</v>
      </c>
      <c r="L354" s="54">
        <v>7</v>
      </c>
      <c r="M354" s="54" t="s">
        <v>2478</v>
      </c>
      <c r="N354" s="54" t="s">
        <v>2399</v>
      </c>
      <c r="O354" s="54" t="s">
        <v>2356</v>
      </c>
      <c r="P354" s="54">
        <v>40564</v>
      </c>
      <c r="Q354" s="54" t="s">
        <v>2357</v>
      </c>
      <c r="R354" s="54" t="s">
        <v>2374</v>
      </c>
      <c r="S354" s="54"/>
      <c r="T354" s="54">
        <v>87736525896</v>
      </c>
      <c r="U354" s="54"/>
      <c r="V354" s="54"/>
      <c r="W354" s="54" t="s">
        <v>2359</v>
      </c>
      <c r="X354" s="54"/>
      <c r="Y354" s="54" t="s">
        <v>2479</v>
      </c>
      <c r="Z354" s="54">
        <v>1965</v>
      </c>
      <c r="AA354" s="54" t="s">
        <v>2390</v>
      </c>
      <c r="AB354" s="54" t="s">
        <v>2480</v>
      </c>
      <c r="AC354" s="54" t="s">
        <v>2375</v>
      </c>
      <c r="AD354" s="54">
        <v>3217121910670000</v>
      </c>
      <c r="AE354" s="54" t="s">
        <v>2481</v>
      </c>
      <c r="AF354" s="54">
        <v>1970</v>
      </c>
      <c r="AG354" s="54" t="s">
        <v>2387</v>
      </c>
      <c r="AH354" s="54" t="s">
        <v>2474</v>
      </c>
      <c r="AI354" s="54" t="s">
        <v>2363</v>
      </c>
      <c r="AJ354" s="54">
        <v>3217126402700000</v>
      </c>
      <c r="AK354" s="54"/>
      <c r="AL354" s="54"/>
      <c r="AM354" s="54" t="s">
        <v>2367</v>
      </c>
      <c r="AN354" s="54"/>
      <c r="AO354" s="54"/>
      <c r="AP354" s="54"/>
      <c r="AQ354" s="54" t="s">
        <v>8177</v>
      </c>
      <c r="AR354" s="54"/>
      <c r="AS354" s="54"/>
      <c r="AT354" s="54" t="s">
        <v>2359</v>
      </c>
      <c r="AU354" s="54"/>
      <c r="AV354" s="54">
        <v>0</v>
      </c>
      <c r="AW354" s="54"/>
      <c r="AX354" s="54" t="s">
        <v>2482</v>
      </c>
      <c r="AY354" s="54"/>
      <c r="AZ354" s="54"/>
      <c r="BA354" s="54"/>
      <c r="BB354" s="54" t="s">
        <v>2369</v>
      </c>
      <c r="BC354" s="54" t="s">
        <v>2370</v>
      </c>
      <c r="BD354" s="54" t="s">
        <v>2371</v>
      </c>
      <c r="BE354" s="54" t="s">
        <v>2406</v>
      </c>
      <c r="BF354" s="54">
        <v>2</v>
      </c>
      <c r="BG354" s="54">
        <v>-6.9505177419999997</v>
      </c>
      <c r="BH354" s="54">
        <v>107.38159419999999</v>
      </c>
      <c r="BI354" s="54"/>
      <c r="BJ354" s="54">
        <v>52</v>
      </c>
      <c r="BK354" s="54">
        <v>147</v>
      </c>
      <c r="BL354" s="54">
        <v>0</v>
      </c>
      <c r="BM354" s="54">
        <v>0</v>
      </c>
      <c r="BN354" s="54">
        <v>0</v>
      </c>
    </row>
    <row r="355" spans="1:66" s="219" customFormat="1" hidden="1" x14ac:dyDescent="0.3">
      <c r="A355" s="54">
        <v>349</v>
      </c>
      <c r="B355" s="54" t="s">
        <v>2737</v>
      </c>
      <c r="C355" s="54" t="s">
        <v>2180</v>
      </c>
      <c r="D355" s="54" t="s">
        <v>52</v>
      </c>
      <c r="E355" s="54">
        <v>97523888</v>
      </c>
      <c r="F355" s="54" t="s">
        <v>2373</v>
      </c>
      <c r="G355" s="108">
        <v>40000</v>
      </c>
      <c r="H355" s="54">
        <v>3217110607090000</v>
      </c>
      <c r="I355" s="54" t="s">
        <v>2353</v>
      </c>
      <c r="J355" s="54" t="s">
        <v>2695</v>
      </c>
      <c r="K355" s="54">
        <v>2</v>
      </c>
      <c r="L355" s="54">
        <v>12</v>
      </c>
      <c r="M355" s="54"/>
      <c r="N355" s="54" t="s">
        <v>2425</v>
      </c>
      <c r="O355" s="54" t="s">
        <v>2426</v>
      </c>
      <c r="P355" s="54">
        <v>40562</v>
      </c>
      <c r="Q355" s="54" t="s">
        <v>2357</v>
      </c>
      <c r="R355" s="54" t="s">
        <v>2374</v>
      </c>
      <c r="S355" s="54"/>
      <c r="T355" s="54">
        <v>87784119902</v>
      </c>
      <c r="U355" s="54"/>
      <c r="V355" s="54"/>
      <c r="W355" s="54" t="s">
        <v>2359</v>
      </c>
      <c r="X355" s="54"/>
      <c r="Y355" s="54" t="s">
        <v>2738</v>
      </c>
      <c r="Z355" s="54">
        <v>1982</v>
      </c>
      <c r="AA355" s="54" t="s">
        <v>2387</v>
      </c>
      <c r="AB355" s="54" t="s">
        <v>2365</v>
      </c>
      <c r="AC355" s="54" t="s">
        <v>2366</v>
      </c>
      <c r="AD355" s="54">
        <v>3175070102820000</v>
      </c>
      <c r="AE355" s="54" t="s">
        <v>2739</v>
      </c>
      <c r="AF355" s="54">
        <v>1997</v>
      </c>
      <c r="AG355" s="54" t="s">
        <v>2402</v>
      </c>
      <c r="AH355" s="54" t="s">
        <v>2365</v>
      </c>
      <c r="AI355" s="54" t="s">
        <v>2366</v>
      </c>
      <c r="AJ355" s="54">
        <v>3217116109970000</v>
      </c>
      <c r="AK355" s="54"/>
      <c r="AL355" s="54"/>
      <c r="AM355" s="54" t="s">
        <v>2367</v>
      </c>
      <c r="AN355" s="54"/>
      <c r="AO355" s="54"/>
      <c r="AP355" s="54"/>
      <c r="AQ355" s="54" t="s">
        <v>8180</v>
      </c>
      <c r="AR355" s="54"/>
      <c r="AS355" s="54"/>
      <c r="AT355" s="54" t="s">
        <v>2359</v>
      </c>
      <c r="AU355" s="54"/>
      <c r="AV355" s="54">
        <v>0</v>
      </c>
      <c r="AW355" s="54"/>
      <c r="AX355" s="54" t="s">
        <v>2740</v>
      </c>
      <c r="AY355" s="54"/>
      <c r="AZ355" s="54"/>
      <c r="BA355" s="54"/>
      <c r="BB355" s="54" t="s">
        <v>2369</v>
      </c>
      <c r="BC355" s="54" t="s">
        <v>2370</v>
      </c>
      <c r="BD355" s="54" t="s">
        <v>2371</v>
      </c>
      <c r="BE355" s="54" t="s">
        <v>4593</v>
      </c>
      <c r="BF355" s="54">
        <v>1</v>
      </c>
      <c r="BG355" s="54">
        <v>-6.9668999999999999</v>
      </c>
      <c r="BH355" s="54">
        <v>107.4242</v>
      </c>
      <c r="BI355" s="54"/>
      <c r="BJ355" s="54">
        <v>53</v>
      </c>
      <c r="BK355" s="54">
        <v>145</v>
      </c>
      <c r="BL355" s="54">
        <v>0</v>
      </c>
      <c r="BM355" s="54">
        <v>0</v>
      </c>
      <c r="BN355" s="54">
        <v>0</v>
      </c>
    </row>
    <row r="356" spans="1:66" s="219" customFormat="1" hidden="1" x14ac:dyDescent="0.3">
      <c r="A356" s="54">
        <v>350</v>
      </c>
      <c r="B356" s="54" t="s">
        <v>1709</v>
      </c>
      <c r="C356" s="54" t="s">
        <v>2212</v>
      </c>
      <c r="D356" s="54" t="s">
        <v>52</v>
      </c>
      <c r="E356" s="54">
        <v>3098023155</v>
      </c>
      <c r="F356" s="54" t="s">
        <v>2373</v>
      </c>
      <c r="G356" s="108">
        <v>40110</v>
      </c>
      <c r="H356" s="54">
        <v>3217112410090000</v>
      </c>
      <c r="I356" s="54" t="s">
        <v>2353</v>
      </c>
      <c r="J356" s="54" t="s">
        <v>2695</v>
      </c>
      <c r="K356" s="54">
        <v>1</v>
      </c>
      <c r="L356" s="54">
        <v>12</v>
      </c>
      <c r="M356" s="54"/>
      <c r="N356" s="54" t="s">
        <v>2425</v>
      </c>
      <c r="O356" s="54" t="s">
        <v>2426</v>
      </c>
      <c r="P356" s="54">
        <v>40561</v>
      </c>
      <c r="Q356" s="54" t="s">
        <v>2357</v>
      </c>
      <c r="R356" s="54" t="s">
        <v>2358</v>
      </c>
      <c r="S356" s="54"/>
      <c r="T356" s="54"/>
      <c r="U356" s="54"/>
      <c r="V356" s="54"/>
      <c r="W356" s="54" t="s">
        <v>2359</v>
      </c>
      <c r="X356" s="54"/>
      <c r="Y356" s="54"/>
      <c r="Z356" s="54">
        <v>0</v>
      </c>
      <c r="AA356" s="54"/>
      <c r="AB356" s="54" t="s">
        <v>2362</v>
      </c>
      <c r="AC356" s="54"/>
      <c r="AD356" s="54"/>
      <c r="AE356" s="54" t="s">
        <v>2866</v>
      </c>
      <c r="AF356" s="54">
        <v>0</v>
      </c>
      <c r="AG356" s="54"/>
      <c r="AH356" s="54" t="s">
        <v>2365</v>
      </c>
      <c r="AI356" s="54" t="s">
        <v>2366</v>
      </c>
      <c r="AJ356" s="54"/>
      <c r="AK356" s="54"/>
      <c r="AL356" s="54"/>
      <c r="AM356" s="54"/>
      <c r="AN356" s="54"/>
      <c r="AO356" s="54"/>
      <c r="AP356" s="54"/>
      <c r="AQ356" s="54" t="s">
        <v>8179</v>
      </c>
      <c r="AR356" s="54"/>
      <c r="AS356" s="54"/>
      <c r="AT356" s="54" t="s">
        <v>2359</v>
      </c>
      <c r="AU356" s="54"/>
      <c r="AV356" s="54">
        <v>1</v>
      </c>
      <c r="AW356" s="54"/>
      <c r="AX356" s="54"/>
      <c r="AY356" s="54"/>
      <c r="AZ356" s="54"/>
      <c r="BA356" s="54"/>
      <c r="BB356" s="54" t="s">
        <v>2359</v>
      </c>
      <c r="BC356" s="54"/>
      <c r="BD356" s="54" t="s">
        <v>2371</v>
      </c>
      <c r="BE356" s="54" t="s">
        <v>2376</v>
      </c>
      <c r="BF356" s="54">
        <v>1</v>
      </c>
      <c r="BG356" s="54">
        <v>-6.9625000000000004</v>
      </c>
      <c r="BH356" s="54">
        <v>107.4346</v>
      </c>
      <c r="BI356" s="54"/>
      <c r="BJ356" s="54">
        <v>47</v>
      </c>
      <c r="BK356" s="54">
        <v>142</v>
      </c>
      <c r="BL356" s="54">
        <v>57</v>
      </c>
      <c r="BM356" s="54">
        <v>1</v>
      </c>
      <c r="BN356" s="54">
        <v>1</v>
      </c>
    </row>
    <row r="357" spans="1:66" s="219" customFormat="1" hidden="1" x14ac:dyDescent="0.3">
      <c r="A357" s="54">
        <v>351</v>
      </c>
      <c r="B357" s="54" t="s">
        <v>4867</v>
      </c>
      <c r="C357" s="54" t="s">
        <v>1586</v>
      </c>
      <c r="D357" s="54" t="s">
        <v>52</v>
      </c>
      <c r="E357" s="54">
        <v>3089403973</v>
      </c>
      <c r="F357" s="54" t="s">
        <v>2446</v>
      </c>
      <c r="G357" s="108">
        <v>39703</v>
      </c>
      <c r="H357" s="54">
        <v>3217111209080000</v>
      </c>
      <c r="I357" s="54" t="s">
        <v>2353</v>
      </c>
      <c r="J357" s="54" t="s">
        <v>3627</v>
      </c>
      <c r="K357" s="54">
        <v>1</v>
      </c>
      <c r="L357" s="54"/>
      <c r="M357" s="54"/>
      <c r="N357" s="54" t="s">
        <v>2425</v>
      </c>
      <c r="O357" s="54" t="s">
        <v>2426</v>
      </c>
      <c r="P357" s="54">
        <v>40562</v>
      </c>
      <c r="Q357" s="54" t="s">
        <v>2357</v>
      </c>
      <c r="R357" s="54" t="s">
        <v>2358</v>
      </c>
      <c r="S357" s="54"/>
      <c r="T357" s="54">
        <v>87834107074</v>
      </c>
      <c r="U357" s="54"/>
      <c r="V357" s="54"/>
      <c r="W357" s="54" t="s">
        <v>2359</v>
      </c>
      <c r="X357" s="54"/>
      <c r="Y357" s="54"/>
      <c r="Z357" s="54">
        <v>1968</v>
      </c>
      <c r="AA357" s="54" t="s">
        <v>2402</v>
      </c>
      <c r="AB357" s="54" t="s">
        <v>2362</v>
      </c>
      <c r="AC357" s="54" t="s">
        <v>2363</v>
      </c>
      <c r="AD357" s="54"/>
      <c r="AE357" s="54" t="s">
        <v>3628</v>
      </c>
      <c r="AF357" s="54">
        <v>1976</v>
      </c>
      <c r="AG357" s="54" t="s">
        <v>2402</v>
      </c>
      <c r="AH357" s="54" t="s">
        <v>2365</v>
      </c>
      <c r="AI357" s="54" t="s">
        <v>2366</v>
      </c>
      <c r="AJ357" s="54"/>
      <c r="AK357" s="54"/>
      <c r="AL357" s="54"/>
      <c r="AM357" s="54"/>
      <c r="AN357" s="54" t="s">
        <v>2365</v>
      </c>
      <c r="AO357" s="54"/>
      <c r="AP357" s="54"/>
      <c r="AQ357" s="54" t="s">
        <v>5147</v>
      </c>
      <c r="AR357" s="54"/>
      <c r="AS357" s="54"/>
      <c r="AT357" s="54" t="s">
        <v>2359</v>
      </c>
      <c r="AU357" s="54"/>
      <c r="AV357" s="54">
        <v>0</v>
      </c>
      <c r="AW357" s="54"/>
      <c r="AX357" s="54" t="s">
        <v>3629</v>
      </c>
      <c r="AY357" s="54"/>
      <c r="AZ357" s="54"/>
      <c r="BA357" s="54"/>
      <c r="BB357" s="54" t="s">
        <v>2369</v>
      </c>
      <c r="BC357" s="54" t="s">
        <v>2370</v>
      </c>
      <c r="BD357" s="54" t="s">
        <v>2371</v>
      </c>
      <c r="BE357" s="54"/>
      <c r="BF357" s="54">
        <v>3</v>
      </c>
      <c r="BG357" s="54">
        <v>-6.9625000000000004</v>
      </c>
      <c r="BH357" s="54">
        <v>107.4346</v>
      </c>
      <c r="BI357" s="54">
        <v>3217111304058270</v>
      </c>
      <c r="BJ357" s="54">
        <v>43</v>
      </c>
      <c r="BK357" s="54">
        <v>143</v>
      </c>
      <c r="BL357" s="54">
        <v>56</v>
      </c>
      <c r="BM357" s="54">
        <v>1</v>
      </c>
      <c r="BN357" s="54">
        <v>1</v>
      </c>
    </row>
    <row r="358" spans="1:66" hidden="1" x14ac:dyDescent="0.3">
      <c r="A358" s="3">
        <v>352</v>
      </c>
      <c r="B358" s="3" t="s">
        <v>3920</v>
      </c>
      <c r="C358" s="3" t="s">
        <v>4378</v>
      </c>
      <c r="D358" s="3" t="s">
        <v>52</v>
      </c>
      <c r="E358" s="3">
        <v>3103877440</v>
      </c>
      <c r="F358" s="3" t="s">
        <v>2377</v>
      </c>
      <c r="G358" s="157">
        <v>40443</v>
      </c>
      <c r="H358" s="3">
        <v>3217122209100000</v>
      </c>
      <c r="I358" s="3" t="s">
        <v>2353</v>
      </c>
      <c r="J358" s="3" t="s">
        <v>2585</v>
      </c>
      <c r="K358" s="3">
        <v>1</v>
      </c>
      <c r="L358" s="3">
        <v>7</v>
      </c>
      <c r="M358" s="3"/>
      <c r="N358" s="3" t="s">
        <v>4475</v>
      </c>
      <c r="O358" s="3" t="s">
        <v>2356</v>
      </c>
      <c r="P358" s="3">
        <v>40565</v>
      </c>
      <c r="Q358" s="3" t="s">
        <v>2357</v>
      </c>
      <c r="R358" s="3" t="s">
        <v>2358</v>
      </c>
      <c r="S358" s="3"/>
      <c r="T358" s="3"/>
      <c r="U358" s="3"/>
      <c r="V358" s="3"/>
      <c r="W358" s="3" t="s">
        <v>2359</v>
      </c>
      <c r="X358" s="3"/>
      <c r="Y358" s="3" t="s">
        <v>4868</v>
      </c>
      <c r="Z358" s="3">
        <v>0</v>
      </c>
      <c r="AA358" s="3" t="s">
        <v>2390</v>
      </c>
      <c r="AB358" s="3" t="s">
        <v>2362</v>
      </c>
      <c r="AC358" s="3" t="s">
        <v>2363</v>
      </c>
      <c r="AD358" s="3"/>
      <c r="AE358" s="3" t="s">
        <v>3971</v>
      </c>
      <c r="AF358" s="3">
        <v>0</v>
      </c>
      <c r="AG358" s="3"/>
      <c r="AH358" s="3" t="s">
        <v>2365</v>
      </c>
      <c r="AI358" s="3" t="s">
        <v>2366</v>
      </c>
      <c r="AJ358" s="3"/>
      <c r="AK358" s="3"/>
      <c r="AL358" s="3"/>
      <c r="AM358" s="3"/>
      <c r="AN358" s="3"/>
      <c r="AO358" s="3"/>
      <c r="AP358" s="3"/>
      <c r="AQ358" s="3" t="s">
        <v>5151</v>
      </c>
      <c r="AR358" s="3"/>
      <c r="AS358" s="3"/>
      <c r="AT358" s="3" t="s">
        <v>2359</v>
      </c>
      <c r="AU358" s="3"/>
      <c r="AV358" s="3">
        <v>1</v>
      </c>
      <c r="AW358" s="3"/>
      <c r="AX358" s="3"/>
      <c r="AY358" s="3"/>
      <c r="AZ358" s="3"/>
      <c r="BA358" s="3"/>
      <c r="BB358" s="3" t="s">
        <v>2359</v>
      </c>
      <c r="BC358" s="3"/>
      <c r="BD358" s="3" t="s">
        <v>2371</v>
      </c>
      <c r="BE358" s="3"/>
      <c r="BF358" s="3">
        <v>1</v>
      </c>
      <c r="BG358" s="3">
        <v>-6.9625000000000004</v>
      </c>
      <c r="BH358" s="3">
        <v>107.4346</v>
      </c>
      <c r="BI358" s="3"/>
      <c r="BJ358" s="3">
        <v>45</v>
      </c>
      <c r="BK358" s="3">
        <v>139</v>
      </c>
      <c r="BL358" s="3">
        <v>63</v>
      </c>
      <c r="BM358" s="3">
        <v>1</v>
      </c>
      <c r="BN358" s="3">
        <v>2</v>
      </c>
    </row>
    <row r="359" spans="1:66" s="219" customFormat="1" hidden="1" x14ac:dyDescent="0.3">
      <c r="A359" s="54">
        <v>353</v>
      </c>
      <c r="B359" s="54" t="s">
        <v>2614</v>
      </c>
      <c r="C359" s="54" t="s">
        <v>2146</v>
      </c>
      <c r="D359" s="54" t="s">
        <v>52</v>
      </c>
      <c r="E359" s="54">
        <v>3109360375</v>
      </c>
      <c r="F359" s="54" t="s">
        <v>2373</v>
      </c>
      <c r="G359" s="108">
        <v>40359</v>
      </c>
      <c r="H359" s="54">
        <v>3217123008100000</v>
      </c>
      <c r="I359" s="54" t="s">
        <v>2353</v>
      </c>
      <c r="J359" s="54" t="s">
        <v>2544</v>
      </c>
      <c r="K359" s="54">
        <v>1</v>
      </c>
      <c r="L359" s="54">
        <v>8</v>
      </c>
      <c r="M359" s="54"/>
      <c r="N359" s="54" t="s">
        <v>2395</v>
      </c>
      <c r="O359" s="54" t="s">
        <v>2356</v>
      </c>
      <c r="P359" s="54"/>
      <c r="Q359" s="54" t="s">
        <v>2357</v>
      </c>
      <c r="R359" s="54" t="s">
        <v>2374</v>
      </c>
      <c r="S359" s="54"/>
      <c r="T359" s="54"/>
      <c r="U359" s="54"/>
      <c r="V359" s="54"/>
      <c r="W359" s="54" t="s">
        <v>2359</v>
      </c>
      <c r="X359" s="54"/>
      <c r="Y359" s="54"/>
      <c r="Z359" s="54">
        <v>0</v>
      </c>
      <c r="AA359" s="54"/>
      <c r="AB359" s="54" t="s">
        <v>2362</v>
      </c>
      <c r="AC359" s="54" t="s">
        <v>2363</v>
      </c>
      <c r="AD359" s="54"/>
      <c r="AE359" s="54" t="s">
        <v>2615</v>
      </c>
      <c r="AF359" s="54">
        <v>0</v>
      </c>
      <c r="AG359" s="54"/>
      <c r="AH359" s="54" t="s">
        <v>2365</v>
      </c>
      <c r="AI359" s="54" t="s">
        <v>2366</v>
      </c>
      <c r="AJ359" s="54"/>
      <c r="AK359" s="54"/>
      <c r="AL359" s="54"/>
      <c r="AM359" s="54"/>
      <c r="AN359" s="54"/>
      <c r="AO359" s="54"/>
      <c r="AP359" s="54"/>
      <c r="AQ359" s="54" t="s">
        <v>8181</v>
      </c>
      <c r="AR359" s="54"/>
      <c r="AS359" s="54"/>
      <c r="AT359" s="54" t="s">
        <v>2359</v>
      </c>
      <c r="AU359" s="54"/>
      <c r="AV359" s="54">
        <v>1</v>
      </c>
      <c r="AW359" s="54"/>
      <c r="AX359" s="54"/>
      <c r="AY359" s="54"/>
      <c r="AZ359" s="54"/>
      <c r="BA359" s="54"/>
      <c r="BB359" s="54" t="s">
        <v>2359</v>
      </c>
      <c r="BC359" s="54"/>
      <c r="BD359" s="54" t="s">
        <v>2371</v>
      </c>
      <c r="BE359" s="54" t="s">
        <v>2376</v>
      </c>
      <c r="BF359" s="54">
        <v>1</v>
      </c>
      <c r="BG359" s="54"/>
      <c r="BH359" s="54"/>
      <c r="BI359" s="54"/>
      <c r="BJ359" s="54">
        <v>49</v>
      </c>
      <c r="BK359" s="54">
        <v>141</v>
      </c>
      <c r="BL359" s="54">
        <v>56</v>
      </c>
      <c r="BM359" s="54">
        <v>1</v>
      </c>
      <c r="BN359" s="54">
        <v>3</v>
      </c>
    </row>
    <row r="360" spans="1:66" s="219" customFormat="1" hidden="1" x14ac:dyDescent="0.3">
      <c r="A360" s="54">
        <v>354</v>
      </c>
      <c r="B360" s="54" t="s">
        <v>4214</v>
      </c>
      <c r="C360" s="54" t="s">
        <v>4215</v>
      </c>
      <c r="D360" s="54" t="s">
        <v>52</v>
      </c>
      <c r="E360" s="54">
        <v>3092824458</v>
      </c>
      <c r="F360" s="54" t="s">
        <v>2352</v>
      </c>
      <c r="G360" s="108">
        <v>40065</v>
      </c>
      <c r="H360" s="54">
        <v>3217120909090000</v>
      </c>
      <c r="I360" s="54" t="s">
        <v>2353</v>
      </c>
      <c r="J360" s="54" t="s">
        <v>4869</v>
      </c>
      <c r="K360" s="54">
        <v>2</v>
      </c>
      <c r="L360" s="54">
        <v>1</v>
      </c>
      <c r="M360" s="54"/>
      <c r="N360" s="54" t="s">
        <v>4557</v>
      </c>
      <c r="O360" s="54" t="s">
        <v>2356</v>
      </c>
      <c r="P360" s="54">
        <v>40757</v>
      </c>
      <c r="Q360" s="54" t="s">
        <v>2607</v>
      </c>
      <c r="R360" s="54" t="s">
        <v>2358</v>
      </c>
      <c r="S360" s="54"/>
      <c r="T360" s="54"/>
      <c r="U360" s="54"/>
      <c r="V360" s="54"/>
      <c r="W360" s="54" t="s">
        <v>2359</v>
      </c>
      <c r="X360" s="54"/>
      <c r="Y360" s="54" t="s">
        <v>4870</v>
      </c>
      <c r="Z360" s="54">
        <v>1965</v>
      </c>
      <c r="AA360" s="54"/>
      <c r="AB360" s="54" t="s">
        <v>2362</v>
      </c>
      <c r="AC360" s="54" t="s">
        <v>2403</v>
      </c>
      <c r="AD360" s="54">
        <v>3217120609650010</v>
      </c>
      <c r="AE360" s="54" t="s">
        <v>4871</v>
      </c>
      <c r="AF360" s="54">
        <v>1983</v>
      </c>
      <c r="AG360" s="54"/>
      <c r="AH360" s="54" t="s">
        <v>2365</v>
      </c>
      <c r="AI360" s="54" t="s">
        <v>2366</v>
      </c>
      <c r="AJ360" s="54">
        <v>3217125810830000</v>
      </c>
      <c r="AK360" s="54"/>
      <c r="AL360" s="54"/>
      <c r="AM360" s="54" t="s">
        <v>2474</v>
      </c>
      <c r="AN360" s="54" t="s">
        <v>2365</v>
      </c>
      <c r="AO360" s="54"/>
      <c r="AP360" s="54"/>
      <c r="AQ360" s="54" t="s">
        <v>8180</v>
      </c>
      <c r="AR360" s="54"/>
      <c r="AS360" s="54"/>
      <c r="AT360" s="54" t="s">
        <v>2369</v>
      </c>
      <c r="AU360" s="54"/>
      <c r="AV360" s="54">
        <v>1</v>
      </c>
      <c r="AW360" s="54"/>
      <c r="AX360" s="54" t="s">
        <v>4872</v>
      </c>
      <c r="AY360" s="54"/>
      <c r="AZ360" s="54"/>
      <c r="BA360" s="54"/>
      <c r="BB360" s="54" t="s">
        <v>2369</v>
      </c>
      <c r="BC360" s="54"/>
      <c r="BD360" s="54" t="s">
        <v>2371</v>
      </c>
      <c r="BE360" s="54" t="s">
        <v>4873</v>
      </c>
      <c r="BF360" s="54">
        <v>1</v>
      </c>
      <c r="BG360" s="54">
        <v>-7.0190757000000001</v>
      </c>
      <c r="BH360" s="54">
        <v>107.2974798</v>
      </c>
      <c r="BI360" s="54">
        <v>3217121605120000</v>
      </c>
      <c r="BJ360" s="54">
        <v>48</v>
      </c>
      <c r="BK360" s="54">
        <v>145</v>
      </c>
      <c r="BL360" s="54">
        <v>49</v>
      </c>
      <c r="BM360" s="54">
        <v>1</v>
      </c>
      <c r="BN360" s="54">
        <v>3</v>
      </c>
    </row>
    <row r="361" spans="1:66" hidden="1" x14ac:dyDescent="0.3">
      <c r="A361" s="3">
        <v>355</v>
      </c>
      <c r="B361" s="3" t="s">
        <v>4874</v>
      </c>
      <c r="C361" s="3" t="s">
        <v>4247</v>
      </c>
      <c r="D361" s="3" t="s">
        <v>52</v>
      </c>
      <c r="E361" s="3">
        <v>3115990453</v>
      </c>
      <c r="F361" s="3" t="s">
        <v>2377</v>
      </c>
      <c r="G361" s="157">
        <v>40650</v>
      </c>
      <c r="H361" s="3">
        <v>3217121704110000</v>
      </c>
      <c r="I361" s="3" t="s">
        <v>2353</v>
      </c>
      <c r="J361" s="3">
        <v>3217120809120020</v>
      </c>
      <c r="K361" s="3">
        <v>2</v>
      </c>
      <c r="L361" s="3">
        <v>7</v>
      </c>
      <c r="M361" s="3"/>
      <c r="N361" s="3" t="s">
        <v>4475</v>
      </c>
      <c r="O361" s="3" t="s">
        <v>2356</v>
      </c>
      <c r="P361" s="3">
        <v>40760</v>
      </c>
      <c r="Q361" s="3" t="s">
        <v>2357</v>
      </c>
      <c r="R361" s="3" t="s">
        <v>2358</v>
      </c>
      <c r="S361" s="3"/>
      <c r="T361" s="3"/>
      <c r="U361" s="3"/>
      <c r="V361" s="3"/>
      <c r="W361" s="3" t="s">
        <v>2359</v>
      </c>
      <c r="X361" s="3"/>
      <c r="Y361" s="3" t="s">
        <v>3025</v>
      </c>
      <c r="Z361" s="3">
        <v>1973</v>
      </c>
      <c r="AA361" s="3" t="s">
        <v>2390</v>
      </c>
      <c r="AB361" s="3" t="s">
        <v>2362</v>
      </c>
      <c r="AC361" s="3" t="s">
        <v>2363</v>
      </c>
      <c r="AD361" s="3">
        <v>3217122607730000</v>
      </c>
      <c r="AE361" s="3" t="s">
        <v>4015</v>
      </c>
      <c r="AF361" s="3">
        <v>1988</v>
      </c>
      <c r="AG361" s="3" t="s">
        <v>2402</v>
      </c>
      <c r="AH361" s="3" t="s">
        <v>2365</v>
      </c>
      <c r="AI361" s="3" t="s">
        <v>2366</v>
      </c>
      <c r="AJ361" s="3">
        <v>3217127005880000</v>
      </c>
      <c r="AK361" s="3"/>
      <c r="AL361" s="3"/>
      <c r="AM361" s="3"/>
      <c r="AN361" s="3"/>
      <c r="AO361" s="3"/>
      <c r="AP361" s="3"/>
      <c r="AQ361" s="3" t="s">
        <v>5146</v>
      </c>
      <c r="AR361" s="3"/>
      <c r="AS361" s="3"/>
      <c r="AT361" s="3" t="s">
        <v>2359</v>
      </c>
      <c r="AU361" s="3"/>
      <c r="AV361" s="3">
        <v>1</v>
      </c>
      <c r="AW361" s="3"/>
      <c r="AX361" s="3" t="s">
        <v>4875</v>
      </c>
      <c r="AY361" s="3"/>
      <c r="AZ361" s="3"/>
      <c r="BA361" s="3"/>
      <c r="BB361" s="3" t="s">
        <v>2369</v>
      </c>
      <c r="BC361" s="3" t="s">
        <v>2370</v>
      </c>
      <c r="BD361" s="3" t="s">
        <v>2371</v>
      </c>
      <c r="BE361" s="3"/>
      <c r="BF361" s="3">
        <v>1</v>
      </c>
      <c r="BG361" s="3">
        <v>-6.9625000000000004</v>
      </c>
      <c r="BH361" s="3">
        <v>107.4346</v>
      </c>
      <c r="BI361" s="3">
        <v>3217120809120020</v>
      </c>
      <c r="BJ361" s="3">
        <v>44</v>
      </c>
      <c r="BK361" s="3">
        <v>139</v>
      </c>
      <c r="BL361" s="3">
        <v>55</v>
      </c>
      <c r="BM361" s="3">
        <v>1</v>
      </c>
      <c r="BN361" s="3">
        <v>2</v>
      </c>
    </row>
    <row r="362" spans="1:66" hidden="1" x14ac:dyDescent="0.3">
      <c r="A362" s="3">
        <v>356</v>
      </c>
      <c r="B362" s="3" t="s">
        <v>4876</v>
      </c>
      <c r="C362" s="3" t="s">
        <v>4305</v>
      </c>
      <c r="D362" s="3" t="s">
        <v>52</v>
      </c>
      <c r="E362" s="3">
        <v>115878056</v>
      </c>
      <c r="F362" s="3" t="s">
        <v>2377</v>
      </c>
      <c r="G362" s="157">
        <v>40581</v>
      </c>
      <c r="H362" s="3">
        <v>3217120702110000</v>
      </c>
      <c r="I362" s="3" t="s">
        <v>2353</v>
      </c>
      <c r="J362" s="3" t="s">
        <v>4723</v>
      </c>
      <c r="K362" s="3">
        <v>1</v>
      </c>
      <c r="L362" s="3">
        <v>2</v>
      </c>
      <c r="M362" s="3"/>
      <c r="N362" s="3" t="s">
        <v>4475</v>
      </c>
      <c r="O362" s="3" t="s">
        <v>2356</v>
      </c>
      <c r="P362" s="3">
        <v>40564</v>
      </c>
      <c r="Q362" s="3" t="s">
        <v>2357</v>
      </c>
      <c r="R362" s="3" t="s">
        <v>2358</v>
      </c>
      <c r="S362" s="3"/>
      <c r="T362" s="3">
        <v>81324894332</v>
      </c>
      <c r="U362" s="3"/>
      <c r="V362" s="3"/>
      <c r="W362" s="3" t="s">
        <v>2359</v>
      </c>
      <c r="X362" s="3"/>
      <c r="Y362" s="3" t="s">
        <v>4877</v>
      </c>
      <c r="Z362" s="3">
        <v>1984</v>
      </c>
      <c r="AA362" s="3" t="s">
        <v>2402</v>
      </c>
      <c r="AB362" s="3" t="s">
        <v>2362</v>
      </c>
      <c r="AC362" s="3" t="s">
        <v>2403</v>
      </c>
      <c r="AD362" s="3">
        <v>3217121008840030</v>
      </c>
      <c r="AE362" s="3" t="s">
        <v>4004</v>
      </c>
      <c r="AF362" s="3">
        <v>1992</v>
      </c>
      <c r="AG362" s="3" t="s">
        <v>2361</v>
      </c>
      <c r="AH362" s="3" t="s">
        <v>2362</v>
      </c>
      <c r="AI362" s="3" t="s">
        <v>2403</v>
      </c>
      <c r="AJ362" s="3">
        <v>3217126207920000</v>
      </c>
      <c r="AK362" s="3" t="s">
        <v>4878</v>
      </c>
      <c r="AL362" s="3">
        <v>1977</v>
      </c>
      <c r="AM362" s="3" t="s">
        <v>2361</v>
      </c>
      <c r="AN362" s="3" t="s">
        <v>2362</v>
      </c>
      <c r="AO362" s="3" t="s">
        <v>2403</v>
      </c>
      <c r="AP362" s="3">
        <v>3217123004770000</v>
      </c>
      <c r="AQ362" s="3" t="s">
        <v>5150</v>
      </c>
      <c r="AR362" s="3"/>
      <c r="AS362" s="3"/>
      <c r="AT362" s="3" t="s">
        <v>2359</v>
      </c>
      <c r="AU362" s="3"/>
      <c r="AV362" s="3">
        <v>1</v>
      </c>
      <c r="AW362" s="3"/>
      <c r="AX362" s="3" t="s">
        <v>4879</v>
      </c>
      <c r="AY362" s="3"/>
      <c r="AZ362" s="3"/>
      <c r="BA362" s="3"/>
      <c r="BB362" s="3" t="s">
        <v>2369</v>
      </c>
      <c r="BC362" s="3" t="s">
        <v>2370</v>
      </c>
      <c r="BD362" s="3" t="s">
        <v>2371</v>
      </c>
      <c r="BE362" s="3" t="s">
        <v>2477</v>
      </c>
      <c r="BF362" s="3">
        <v>1</v>
      </c>
      <c r="BG362" s="3">
        <v>-6.9661</v>
      </c>
      <c r="BH362" s="3">
        <v>107.4057</v>
      </c>
      <c r="BI362" s="3">
        <v>3217122907130000</v>
      </c>
      <c r="BJ362" s="3">
        <v>48</v>
      </c>
      <c r="BK362" s="3">
        <v>145</v>
      </c>
      <c r="BL362" s="3">
        <v>61</v>
      </c>
      <c r="BM362" s="3">
        <v>1</v>
      </c>
      <c r="BN362" s="3">
        <v>2</v>
      </c>
    </row>
    <row r="363" spans="1:66" hidden="1" x14ac:dyDescent="0.3">
      <c r="A363" s="3">
        <v>357</v>
      </c>
      <c r="B363" s="3" t="s">
        <v>3921</v>
      </c>
      <c r="C363" s="3" t="s">
        <v>4379</v>
      </c>
      <c r="D363" s="3" t="s">
        <v>52</v>
      </c>
      <c r="E363" s="3">
        <v>105001697</v>
      </c>
      <c r="F363" s="3" t="s">
        <v>2377</v>
      </c>
      <c r="G363" s="157">
        <v>40396</v>
      </c>
      <c r="H363" s="3">
        <v>3217110608100000</v>
      </c>
      <c r="I363" s="3" t="s">
        <v>2353</v>
      </c>
      <c r="J363" s="3" t="s">
        <v>2839</v>
      </c>
      <c r="K363" s="3">
        <v>1</v>
      </c>
      <c r="L363" s="3">
        <v>9</v>
      </c>
      <c r="M363" s="3"/>
      <c r="N363" s="3" t="s">
        <v>4508</v>
      </c>
      <c r="O363" s="3" t="s">
        <v>2426</v>
      </c>
      <c r="P363" s="3">
        <v>40562</v>
      </c>
      <c r="Q363" s="3" t="s">
        <v>2357</v>
      </c>
      <c r="R363" s="3" t="s">
        <v>2374</v>
      </c>
      <c r="S363" s="3"/>
      <c r="T363" s="3">
        <v>83820923443</v>
      </c>
      <c r="U363" s="3"/>
      <c r="V363" s="3"/>
      <c r="W363" s="3" t="s">
        <v>2359</v>
      </c>
      <c r="X363" s="3"/>
      <c r="Y363" s="3" t="s">
        <v>4064</v>
      </c>
      <c r="Z363" s="3">
        <v>1984</v>
      </c>
      <c r="AA363" s="3" t="s">
        <v>2361</v>
      </c>
      <c r="AB363" s="3" t="s">
        <v>2362</v>
      </c>
      <c r="AC363" s="3" t="s">
        <v>2375</v>
      </c>
      <c r="AD363" s="3">
        <v>3217111004840010</v>
      </c>
      <c r="AE363" s="3" t="s">
        <v>4065</v>
      </c>
      <c r="AF363" s="3">
        <v>1990</v>
      </c>
      <c r="AG363" s="3" t="s">
        <v>2361</v>
      </c>
      <c r="AH363" s="3" t="s">
        <v>2365</v>
      </c>
      <c r="AI363" s="3" t="s">
        <v>2366</v>
      </c>
      <c r="AJ363" s="3">
        <v>3217116907900000</v>
      </c>
      <c r="AK363" s="3"/>
      <c r="AL363" s="3"/>
      <c r="AM363" s="3" t="s">
        <v>2367</v>
      </c>
      <c r="AN363" s="3"/>
      <c r="AO363" s="3"/>
      <c r="AP363" s="3"/>
      <c r="AQ363" s="3" t="s">
        <v>5151</v>
      </c>
      <c r="AR363" s="3"/>
      <c r="AS363" s="3"/>
      <c r="AT363" s="3" t="s">
        <v>2369</v>
      </c>
      <c r="AU363" s="3"/>
      <c r="AV363" s="3">
        <v>0</v>
      </c>
      <c r="AW363" s="3"/>
      <c r="AX363" s="3" t="s">
        <v>4880</v>
      </c>
      <c r="AY363" s="3"/>
      <c r="AZ363" s="3"/>
      <c r="BA363" s="3"/>
      <c r="BB363" s="3" t="s">
        <v>2369</v>
      </c>
      <c r="BC363" s="3"/>
      <c r="BD363" s="3" t="s">
        <v>2371</v>
      </c>
      <c r="BE363" s="3" t="s">
        <v>2691</v>
      </c>
      <c r="BF363" s="3">
        <v>1</v>
      </c>
      <c r="BG363" s="3">
        <v>-6.9743000000000004</v>
      </c>
      <c r="BH363" s="3">
        <v>107.43559999999999</v>
      </c>
      <c r="BI363" s="3">
        <v>3217112407080010</v>
      </c>
      <c r="BJ363" s="3">
        <v>29</v>
      </c>
      <c r="BK363" s="3">
        <v>128</v>
      </c>
      <c r="BL363" s="3">
        <v>0</v>
      </c>
      <c r="BM363" s="3">
        <v>0</v>
      </c>
      <c r="BN363" s="3">
        <v>1</v>
      </c>
    </row>
    <row r="364" spans="1:66" s="219" customFormat="1" hidden="1" x14ac:dyDescent="0.3">
      <c r="A364" s="54">
        <v>358</v>
      </c>
      <c r="B364" s="54" t="s">
        <v>4881</v>
      </c>
      <c r="C364" s="54" t="s">
        <v>2293</v>
      </c>
      <c r="D364" s="54" t="s">
        <v>52</v>
      </c>
      <c r="E364" s="54">
        <v>98598674</v>
      </c>
      <c r="F364" s="54" t="s">
        <v>2373</v>
      </c>
      <c r="G364" s="108">
        <v>40022</v>
      </c>
      <c r="H364" s="54">
        <v>3217112807090000</v>
      </c>
      <c r="I364" s="54" t="s">
        <v>2353</v>
      </c>
      <c r="J364" s="54" t="s">
        <v>2424</v>
      </c>
      <c r="K364" s="54">
        <v>2</v>
      </c>
      <c r="L364" s="54">
        <v>8</v>
      </c>
      <c r="M364" s="54" t="s">
        <v>2424</v>
      </c>
      <c r="N364" s="54" t="s">
        <v>2425</v>
      </c>
      <c r="O364" s="54" t="s">
        <v>2426</v>
      </c>
      <c r="P364" s="54">
        <v>40562</v>
      </c>
      <c r="Q364" s="54" t="s">
        <v>2357</v>
      </c>
      <c r="R364" s="54" t="s">
        <v>2358</v>
      </c>
      <c r="S364" s="54"/>
      <c r="T364" s="54">
        <v>83821379104</v>
      </c>
      <c r="U364" s="54"/>
      <c r="V364" s="54"/>
      <c r="W364" s="54" t="s">
        <v>2359</v>
      </c>
      <c r="X364" s="54" t="s">
        <v>4882</v>
      </c>
      <c r="Y364" s="54" t="s">
        <v>4883</v>
      </c>
      <c r="Z364" s="54">
        <v>1981</v>
      </c>
      <c r="AA364" s="54" t="s">
        <v>2361</v>
      </c>
      <c r="AB364" s="54" t="s">
        <v>2362</v>
      </c>
      <c r="AC364" s="54" t="s">
        <v>2403</v>
      </c>
      <c r="AD364" s="54">
        <v>3217111204810010</v>
      </c>
      <c r="AE364" s="54" t="s">
        <v>4884</v>
      </c>
      <c r="AF364" s="54">
        <v>1984</v>
      </c>
      <c r="AG364" s="54" t="s">
        <v>2361</v>
      </c>
      <c r="AH364" s="54" t="s">
        <v>2365</v>
      </c>
      <c r="AI364" s="54" t="s">
        <v>2366</v>
      </c>
      <c r="AJ364" s="54">
        <v>3217114606840020</v>
      </c>
      <c r="AK364" s="54"/>
      <c r="AL364" s="54"/>
      <c r="AM364" s="54" t="s">
        <v>2367</v>
      </c>
      <c r="AN364" s="54"/>
      <c r="AO364" s="54"/>
      <c r="AP364" s="54"/>
      <c r="AQ364" s="54" t="s">
        <v>8179</v>
      </c>
      <c r="AR364" s="54"/>
      <c r="AS364" s="54" t="s">
        <v>4885</v>
      </c>
      <c r="AT364" s="54" t="s">
        <v>2359</v>
      </c>
      <c r="AU364" s="54"/>
      <c r="AV364" s="54">
        <v>0</v>
      </c>
      <c r="AW364" s="54"/>
      <c r="AX364" s="54" t="s">
        <v>4886</v>
      </c>
      <c r="AY364" s="54"/>
      <c r="AZ364" s="54"/>
      <c r="BA364" s="54"/>
      <c r="BB364" s="54" t="s">
        <v>2369</v>
      </c>
      <c r="BC364" s="54" t="s">
        <v>2370</v>
      </c>
      <c r="BD364" s="54" t="s">
        <v>2371</v>
      </c>
      <c r="BE364" s="54" t="s">
        <v>2430</v>
      </c>
      <c r="BF364" s="54">
        <v>1</v>
      </c>
      <c r="BG364" s="54">
        <v>-6.9514541999999997</v>
      </c>
      <c r="BH364" s="54">
        <v>107.4179645</v>
      </c>
      <c r="BI364" s="54">
        <v>3217110104080020</v>
      </c>
      <c r="BJ364" s="54">
        <v>41</v>
      </c>
      <c r="BK364" s="54">
        <v>143</v>
      </c>
      <c r="BL364" s="54">
        <v>59</v>
      </c>
      <c r="BM364" s="54">
        <v>3</v>
      </c>
      <c r="BN364" s="54">
        <v>1</v>
      </c>
    </row>
    <row r="365" spans="1:66" hidden="1" x14ac:dyDescent="0.3">
      <c r="A365" s="3">
        <v>359</v>
      </c>
      <c r="B365" s="3" t="s">
        <v>3922</v>
      </c>
      <c r="C365" s="3" t="s">
        <v>4380</v>
      </c>
      <c r="D365" s="3" t="s">
        <v>52</v>
      </c>
      <c r="E365" s="3">
        <v>107380211</v>
      </c>
      <c r="F365" s="3" t="s">
        <v>2928</v>
      </c>
      <c r="G365" s="157">
        <v>40434</v>
      </c>
      <c r="H365" s="3">
        <v>3671041309100000</v>
      </c>
      <c r="I365" s="3" t="s">
        <v>2353</v>
      </c>
      <c r="J365" s="3" t="s">
        <v>2831</v>
      </c>
      <c r="K365" s="3">
        <v>2</v>
      </c>
      <c r="L365" s="3">
        <v>4</v>
      </c>
      <c r="M365" s="3"/>
      <c r="N365" s="3" t="s">
        <v>4475</v>
      </c>
      <c r="O365" s="3" t="s">
        <v>2356</v>
      </c>
      <c r="P365" s="3">
        <v>40564</v>
      </c>
      <c r="Q365" s="3" t="s">
        <v>2357</v>
      </c>
      <c r="R365" s="3" t="s">
        <v>2358</v>
      </c>
      <c r="S365" s="3"/>
      <c r="T365" s="3">
        <v>83813504857</v>
      </c>
      <c r="U365" s="3"/>
      <c r="V365" s="3"/>
      <c r="W365" s="3" t="s">
        <v>2359</v>
      </c>
      <c r="X365" s="3"/>
      <c r="Y365" s="3" t="s">
        <v>4179</v>
      </c>
      <c r="Z365" s="3">
        <v>1986</v>
      </c>
      <c r="AA365" s="3" t="s">
        <v>2402</v>
      </c>
      <c r="AB365" s="3" t="s">
        <v>2362</v>
      </c>
      <c r="AC365" s="3" t="s">
        <v>2363</v>
      </c>
      <c r="AD365" s="3">
        <v>3217121501860000</v>
      </c>
      <c r="AE365" s="3" t="s">
        <v>4180</v>
      </c>
      <c r="AF365" s="3">
        <v>1991</v>
      </c>
      <c r="AG365" s="3" t="s">
        <v>2361</v>
      </c>
      <c r="AH365" s="3" t="s">
        <v>2365</v>
      </c>
      <c r="AI365" s="3" t="s">
        <v>2366</v>
      </c>
      <c r="AJ365" s="3">
        <v>3671044107920000</v>
      </c>
      <c r="AK365" s="3"/>
      <c r="AL365" s="3"/>
      <c r="AM365" s="3" t="s">
        <v>2367</v>
      </c>
      <c r="AN365" s="3"/>
      <c r="AO365" s="3"/>
      <c r="AP365" s="3"/>
      <c r="AQ365" s="3" t="s">
        <v>5151</v>
      </c>
      <c r="AR365" s="3"/>
      <c r="AS365" s="3"/>
      <c r="AT365" s="3" t="s">
        <v>2359</v>
      </c>
      <c r="AU365" s="3"/>
      <c r="AV365" s="3">
        <v>0</v>
      </c>
      <c r="AW365" s="3"/>
      <c r="AX365" s="3" t="s">
        <v>4887</v>
      </c>
      <c r="AY365" s="3"/>
      <c r="AZ365" s="3"/>
      <c r="BA365" s="3"/>
      <c r="BB365" s="3" t="s">
        <v>2369</v>
      </c>
      <c r="BC365" s="3" t="s">
        <v>2370</v>
      </c>
      <c r="BD365" s="3" t="s">
        <v>2371</v>
      </c>
      <c r="BE365" s="3" t="s">
        <v>2372</v>
      </c>
      <c r="BF365" s="3">
        <v>1</v>
      </c>
      <c r="BG365" s="3">
        <v>-6.1413654949999996</v>
      </c>
      <c r="BH365" s="3">
        <v>106.6829109</v>
      </c>
      <c r="BI365" s="3">
        <v>3217122402210010</v>
      </c>
      <c r="BJ365" s="3">
        <v>40</v>
      </c>
      <c r="BK365" s="3">
        <v>138</v>
      </c>
      <c r="BL365" s="3">
        <v>56</v>
      </c>
      <c r="BM365" s="3">
        <v>1</v>
      </c>
      <c r="BN365" s="3">
        <v>2</v>
      </c>
    </row>
    <row r="366" spans="1:66" s="219" customFormat="1" hidden="1" x14ac:dyDescent="0.3">
      <c r="A366" s="54">
        <v>360</v>
      </c>
      <c r="B366" s="54" t="s">
        <v>2079</v>
      </c>
      <c r="C366" s="54" t="s">
        <v>2177</v>
      </c>
      <c r="D366" s="54" t="s">
        <v>52</v>
      </c>
      <c r="E366" s="54">
        <v>99250261</v>
      </c>
      <c r="F366" s="54" t="s">
        <v>2352</v>
      </c>
      <c r="G366" s="108">
        <v>39856</v>
      </c>
      <c r="H366" s="54">
        <v>3217121202090000</v>
      </c>
      <c r="I366" s="54" t="s">
        <v>2353</v>
      </c>
      <c r="J366" s="54" t="s">
        <v>2732</v>
      </c>
      <c r="K366" s="54">
        <v>1</v>
      </c>
      <c r="L366" s="54">
        <v>1</v>
      </c>
      <c r="M366" s="54" t="s">
        <v>2733</v>
      </c>
      <c r="N366" s="54" t="s">
        <v>2399</v>
      </c>
      <c r="O366" s="54" t="s">
        <v>2356</v>
      </c>
      <c r="P366" s="54">
        <v>40564</v>
      </c>
      <c r="Q366" s="54" t="s">
        <v>2357</v>
      </c>
      <c r="R366" s="54" t="s">
        <v>2358</v>
      </c>
      <c r="S366" s="54"/>
      <c r="T366" s="54">
        <v>87812993100</v>
      </c>
      <c r="U366" s="54"/>
      <c r="V366" s="54"/>
      <c r="W366" s="54" t="s">
        <v>2369</v>
      </c>
      <c r="X366" s="54" t="s">
        <v>2741</v>
      </c>
      <c r="Y366" s="54" t="s">
        <v>2742</v>
      </c>
      <c r="Z366" s="54">
        <v>1965</v>
      </c>
      <c r="AA366" s="54" t="s">
        <v>2361</v>
      </c>
      <c r="AB366" s="54" t="s">
        <v>2362</v>
      </c>
      <c r="AC366" s="54" t="s">
        <v>2403</v>
      </c>
      <c r="AD366" s="54">
        <v>3217121006650000</v>
      </c>
      <c r="AE366" s="54" t="s">
        <v>2743</v>
      </c>
      <c r="AF366" s="54">
        <v>1972</v>
      </c>
      <c r="AG366" s="54" t="s">
        <v>2402</v>
      </c>
      <c r="AH366" s="54" t="s">
        <v>2365</v>
      </c>
      <c r="AI366" s="54" t="s">
        <v>2366</v>
      </c>
      <c r="AJ366" s="54">
        <v>3217125001720000</v>
      </c>
      <c r="AK366" s="54"/>
      <c r="AL366" s="54"/>
      <c r="AM366" s="54" t="s">
        <v>2367</v>
      </c>
      <c r="AN366" s="54"/>
      <c r="AO366" s="54"/>
      <c r="AP366" s="54"/>
      <c r="AQ366" s="54" t="s">
        <v>8180</v>
      </c>
      <c r="AR366" s="54"/>
      <c r="AS366" s="54"/>
      <c r="AT366" s="54" t="s">
        <v>2359</v>
      </c>
      <c r="AU366" s="54"/>
      <c r="AV366" s="54">
        <v>0</v>
      </c>
      <c r="AW366" s="54"/>
      <c r="AX366" s="54"/>
      <c r="AY366" s="54"/>
      <c r="AZ366" s="54"/>
      <c r="BA366" s="54"/>
      <c r="BB366" s="54" t="s">
        <v>2369</v>
      </c>
      <c r="BC366" s="54" t="s">
        <v>2370</v>
      </c>
      <c r="BD366" s="54" t="s">
        <v>2371</v>
      </c>
      <c r="BE366" s="54" t="s">
        <v>2406</v>
      </c>
      <c r="BF366" s="54">
        <v>4</v>
      </c>
      <c r="BG366" s="54">
        <v>-6.9538618269999999</v>
      </c>
      <c r="BH366" s="54">
        <v>107.3903918</v>
      </c>
      <c r="BI366" s="54"/>
      <c r="BJ366" s="54">
        <v>53</v>
      </c>
      <c r="BK366" s="54">
        <v>146</v>
      </c>
      <c r="BL366" s="54">
        <v>0</v>
      </c>
      <c r="BM366" s="54">
        <v>0</v>
      </c>
      <c r="BN366" s="54">
        <v>0</v>
      </c>
    </row>
    <row r="367" spans="1:66" s="219" customFormat="1" hidden="1" x14ac:dyDescent="0.3">
      <c r="A367" s="54">
        <v>361</v>
      </c>
      <c r="B367" s="54" t="s">
        <v>4888</v>
      </c>
      <c r="C367" s="54" t="s">
        <v>4226</v>
      </c>
      <c r="D367" s="54" t="s">
        <v>52</v>
      </c>
      <c r="E367" s="54">
        <v>3097706449</v>
      </c>
      <c r="F367" s="54" t="s">
        <v>2377</v>
      </c>
      <c r="G367" s="108">
        <v>39999</v>
      </c>
      <c r="H367" s="54">
        <v>3217110507090000</v>
      </c>
      <c r="I367" s="54" t="s">
        <v>2353</v>
      </c>
      <c r="J367" s="54" t="s">
        <v>4889</v>
      </c>
      <c r="K367" s="54">
        <v>3</v>
      </c>
      <c r="L367" s="54">
        <v>4</v>
      </c>
      <c r="M367" s="54" t="s">
        <v>2425</v>
      </c>
      <c r="N367" s="54" t="s">
        <v>4508</v>
      </c>
      <c r="O367" s="54" t="s">
        <v>2426</v>
      </c>
      <c r="P367" s="54">
        <v>40562</v>
      </c>
      <c r="Q367" s="54" t="s">
        <v>2357</v>
      </c>
      <c r="R367" s="54" t="s">
        <v>2358</v>
      </c>
      <c r="S367" s="54"/>
      <c r="T367" s="54"/>
      <c r="U367" s="54"/>
      <c r="V367" s="54"/>
      <c r="W367" s="54" t="s">
        <v>2359</v>
      </c>
      <c r="X367" s="54"/>
      <c r="Y367" s="54" t="s">
        <v>2486</v>
      </c>
      <c r="Z367" s="54">
        <v>1980</v>
      </c>
      <c r="AA367" s="54"/>
      <c r="AB367" s="54" t="s">
        <v>2362</v>
      </c>
      <c r="AC367" s="54" t="s">
        <v>2403</v>
      </c>
      <c r="AD367" s="54">
        <v>3217111306800010</v>
      </c>
      <c r="AE367" s="54" t="s">
        <v>4890</v>
      </c>
      <c r="AF367" s="54">
        <v>1984</v>
      </c>
      <c r="AG367" s="54"/>
      <c r="AH367" s="54" t="s">
        <v>2365</v>
      </c>
      <c r="AI367" s="54" t="s">
        <v>2366</v>
      </c>
      <c r="AJ367" s="54">
        <v>3217115009840020</v>
      </c>
      <c r="AK367" s="54"/>
      <c r="AL367" s="54"/>
      <c r="AM367" s="54"/>
      <c r="AN367" s="54"/>
      <c r="AO367" s="54"/>
      <c r="AP367" s="54"/>
      <c r="AQ367" s="54" t="s">
        <v>8180</v>
      </c>
      <c r="AR367" s="54"/>
      <c r="AS367" s="54"/>
      <c r="AT367" s="54" t="s">
        <v>2359</v>
      </c>
      <c r="AU367" s="54"/>
      <c r="AV367" s="54">
        <v>1</v>
      </c>
      <c r="AW367" s="54"/>
      <c r="AX367" s="54" t="s">
        <v>4891</v>
      </c>
      <c r="AY367" s="54"/>
      <c r="AZ367" s="54"/>
      <c r="BA367" s="54"/>
      <c r="BB367" s="54" t="s">
        <v>2369</v>
      </c>
      <c r="BC367" s="54" t="s">
        <v>2370</v>
      </c>
      <c r="BD367" s="54" t="s">
        <v>2371</v>
      </c>
      <c r="BE367" s="54"/>
      <c r="BF367" s="54">
        <v>3</v>
      </c>
      <c r="BG367" s="54">
        <v>-6.9824000000000002</v>
      </c>
      <c r="BH367" s="54">
        <v>107.4256</v>
      </c>
      <c r="BI367" s="54">
        <v>3217112601100000</v>
      </c>
      <c r="BJ367" s="54">
        <v>41</v>
      </c>
      <c r="BK367" s="54">
        <v>146</v>
      </c>
      <c r="BL367" s="54">
        <v>55</v>
      </c>
      <c r="BM367" s="54">
        <v>1</v>
      </c>
      <c r="BN367" s="54">
        <v>2</v>
      </c>
    </row>
    <row r="368" spans="1:66" x14ac:dyDescent="0.3">
      <c r="A368" s="3">
        <v>362</v>
      </c>
      <c r="B368" s="3" t="s">
        <v>3949</v>
      </c>
      <c r="C368" s="3" t="s">
        <v>4409</v>
      </c>
      <c r="D368" s="3" t="s">
        <v>52</v>
      </c>
      <c r="E368" s="3">
        <v>115392657</v>
      </c>
      <c r="F368" s="3" t="s">
        <v>2377</v>
      </c>
      <c r="G368" s="157">
        <v>40575</v>
      </c>
      <c r="H368" s="3">
        <v>3217120102110000</v>
      </c>
      <c r="I368" s="3" t="s">
        <v>2353</v>
      </c>
      <c r="J368" s="3" t="s">
        <v>2641</v>
      </c>
      <c r="K368" s="3">
        <v>3</v>
      </c>
      <c r="L368" s="3">
        <v>10</v>
      </c>
      <c r="M368" s="3"/>
      <c r="N368" s="3" t="s">
        <v>4475</v>
      </c>
      <c r="O368" s="3" t="s">
        <v>2356</v>
      </c>
      <c r="P368" s="3">
        <v>40564</v>
      </c>
      <c r="Q368" s="3" t="s">
        <v>2357</v>
      </c>
      <c r="R368" s="3" t="s">
        <v>2358</v>
      </c>
      <c r="S368" s="3"/>
      <c r="T368" s="3">
        <v>83101131663</v>
      </c>
      <c r="U368" s="3"/>
      <c r="V368" s="3"/>
      <c r="W368" s="3" t="s">
        <v>2359</v>
      </c>
      <c r="X368" s="3"/>
      <c r="Y368" s="3" t="s">
        <v>4192</v>
      </c>
      <c r="Z368" s="3">
        <v>1980</v>
      </c>
      <c r="AA368" s="3" t="s">
        <v>2361</v>
      </c>
      <c r="AB368" s="3" t="s">
        <v>2362</v>
      </c>
      <c r="AC368" s="3" t="s">
        <v>2363</v>
      </c>
      <c r="AD368" s="3">
        <v>3217120306800040</v>
      </c>
      <c r="AE368" s="3" t="s">
        <v>4892</v>
      </c>
      <c r="AF368" s="3">
        <v>1983</v>
      </c>
      <c r="AG368" s="3" t="s">
        <v>2361</v>
      </c>
      <c r="AH368" s="3" t="s">
        <v>2365</v>
      </c>
      <c r="AI368" s="3" t="s">
        <v>2366</v>
      </c>
      <c r="AJ368" s="3">
        <v>3217126802830000</v>
      </c>
      <c r="AK368" s="3"/>
      <c r="AL368" s="3"/>
      <c r="AM368" s="3" t="s">
        <v>2367</v>
      </c>
      <c r="AN368" s="3"/>
      <c r="AO368" s="3"/>
      <c r="AP368" s="3"/>
      <c r="AQ368" s="3" t="s">
        <v>5148</v>
      </c>
      <c r="AR368" s="3"/>
      <c r="AS368" s="3"/>
      <c r="AT368" s="3" t="s">
        <v>2369</v>
      </c>
      <c r="AU368" s="3"/>
      <c r="AV368" s="3">
        <v>0</v>
      </c>
      <c r="AW368" s="3"/>
      <c r="AX368" s="3" t="s">
        <v>4191</v>
      </c>
      <c r="AY368" s="3"/>
      <c r="AZ368" s="3"/>
      <c r="BA368" s="3"/>
      <c r="BB368" s="3" t="s">
        <v>2369</v>
      </c>
      <c r="BC368" s="3"/>
      <c r="BD368" s="3" t="s">
        <v>2371</v>
      </c>
      <c r="BE368" s="3" t="s">
        <v>2372</v>
      </c>
      <c r="BF368" s="3">
        <v>2</v>
      </c>
      <c r="BG368" s="3">
        <v>-6.9676999999999998</v>
      </c>
      <c r="BH368" s="3">
        <v>107.4117</v>
      </c>
      <c r="BI368" s="3">
        <v>3217122301080040</v>
      </c>
      <c r="BJ368" s="3">
        <v>39</v>
      </c>
      <c r="BK368" s="3">
        <v>136</v>
      </c>
      <c r="BL368" s="3">
        <v>48</v>
      </c>
      <c r="BM368" s="3">
        <v>1</v>
      </c>
      <c r="BN368" s="3">
        <v>2</v>
      </c>
    </row>
    <row r="369" spans="1:66" s="219" customFormat="1" hidden="1" x14ac:dyDescent="0.3">
      <c r="A369" s="54">
        <v>363</v>
      </c>
      <c r="B369" s="54" t="s">
        <v>1882</v>
      </c>
      <c r="C369" s="54" t="s">
        <v>1587</v>
      </c>
      <c r="D369" s="54" t="s">
        <v>52</v>
      </c>
      <c r="E369" s="54">
        <v>94080692</v>
      </c>
      <c r="F369" s="54" t="s">
        <v>2446</v>
      </c>
      <c r="G369" s="108">
        <v>39965</v>
      </c>
      <c r="H369" s="54">
        <v>3217110106090000</v>
      </c>
      <c r="I369" s="54" t="s">
        <v>2353</v>
      </c>
      <c r="J369" s="54" t="s">
        <v>2565</v>
      </c>
      <c r="K369" s="54">
        <v>3</v>
      </c>
      <c r="L369" s="54">
        <v>1</v>
      </c>
      <c r="M369" s="54"/>
      <c r="N369" s="54" t="s">
        <v>2566</v>
      </c>
      <c r="O369" s="54" t="s">
        <v>2426</v>
      </c>
      <c r="P369" s="54">
        <v>40562</v>
      </c>
      <c r="Q369" s="54" t="s">
        <v>2357</v>
      </c>
      <c r="R369" s="54" t="s">
        <v>2358</v>
      </c>
      <c r="S369" s="54"/>
      <c r="T369" s="54"/>
      <c r="U369" s="54"/>
      <c r="V369" s="54"/>
      <c r="W369" s="54" t="s">
        <v>2359</v>
      </c>
      <c r="X369" s="54"/>
      <c r="Y369" s="54" t="s">
        <v>3630</v>
      </c>
      <c r="Z369" s="54">
        <v>1970</v>
      </c>
      <c r="AA369" s="54" t="s">
        <v>2361</v>
      </c>
      <c r="AB369" s="54" t="s">
        <v>2362</v>
      </c>
      <c r="AC369" s="54" t="s">
        <v>2363</v>
      </c>
      <c r="AD369" s="54"/>
      <c r="AE369" s="54" t="s">
        <v>3631</v>
      </c>
      <c r="AF369" s="54">
        <v>1968</v>
      </c>
      <c r="AG369" s="54" t="s">
        <v>2361</v>
      </c>
      <c r="AH369" s="54" t="s">
        <v>2365</v>
      </c>
      <c r="AI369" s="54" t="s">
        <v>2366</v>
      </c>
      <c r="AJ369" s="54"/>
      <c r="AK369" s="54"/>
      <c r="AL369" s="54"/>
      <c r="AM369" s="54"/>
      <c r="AN369" s="54"/>
      <c r="AO369" s="54"/>
      <c r="AP369" s="54"/>
      <c r="AQ369" s="54" t="s">
        <v>5147</v>
      </c>
      <c r="AR369" s="54"/>
      <c r="AS369" s="54"/>
      <c r="AT369" s="54" t="s">
        <v>2359</v>
      </c>
      <c r="AU369" s="54"/>
      <c r="AV369" s="54">
        <v>0</v>
      </c>
      <c r="AW369" s="54"/>
      <c r="AX369" s="54"/>
      <c r="AY369" s="54"/>
      <c r="AZ369" s="54"/>
      <c r="BA369" s="54"/>
      <c r="BB369" s="54" t="s">
        <v>2369</v>
      </c>
      <c r="BC369" s="54" t="s">
        <v>2370</v>
      </c>
      <c r="BD369" s="54" t="s">
        <v>2371</v>
      </c>
      <c r="BE369" s="54"/>
      <c r="BF369" s="54">
        <v>1</v>
      </c>
      <c r="BG369" s="54">
        <v>-6.9743000000000004</v>
      </c>
      <c r="BH369" s="54">
        <v>107.43559999999999</v>
      </c>
      <c r="BI369" s="54"/>
      <c r="BJ369" s="54">
        <v>35</v>
      </c>
      <c r="BK369" s="54">
        <v>131</v>
      </c>
      <c r="BL369" s="54">
        <v>55</v>
      </c>
      <c r="BM369" s="54">
        <v>1</v>
      </c>
      <c r="BN369" s="54">
        <v>1</v>
      </c>
    </row>
    <row r="370" spans="1:66" s="219" customFormat="1" hidden="1" x14ac:dyDescent="0.3">
      <c r="A370" s="54">
        <v>364</v>
      </c>
      <c r="B370" s="54" t="s">
        <v>1599</v>
      </c>
      <c r="C370" s="54" t="s">
        <v>1600</v>
      </c>
      <c r="D370" s="54" t="s">
        <v>52</v>
      </c>
      <c r="E370" s="54">
        <v>97388195</v>
      </c>
      <c r="F370" s="54" t="s">
        <v>2373</v>
      </c>
      <c r="G370" s="108">
        <v>39892</v>
      </c>
      <c r="H370" s="54">
        <v>3217122103090000</v>
      </c>
      <c r="I370" s="54" t="s">
        <v>2353</v>
      </c>
      <c r="J370" s="54" t="s">
        <v>2418</v>
      </c>
      <c r="K370" s="54">
        <v>1</v>
      </c>
      <c r="L370" s="54">
        <v>5</v>
      </c>
      <c r="M370" s="54">
        <v>3</v>
      </c>
      <c r="N370" s="54" t="s">
        <v>2409</v>
      </c>
      <c r="O370" s="54" t="s">
        <v>2356</v>
      </c>
      <c r="P370" s="54">
        <v>40564</v>
      </c>
      <c r="Q370" s="54" t="s">
        <v>2357</v>
      </c>
      <c r="R370" s="54" t="s">
        <v>2374</v>
      </c>
      <c r="S370" s="54"/>
      <c r="T370" s="54">
        <v>88218557197</v>
      </c>
      <c r="U370" s="54"/>
      <c r="V370" s="54"/>
      <c r="W370" s="54" t="s">
        <v>2359</v>
      </c>
      <c r="X370" s="54"/>
      <c r="Y370" s="54" t="s">
        <v>3632</v>
      </c>
      <c r="Z370" s="54">
        <v>1971</v>
      </c>
      <c r="AA370" s="54" t="s">
        <v>2361</v>
      </c>
      <c r="AB370" s="54" t="s">
        <v>2493</v>
      </c>
      <c r="AC370" s="54" t="s">
        <v>2375</v>
      </c>
      <c r="AD370" s="54">
        <v>3217121012710010</v>
      </c>
      <c r="AE370" s="54" t="s">
        <v>3633</v>
      </c>
      <c r="AF370" s="54">
        <v>1974</v>
      </c>
      <c r="AG370" s="54" t="s">
        <v>2402</v>
      </c>
      <c r="AH370" s="54" t="s">
        <v>2365</v>
      </c>
      <c r="AI370" s="54" t="s">
        <v>2366</v>
      </c>
      <c r="AJ370" s="54">
        <v>3217126108740000</v>
      </c>
      <c r="AK370" s="54"/>
      <c r="AL370" s="54"/>
      <c r="AM370" s="54"/>
      <c r="AN370" s="54"/>
      <c r="AO370" s="54"/>
      <c r="AP370" s="54"/>
      <c r="AQ370" s="54" t="s">
        <v>5147</v>
      </c>
      <c r="AR370" s="54"/>
      <c r="AS370" s="54" t="s">
        <v>3634</v>
      </c>
      <c r="AT370" s="54" t="s">
        <v>2359</v>
      </c>
      <c r="AU370" s="54"/>
      <c r="AV370" s="54">
        <v>0</v>
      </c>
      <c r="AW370" s="54"/>
      <c r="AX370" s="54" t="s">
        <v>3635</v>
      </c>
      <c r="AY370" s="54"/>
      <c r="AZ370" s="54"/>
      <c r="BA370" s="54"/>
      <c r="BB370" s="54" t="s">
        <v>2359</v>
      </c>
      <c r="BC370" s="54"/>
      <c r="BD370" s="54" t="s">
        <v>2371</v>
      </c>
      <c r="BE370" s="54" t="s">
        <v>2422</v>
      </c>
      <c r="BF370" s="54">
        <v>3</v>
      </c>
      <c r="BG370" s="54">
        <v>-6.9554</v>
      </c>
      <c r="BH370" s="54">
        <v>107.39319999999999</v>
      </c>
      <c r="BI370" s="54">
        <v>3231712270812000</v>
      </c>
      <c r="BJ370" s="54">
        <v>48</v>
      </c>
      <c r="BK370" s="54">
        <v>141</v>
      </c>
      <c r="BL370" s="54">
        <v>61</v>
      </c>
      <c r="BM370" s="54">
        <v>2</v>
      </c>
      <c r="BN370" s="54">
        <v>2</v>
      </c>
    </row>
    <row r="371" spans="1:66" s="219" customFormat="1" hidden="1" x14ac:dyDescent="0.3">
      <c r="A371" s="54">
        <v>365</v>
      </c>
      <c r="B371" s="54" t="s">
        <v>1752</v>
      </c>
      <c r="C371" s="54" t="s">
        <v>2262</v>
      </c>
      <c r="D371" s="54" t="s">
        <v>52</v>
      </c>
      <c r="E371" s="54">
        <v>3099435955</v>
      </c>
      <c r="F371" s="54" t="s">
        <v>2373</v>
      </c>
      <c r="G371" s="108">
        <v>40036</v>
      </c>
      <c r="H371" s="54">
        <v>3217111108090000</v>
      </c>
      <c r="I371" s="54" t="s">
        <v>2353</v>
      </c>
      <c r="J371" s="54" t="s">
        <v>2695</v>
      </c>
      <c r="K371" s="54">
        <v>1</v>
      </c>
      <c r="L371" s="54">
        <v>12</v>
      </c>
      <c r="M371" s="54"/>
      <c r="N371" s="54" t="s">
        <v>2425</v>
      </c>
      <c r="O371" s="54" t="s">
        <v>2426</v>
      </c>
      <c r="P371" s="54">
        <v>40562</v>
      </c>
      <c r="Q371" s="54" t="s">
        <v>2357</v>
      </c>
      <c r="R371" s="54" t="s">
        <v>2358</v>
      </c>
      <c r="S371" s="54"/>
      <c r="T371" s="54"/>
      <c r="U371" s="54"/>
      <c r="V371" s="54"/>
      <c r="W371" s="54" t="s">
        <v>2359</v>
      </c>
      <c r="X371" s="54"/>
      <c r="Y371" s="54"/>
      <c r="Z371" s="54">
        <v>0</v>
      </c>
      <c r="AA371" s="54"/>
      <c r="AB371" s="54" t="s">
        <v>2362</v>
      </c>
      <c r="AC371" s="54" t="s">
        <v>2363</v>
      </c>
      <c r="AD371" s="54"/>
      <c r="AE371" s="54" t="s">
        <v>3039</v>
      </c>
      <c r="AF371" s="54">
        <v>0</v>
      </c>
      <c r="AG371" s="54"/>
      <c r="AH371" s="54" t="s">
        <v>2365</v>
      </c>
      <c r="AI371" s="54" t="s">
        <v>2366</v>
      </c>
      <c r="AJ371" s="54"/>
      <c r="AK371" s="54"/>
      <c r="AL371" s="54"/>
      <c r="AM371" s="54"/>
      <c r="AN371" s="54"/>
      <c r="AO371" s="54"/>
      <c r="AP371" s="54"/>
      <c r="AQ371" s="54" t="s">
        <v>8182</v>
      </c>
      <c r="AR371" s="54"/>
      <c r="AS371" s="54"/>
      <c r="AT371" s="54" t="s">
        <v>2359</v>
      </c>
      <c r="AU371" s="54"/>
      <c r="AV371" s="54">
        <v>1</v>
      </c>
      <c r="AW371" s="54"/>
      <c r="AX371" s="54"/>
      <c r="AY371" s="54"/>
      <c r="AZ371" s="54"/>
      <c r="BA371" s="54"/>
      <c r="BB371" s="54" t="s">
        <v>2359</v>
      </c>
      <c r="BC371" s="54"/>
      <c r="BD371" s="54" t="s">
        <v>2371</v>
      </c>
      <c r="BE371" s="54" t="s">
        <v>2376</v>
      </c>
      <c r="BF371" s="54">
        <v>1</v>
      </c>
      <c r="BG371" s="54">
        <v>-6.9625000000000004</v>
      </c>
      <c r="BH371" s="54">
        <v>107.4346</v>
      </c>
      <c r="BI371" s="54"/>
      <c r="BJ371" s="54">
        <v>45</v>
      </c>
      <c r="BK371" s="54">
        <v>142</v>
      </c>
      <c r="BL371" s="54">
        <v>55</v>
      </c>
      <c r="BM371" s="54">
        <v>1</v>
      </c>
      <c r="BN371" s="54">
        <v>1</v>
      </c>
    </row>
    <row r="372" spans="1:66" s="219" customFormat="1" hidden="1" x14ac:dyDescent="0.3">
      <c r="A372" s="54">
        <v>366</v>
      </c>
      <c r="B372" s="54" t="s">
        <v>2951</v>
      </c>
      <c r="C372" s="54" t="s">
        <v>2234</v>
      </c>
      <c r="D372" s="54" t="s">
        <v>52</v>
      </c>
      <c r="E372" s="54">
        <v>97175419</v>
      </c>
      <c r="F372" s="54" t="s">
        <v>2373</v>
      </c>
      <c r="G372" s="108">
        <v>39976</v>
      </c>
      <c r="H372" s="54">
        <v>3217111206090000</v>
      </c>
      <c r="I372" s="54" t="s">
        <v>2353</v>
      </c>
      <c r="J372" s="54" t="s">
        <v>2424</v>
      </c>
      <c r="K372" s="54">
        <v>3</v>
      </c>
      <c r="L372" s="54">
        <v>14</v>
      </c>
      <c r="M372" s="54" t="s">
        <v>2424</v>
      </c>
      <c r="N372" s="54" t="s">
        <v>2425</v>
      </c>
      <c r="O372" s="54" t="s">
        <v>2426</v>
      </c>
      <c r="P372" s="54">
        <v>40562</v>
      </c>
      <c r="Q372" s="54" t="s">
        <v>2357</v>
      </c>
      <c r="R372" s="54" t="s">
        <v>2358</v>
      </c>
      <c r="S372" s="54"/>
      <c r="T372" s="54">
        <v>83822754890</v>
      </c>
      <c r="U372" s="54"/>
      <c r="V372" s="54"/>
      <c r="W372" s="54" t="s">
        <v>2359</v>
      </c>
      <c r="X372" s="54"/>
      <c r="Y372" s="54" t="s">
        <v>2952</v>
      </c>
      <c r="Z372" s="54">
        <v>1982</v>
      </c>
      <c r="AA372" s="54" t="s">
        <v>2390</v>
      </c>
      <c r="AB372" s="54" t="s">
        <v>2362</v>
      </c>
      <c r="AC372" s="54" t="s">
        <v>2403</v>
      </c>
      <c r="AD372" s="54"/>
      <c r="AE372" s="54" t="s">
        <v>2953</v>
      </c>
      <c r="AF372" s="54">
        <v>1982</v>
      </c>
      <c r="AG372" s="54" t="s">
        <v>2367</v>
      </c>
      <c r="AH372" s="54" t="s">
        <v>2365</v>
      </c>
      <c r="AI372" s="54" t="s">
        <v>2366</v>
      </c>
      <c r="AJ372" s="54"/>
      <c r="AK372" s="54"/>
      <c r="AL372" s="54"/>
      <c r="AM372" s="54" t="s">
        <v>2367</v>
      </c>
      <c r="AN372" s="54"/>
      <c r="AO372" s="54"/>
      <c r="AP372" s="54"/>
      <c r="AQ372" s="54" t="s">
        <v>8178</v>
      </c>
      <c r="AR372" s="54"/>
      <c r="AS372" s="54"/>
      <c r="AT372" s="54" t="s">
        <v>2359</v>
      </c>
      <c r="AU372" s="54"/>
      <c r="AV372" s="54">
        <v>0</v>
      </c>
      <c r="AW372" s="54"/>
      <c r="AX372" s="54" t="s">
        <v>2954</v>
      </c>
      <c r="AY372" s="54"/>
      <c r="AZ372" s="54"/>
      <c r="BA372" s="54"/>
      <c r="BB372" s="54" t="s">
        <v>2369</v>
      </c>
      <c r="BC372" s="54" t="s">
        <v>2370</v>
      </c>
      <c r="BD372" s="54" t="s">
        <v>2371</v>
      </c>
      <c r="BE372" s="54" t="s">
        <v>2430</v>
      </c>
      <c r="BF372" s="54">
        <v>1</v>
      </c>
      <c r="BG372" s="54">
        <v>-6.9514541999999997</v>
      </c>
      <c r="BH372" s="54">
        <v>107.4179645</v>
      </c>
      <c r="BI372" s="54"/>
      <c r="BJ372" s="54">
        <v>51</v>
      </c>
      <c r="BK372" s="54">
        <v>140</v>
      </c>
      <c r="BL372" s="54">
        <v>0</v>
      </c>
      <c r="BM372" s="54">
        <v>0</v>
      </c>
      <c r="BN372" s="54">
        <v>0</v>
      </c>
    </row>
    <row r="373" spans="1:66" s="219" customFormat="1" hidden="1" x14ac:dyDescent="0.3">
      <c r="A373" s="54">
        <v>367</v>
      </c>
      <c r="B373" s="54" t="s">
        <v>1827</v>
      </c>
      <c r="C373" s="54" t="s">
        <v>1474</v>
      </c>
      <c r="D373" s="54" t="s">
        <v>52</v>
      </c>
      <c r="E373" s="54">
        <v>3081604640</v>
      </c>
      <c r="F373" s="54" t="s">
        <v>2446</v>
      </c>
      <c r="G373" s="108">
        <v>39703</v>
      </c>
      <c r="H373" s="54">
        <v>3217111209080000</v>
      </c>
      <c r="I373" s="54" t="s">
        <v>2353</v>
      </c>
      <c r="J373" s="54" t="s">
        <v>3390</v>
      </c>
      <c r="K373" s="54">
        <v>4</v>
      </c>
      <c r="L373" s="54">
        <v>5</v>
      </c>
      <c r="M373" s="54"/>
      <c r="N373" s="54" t="s">
        <v>2425</v>
      </c>
      <c r="O373" s="54" t="s">
        <v>2426</v>
      </c>
      <c r="P373" s="54">
        <v>40562</v>
      </c>
      <c r="Q373" s="54" t="s">
        <v>2357</v>
      </c>
      <c r="R373" s="54" t="s">
        <v>2358</v>
      </c>
      <c r="S373" s="54"/>
      <c r="T373" s="54"/>
      <c r="U373" s="54"/>
      <c r="V373" s="54"/>
      <c r="W373" s="54" t="s">
        <v>2359</v>
      </c>
      <c r="X373" s="54"/>
      <c r="Y373" s="54"/>
      <c r="Z373" s="54">
        <v>1978</v>
      </c>
      <c r="AA373" s="54" t="s">
        <v>2402</v>
      </c>
      <c r="AB373" s="54" t="s">
        <v>2362</v>
      </c>
      <c r="AC373" s="54" t="s">
        <v>2363</v>
      </c>
      <c r="AD373" s="54"/>
      <c r="AE373" s="54" t="s">
        <v>3391</v>
      </c>
      <c r="AF373" s="54">
        <v>1983</v>
      </c>
      <c r="AG373" s="54"/>
      <c r="AH373" s="54" t="s">
        <v>2365</v>
      </c>
      <c r="AI373" s="54" t="s">
        <v>2366</v>
      </c>
      <c r="AJ373" s="54"/>
      <c r="AK373" s="54"/>
      <c r="AL373" s="54"/>
      <c r="AM373" s="54"/>
      <c r="AN373" s="54"/>
      <c r="AO373" s="54"/>
      <c r="AP373" s="54"/>
      <c r="AQ373" s="54" t="s">
        <v>5147</v>
      </c>
      <c r="AR373" s="54"/>
      <c r="AS373" s="54"/>
      <c r="AT373" s="54" t="s">
        <v>2359</v>
      </c>
      <c r="AU373" s="54"/>
      <c r="AV373" s="54">
        <v>0</v>
      </c>
      <c r="AW373" s="54"/>
      <c r="AX373" s="54" t="s">
        <v>3392</v>
      </c>
      <c r="AY373" s="54"/>
      <c r="AZ373" s="54"/>
      <c r="BA373" s="54"/>
      <c r="BB373" s="54" t="s">
        <v>2369</v>
      </c>
      <c r="BC373" s="54" t="s">
        <v>2370</v>
      </c>
      <c r="BD373" s="54" t="s">
        <v>2371</v>
      </c>
      <c r="BE373" s="54"/>
      <c r="BF373" s="54">
        <v>2</v>
      </c>
      <c r="BG373" s="54">
        <v>-6.9625000000000004</v>
      </c>
      <c r="BH373" s="54">
        <v>107.4346</v>
      </c>
      <c r="BI373" s="54">
        <v>3217111601130020</v>
      </c>
      <c r="BJ373" s="54">
        <v>48</v>
      </c>
      <c r="BK373" s="54">
        <v>147</v>
      </c>
      <c r="BL373" s="54">
        <v>55</v>
      </c>
      <c r="BM373" s="54">
        <v>1</v>
      </c>
      <c r="BN373" s="54">
        <v>3</v>
      </c>
    </row>
    <row r="374" spans="1:66" s="219" customFormat="1" hidden="1" x14ac:dyDescent="0.3">
      <c r="A374" s="54">
        <v>368</v>
      </c>
      <c r="B374" s="54" t="s">
        <v>1909</v>
      </c>
      <c r="C374" s="54" t="s">
        <v>1588</v>
      </c>
      <c r="D374" s="54" t="s">
        <v>52</v>
      </c>
      <c r="E374" s="54">
        <v>94475088</v>
      </c>
      <c r="F374" s="54" t="s">
        <v>2352</v>
      </c>
      <c r="G374" s="108">
        <v>39977</v>
      </c>
      <c r="H374" s="54">
        <v>3175031306091000</v>
      </c>
      <c r="I374" s="54" t="s">
        <v>2353</v>
      </c>
      <c r="J374" s="54" t="s">
        <v>3736</v>
      </c>
      <c r="K374" s="54">
        <v>12</v>
      </c>
      <c r="L374" s="54">
        <v>14</v>
      </c>
      <c r="M374" s="54"/>
      <c r="N374" s="54" t="s">
        <v>3737</v>
      </c>
      <c r="O374" s="54" t="s">
        <v>3738</v>
      </c>
      <c r="P374" s="54">
        <v>13410</v>
      </c>
      <c r="Q374" s="54" t="s">
        <v>2357</v>
      </c>
      <c r="R374" s="54" t="s">
        <v>2358</v>
      </c>
      <c r="S374" s="54"/>
      <c r="T374" s="54">
        <v>83195633288</v>
      </c>
      <c r="U374" s="54"/>
      <c r="V374" s="54"/>
      <c r="W374" s="54" t="s">
        <v>2359</v>
      </c>
      <c r="X374" s="54"/>
      <c r="Y374" s="54" t="s">
        <v>3739</v>
      </c>
      <c r="Z374" s="54">
        <v>1982</v>
      </c>
      <c r="AA374" s="54" t="s">
        <v>2390</v>
      </c>
      <c r="AB374" s="54" t="s">
        <v>2493</v>
      </c>
      <c r="AC374" s="54" t="s">
        <v>2666</v>
      </c>
      <c r="AD374" s="54"/>
      <c r="AE374" s="54" t="s">
        <v>3740</v>
      </c>
      <c r="AF374" s="54">
        <v>1988</v>
      </c>
      <c r="AG374" s="54" t="s">
        <v>2402</v>
      </c>
      <c r="AH374" s="54" t="s">
        <v>2365</v>
      </c>
      <c r="AI374" s="54" t="s">
        <v>2366</v>
      </c>
      <c r="AJ374" s="54"/>
      <c r="AK374" s="54"/>
      <c r="AL374" s="54"/>
      <c r="AM374" s="54"/>
      <c r="AN374" s="54"/>
      <c r="AO374" s="54"/>
      <c r="AP374" s="54"/>
      <c r="AQ374" s="54" t="s">
        <v>5147</v>
      </c>
      <c r="AR374" s="54"/>
      <c r="AS374" s="54"/>
      <c r="AT374" s="54" t="s">
        <v>2359</v>
      </c>
      <c r="AU374" s="54"/>
      <c r="AV374" s="54">
        <v>0</v>
      </c>
      <c r="AW374" s="54"/>
      <c r="AX374" s="54"/>
      <c r="AY374" s="54"/>
      <c r="AZ374" s="54"/>
      <c r="BA374" s="54"/>
      <c r="BB374" s="54" t="s">
        <v>2369</v>
      </c>
      <c r="BC374" s="54" t="s">
        <v>2370</v>
      </c>
      <c r="BD374" s="54" t="s">
        <v>2371</v>
      </c>
      <c r="BE374" s="54"/>
      <c r="BF374" s="54">
        <v>1</v>
      </c>
      <c r="BG374" s="54">
        <v>-6.2390999999999996</v>
      </c>
      <c r="BH374" s="54">
        <v>106.8843</v>
      </c>
      <c r="BI374" s="54"/>
      <c r="BJ374" s="54">
        <v>45</v>
      </c>
      <c r="BK374" s="54">
        <v>135</v>
      </c>
      <c r="BL374" s="54">
        <v>55</v>
      </c>
      <c r="BM374" s="54">
        <v>2</v>
      </c>
      <c r="BN374" s="54">
        <v>1</v>
      </c>
    </row>
    <row r="375" spans="1:66" hidden="1" x14ac:dyDescent="0.3">
      <c r="A375" s="3">
        <v>369</v>
      </c>
      <c r="B375" s="3" t="s">
        <v>3836</v>
      </c>
      <c r="C375" s="3" t="s">
        <v>4283</v>
      </c>
      <c r="D375" s="3" t="s">
        <v>52</v>
      </c>
      <c r="E375" s="3">
        <v>115360528</v>
      </c>
      <c r="F375" s="3" t="s">
        <v>2377</v>
      </c>
      <c r="G375" s="157">
        <v>40770</v>
      </c>
      <c r="H375" s="3">
        <v>3217121508110000</v>
      </c>
      <c r="I375" s="3" t="s">
        <v>2353</v>
      </c>
      <c r="J375" s="3" t="s">
        <v>4893</v>
      </c>
      <c r="K375" s="3">
        <v>2</v>
      </c>
      <c r="L375" s="3">
        <v>6</v>
      </c>
      <c r="M375" s="3"/>
      <c r="N375" s="3" t="s">
        <v>2355</v>
      </c>
      <c r="O375" s="3" t="s">
        <v>2356</v>
      </c>
      <c r="P375" s="3">
        <v>40762</v>
      </c>
      <c r="Q375" s="3" t="s">
        <v>2357</v>
      </c>
      <c r="R375" s="3" t="s">
        <v>2358</v>
      </c>
      <c r="S375" s="3"/>
      <c r="T375" s="3">
        <v>83820662486</v>
      </c>
      <c r="U375" s="3"/>
      <c r="V375" s="3"/>
      <c r="W375" s="3" t="s">
        <v>2359</v>
      </c>
      <c r="X375" s="3"/>
      <c r="Y375" s="3" t="s">
        <v>4086</v>
      </c>
      <c r="Z375" s="3">
        <v>1982</v>
      </c>
      <c r="AA375" s="3" t="s">
        <v>2390</v>
      </c>
      <c r="AB375" s="3" t="s">
        <v>2362</v>
      </c>
      <c r="AC375" s="3" t="s">
        <v>2363</v>
      </c>
      <c r="AD375" s="3">
        <v>3217121010820040</v>
      </c>
      <c r="AE375" s="3" t="s">
        <v>3495</v>
      </c>
      <c r="AF375" s="3">
        <v>1983</v>
      </c>
      <c r="AG375" s="3" t="s">
        <v>2390</v>
      </c>
      <c r="AH375" s="3" t="s">
        <v>2365</v>
      </c>
      <c r="AI375" s="3" t="s">
        <v>2366</v>
      </c>
      <c r="AJ375" s="3">
        <v>3217126010830040</v>
      </c>
      <c r="AK375" s="3"/>
      <c r="AL375" s="3"/>
      <c r="AM375" s="3" t="s">
        <v>2367</v>
      </c>
      <c r="AN375" s="3"/>
      <c r="AO375" s="3"/>
      <c r="AP375" s="3"/>
      <c r="AQ375" s="3" t="s">
        <v>5149</v>
      </c>
      <c r="AR375" s="3"/>
      <c r="AS375" s="3"/>
      <c r="AT375" s="3" t="s">
        <v>2359</v>
      </c>
      <c r="AU375" s="3"/>
      <c r="AV375" s="3">
        <v>0</v>
      </c>
      <c r="AW375" s="3"/>
      <c r="AX375" s="3">
        <v>9530093344</v>
      </c>
      <c r="AY375" s="3"/>
      <c r="AZ375" s="3"/>
      <c r="BA375" s="3"/>
      <c r="BB375" s="3" t="s">
        <v>2369</v>
      </c>
      <c r="BC375" s="3" t="s">
        <v>2370</v>
      </c>
      <c r="BD375" s="3" t="s">
        <v>2371</v>
      </c>
      <c r="BE375" s="3" t="s">
        <v>2691</v>
      </c>
      <c r="BF375" s="3">
        <v>2</v>
      </c>
      <c r="BG375" s="3">
        <v>-6.9643622279999997</v>
      </c>
      <c r="BH375" s="3">
        <v>107.4188238</v>
      </c>
      <c r="BI375" s="3"/>
      <c r="BJ375" s="3">
        <v>30</v>
      </c>
      <c r="BK375" s="3">
        <v>130</v>
      </c>
      <c r="BL375" s="3">
        <v>0</v>
      </c>
      <c r="BM375" s="3">
        <v>0</v>
      </c>
      <c r="BN375" s="3">
        <v>1</v>
      </c>
    </row>
    <row r="376" spans="1:66" s="219" customFormat="1" hidden="1" x14ac:dyDescent="0.3">
      <c r="A376" s="54">
        <v>370</v>
      </c>
      <c r="B376" s="54" t="s">
        <v>1660</v>
      </c>
      <c r="C376" s="54" t="s">
        <v>2147</v>
      </c>
      <c r="D376" s="54" t="s">
        <v>52</v>
      </c>
      <c r="E376" s="54">
        <v>92296547</v>
      </c>
      <c r="F376" s="54" t="s">
        <v>2446</v>
      </c>
      <c r="G376" s="108">
        <v>39985</v>
      </c>
      <c r="H376" s="54">
        <v>3217112107090000</v>
      </c>
      <c r="I376" s="54" t="s">
        <v>2353</v>
      </c>
      <c r="J376" s="54" t="s">
        <v>2616</v>
      </c>
      <c r="K376" s="54">
        <v>4</v>
      </c>
      <c r="L376" s="54">
        <v>7</v>
      </c>
      <c r="M376" s="54"/>
      <c r="N376" s="54" t="s">
        <v>2617</v>
      </c>
      <c r="O376" s="54" t="s">
        <v>2426</v>
      </c>
      <c r="P376" s="54">
        <v>40562</v>
      </c>
      <c r="Q376" s="54" t="s">
        <v>2357</v>
      </c>
      <c r="R376" s="54" t="s">
        <v>2358</v>
      </c>
      <c r="S376" s="54"/>
      <c r="T376" s="54"/>
      <c r="U376" s="54"/>
      <c r="V376" s="54"/>
      <c r="W376" s="54" t="s">
        <v>2359</v>
      </c>
      <c r="X376" s="54"/>
      <c r="Y376" s="54"/>
      <c r="Z376" s="54">
        <v>0</v>
      </c>
      <c r="AA376" s="54"/>
      <c r="AB376" s="54" t="s">
        <v>2362</v>
      </c>
      <c r="AC376" s="54" t="s">
        <v>2375</v>
      </c>
      <c r="AD376" s="54"/>
      <c r="AE376" s="54" t="s">
        <v>2618</v>
      </c>
      <c r="AF376" s="54">
        <v>0</v>
      </c>
      <c r="AG376" s="54"/>
      <c r="AH376" s="54" t="s">
        <v>2365</v>
      </c>
      <c r="AI376" s="54" t="s">
        <v>2366</v>
      </c>
      <c r="AJ376" s="54"/>
      <c r="AK376" s="54"/>
      <c r="AL376" s="54"/>
      <c r="AM376" s="54"/>
      <c r="AN376" s="54"/>
      <c r="AO376" s="54"/>
      <c r="AP376" s="54"/>
      <c r="AQ376" s="54" t="s">
        <v>8181</v>
      </c>
      <c r="AR376" s="54"/>
      <c r="AS376" s="54"/>
      <c r="AT376" s="54" t="s">
        <v>2359</v>
      </c>
      <c r="AU376" s="54"/>
      <c r="AV376" s="54">
        <v>1</v>
      </c>
      <c r="AW376" s="54"/>
      <c r="AX376" s="54"/>
      <c r="AY376" s="54"/>
      <c r="AZ376" s="54"/>
      <c r="BA376" s="54"/>
      <c r="BB376" s="54" t="s">
        <v>2359</v>
      </c>
      <c r="BC376" s="54"/>
      <c r="BD376" s="54" t="s">
        <v>2371</v>
      </c>
      <c r="BE376" s="54" t="s">
        <v>2376</v>
      </c>
      <c r="BF376" s="54">
        <v>1</v>
      </c>
      <c r="BG376" s="54">
        <v>-6.9625000000000004</v>
      </c>
      <c r="BH376" s="54">
        <v>107.4346</v>
      </c>
      <c r="BI376" s="54"/>
      <c r="BJ376" s="54">
        <v>40</v>
      </c>
      <c r="BK376" s="54">
        <v>144</v>
      </c>
      <c r="BL376" s="54">
        <v>58</v>
      </c>
      <c r="BM376" s="54">
        <v>1</v>
      </c>
      <c r="BN376" s="54">
        <v>2</v>
      </c>
    </row>
    <row r="377" spans="1:66" hidden="1" x14ac:dyDescent="0.3">
      <c r="A377" s="3">
        <v>371</v>
      </c>
      <c r="B377" s="3" t="s">
        <v>4894</v>
      </c>
      <c r="C377" s="3"/>
      <c r="D377" s="3" t="s">
        <v>52</v>
      </c>
      <c r="E377" s="3">
        <v>101758933</v>
      </c>
      <c r="F377" s="3" t="s">
        <v>2373</v>
      </c>
      <c r="G377" s="157">
        <v>40294</v>
      </c>
      <c r="H377" s="3">
        <v>3217112604100000</v>
      </c>
      <c r="I377" s="3" t="s">
        <v>2353</v>
      </c>
      <c r="J377" s="3" t="s">
        <v>2582</v>
      </c>
      <c r="K377" s="3">
        <v>2</v>
      </c>
      <c r="L377" s="3">
        <v>14</v>
      </c>
      <c r="M377" s="3" t="s">
        <v>2582</v>
      </c>
      <c r="N377" s="3" t="s">
        <v>2425</v>
      </c>
      <c r="O377" s="3" t="s">
        <v>2426</v>
      </c>
      <c r="P377" s="3">
        <v>40562</v>
      </c>
      <c r="Q377" s="3" t="s">
        <v>2357</v>
      </c>
      <c r="R377" s="3" t="s">
        <v>2358</v>
      </c>
      <c r="S377" s="3"/>
      <c r="T377" s="3">
        <v>82115170588</v>
      </c>
      <c r="U377" s="3"/>
      <c r="V377" s="3"/>
      <c r="W377" s="3" t="s">
        <v>2359</v>
      </c>
      <c r="X377" s="3"/>
      <c r="Y377" s="3" t="s">
        <v>4895</v>
      </c>
      <c r="Z377" s="3">
        <v>1990</v>
      </c>
      <c r="AA377" s="3" t="s">
        <v>2390</v>
      </c>
      <c r="AB377" s="3" t="s">
        <v>2362</v>
      </c>
      <c r="AC377" s="3" t="s">
        <v>2403</v>
      </c>
      <c r="AD377" s="3"/>
      <c r="AE377" s="3" t="s">
        <v>4896</v>
      </c>
      <c r="AF377" s="3">
        <v>1991</v>
      </c>
      <c r="AG377" s="3" t="s">
        <v>2402</v>
      </c>
      <c r="AH377" s="3" t="s">
        <v>2365</v>
      </c>
      <c r="AI377" s="3" t="s">
        <v>2366</v>
      </c>
      <c r="AJ377" s="3">
        <v>3217116202910000</v>
      </c>
      <c r="AK377" s="3"/>
      <c r="AL377" s="3"/>
      <c r="AM377" s="3" t="s">
        <v>2367</v>
      </c>
      <c r="AN377" s="3"/>
      <c r="AO377" s="3"/>
      <c r="AP377" s="3"/>
      <c r="AQ377" s="3" t="s">
        <v>5146</v>
      </c>
      <c r="AR377" s="3"/>
      <c r="AS377" s="3"/>
      <c r="AT377" s="3" t="s">
        <v>2359</v>
      </c>
      <c r="AU377" s="3"/>
      <c r="AV377" s="3">
        <v>0</v>
      </c>
      <c r="AW377" s="3"/>
      <c r="AX377" s="3" t="s">
        <v>4897</v>
      </c>
      <c r="AY377" s="3"/>
      <c r="AZ377" s="3"/>
      <c r="BA377" s="3"/>
      <c r="BB377" s="3" t="s">
        <v>2369</v>
      </c>
      <c r="BC377" s="3" t="s">
        <v>2370</v>
      </c>
      <c r="BD377" s="3" t="s">
        <v>2371</v>
      </c>
      <c r="BE377" s="3" t="s">
        <v>2430</v>
      </c>
      <c r="BF377" s="3">
        <v>1</v>
      </c>
      <c r="BG377" s="3">
        <v>-6.9514541999999997</v>
      </c>
      <c r="BH377" s="3">
        <v>107.4179645</v>
      </c>
      <c r="BI377" s="3">
        <v>3217112109150000</v>
      </c>
      <c r="BJ377" s="3">
        <v>50</v>
      </c>
      <c r="BK377" s="3">
        <v>146</v>
      </c>
      <c r="BL377" s="3">
        <v>55</v>
      </c>
      <c r="BM377" s="3">
        <v>1</v>
      </c>
      <c r="BN377" s="3">
        <v>1</v>
      </c>
    </row>
    <row r="378" spans="1:66" s="219" customFormat="1" hidden="1" x14ac:dyDescent="0.3">
      <c r="A378" s="54">
        <v>372</v>
      </c>
      <c r="B378" s="54" t="s">
        <v>1732</v>
      </c>
      <c r="C378" s="54" t="s">
        <v>2236</v>
      </c>
      <c r="D378" s="54" t="s">
        <v>52</v>
      </c>
      <c r="E378" s="54">
        <v>102529798</v>
      </c>
      <c r="F378" s="54" t="s">
        <v>2373</v>
      </c>
      <c r="G378" s="108">
        <v>40232</v>
      </c>
      <c r="H378" s="54">
        <v>3217112802100000</v>
      </c>
      <c r="I378" s="54" t="s">
        <v>2353</v>
      </c>
      <c r="J378" s="54" t="s">
        <v>2616</v>
      </c>
      <c r="K378" s="54">
        <v>1</v>
      </c>
      <c r="L378" s="54">
        <v>10</v>
      </c>
      <c r="M378" s="54"/>
      <c r="N378" s="54" t="s">
        <v>2425</v>
      </c>
      <c r="O378" s="54" t="s">
        <v>2426</v>
      </c>
      <c r="P378" s="54">
        <v>40561</v>
      </c>
      <c r="Q378" s="54" t="s">
        <v>2357</v>
      </c>
      <c r="R378" s="54" t="s">
        <v>2358</v>
      </c>
      <c r="S378" s="54"/>
      <c r="T378" s="54"/>
      <c r="U378" s="54"/>
      <c r="V378" s="54"/>
      <c r="W378" s="54" t="s">
        <v>2359</v>
      </c>
      <c r="X378" s="54"/>
      <c r="Y378" s="54"/>
      <c r="Z378" s="54">
        <v>0</v>
      </c>
      <c r="AA378" s="54"/>
      <c r="AB378" s="54" t="s">
        <v>2362</v>
      </c>
      <c r="AC378" s="54" t="s">
        <v>2363</v>
      </c>
      <c r="AD378" s="54"/>
      <c r="AE378" s="54" t="s">
        <v>2955</v>
      </c>
      <c r="AF378" s="54">
        <v>0</v>
      </c>
      <c r="AG378" s="54"/>
      <c r="AH378" s="54" t="s">
        <v>2365</v>
      </c>
      <c r="AI378" s="54" t="s">
        <v>2366</v>
      </c>
      <c r="AJ378" s="54"/>
      <c r="AK378" s="54"/>
      <c r="AL378" s="54"/>
      <c r="AM378" s="54"/>
      <c r="AN378" s="54"/>
      <c r="AO378" s="54"/>
      <c r="AP378" s="54"/>
      <c r="AQ378" s="54" t="s">
        <v>8178</v>
      </c>
      <c r="AR378" s="54"/>
      <c r="AS378" s="54"/>
      <c r="AT378" s="54" t="s">
        <v>2359</v>
      </c>
      <c r="AU378" s="54"/>
      <c r="AV378" s="54">
        <v>1</v>
      </c>
      <c r="AW378" s="54"/>
      <c r="AX378" s="54"/>
      <c r="AY378" s="54"/>
      <c r="AZ378" s="54"/>
      <c r="BA378" s="54"/>
      <c r="BB378" s="54" t="s">
        <v>2359</v>
      </c>
      <c r="BC378" s="54"/>
      <c r="BD378" s="54" t="s">
        <v>2371</v>
      </c>
      <c r="BE378" s="54" t="s">
        <v>2669</v>
      </c>
      <c r="BF378" s="54">
        <v>1</v>
      </c>
      <c r="BG378" s="54">
        <v>-6.9625000000000004</v>
      </c>
      <c r="BH378" s="54">
        <v>107.4346</v>
      </c>
      <c r="BI378" s="54"/>
      <c r="BJ378" s="54">
        <v>45</v>
      </c>
      <c r="BK378" s="54">
        <v>141</v>
      </c>
      <c r="BL378" s="54">
        <v>57</v>
      </c>
      <c r="BM378" s="54">
        <v>1</v>
      </c>
      <c r="BN378" s="54">
        <v>2</v>
      </c>
    </row>
    <row r="379" spans="1:66" s="219" customFormat="1" hidden="1" x14ac:dyDescent="0.3">
      <c r="A379" s="54">
        <v>373</v>
      </c>
      <c r="B379" s="54" t="s">
        <v>1804</v>
      </c>
      <c r="C379" s="54" t="s">
        <v>1442</v>
      </c>
      <c r="D379" s="54" t="s">
        <v>52</v>
      </c>
      <c r="E379" s="54">
        <v>85160988</v>
      </c>
      <c r="F379" s="54" t="s">
        <v>2377</v>
      </c>
      <c r="G379" s="108">
        <v>39734</v>
      </c>
      <c r="H379" s="54">
        <v>3217111310080000</v>
      </c>
      <c r="I379" s="54" t="s">
        <v>2353</v>
      </c>
      <c r="J379" s="54" t="s">
        <v>3286</v>
      </c>
      <c r="K379" s="54">
        <v>5</v>
      </c>
      <c r="L379" s="54">
        <v>2</v>
      </c>
      <c r="M379" s="54"/>
      <c r="N379" s="54" t="s">
        <v>3105</v>
      </c>
      <c r="O379" s="54" t="s">
        <v>2426</v>
      </c>
      <c r="P379" s="54">
        <v>40562</v>
      </c>
      <c r="Q379" s="54" t="s">
        <v>2357</v>
      </c>
      <c r="R379" s="54" t="s">
        <v>2358</v>
      </c>
      <c r="S379" s="54"/>
      <c r="T379" s="54">
        <v>83139198796</v>
      </c>
      <c r="U379" s="54"/>
      <c r="V379" s="54"/>
      <c r="W379" s="54" t="s">
        <v>2359</v>
      </c>
      <c r="X379" s="54"/>
      <c r="Y379" s="54" t="s">
        <v>3287</v>
      </c>
      <c r="Z379" s="54">
        <v>1956</v>
      </c>
      <c r="AA379" s="54" t="s">
        <v>2361</v>
      </c>
      <c r="AB379" s="54" t="s">
        <v>2362</v>
      </c>
      <c r="AC379" s="54" t="s">
        <v>2363</v>
      </c>
      <c r="AD379" s="54">
        <v>3217111005560000</v>
      </c>
      <c r="AE379" s="54" t="s">
        <v>3288</v>
      </c>
      <c r="AF379" s="54">
        <v>1963</v>
      </c>
      <c r="AG379" s="54" t="s">
        <v>2361</v>
      </c>
      <c r="AH379" s="54" t="s">
        <v>2365</v>
      </c>
      <c r="AI379" s="54" t="s">
        <v>2366</v>
      </c>
      <c r="AJ379" s="54">
        <v>3217116111630000</v>
      </c>
      <c r="AK379" s="54"/>
      <c r="AL379" s="54"/>
      <c r="AM379" s="54"/>
      <c r="AN379" s="54"/>
      <c r="AO379" s="54"/>
      <c r="AP379" s="54"/>
      <c r="AQ379" s="54" t="s">
        <v>5147</v>
      </c>
      <c r="AR379" s="54"/>
      <c r="AS379" s="54"/>
      <c r="AT379" s="54" t="s">
        <v>2359</v>
      </c>
      <c r="AU379" s="54"/>
      <c r="AV379" s="54">
        <v>0</v>
      </c>
      <c r="AW379" s="54"/>
      <c r="AX379" s="54" t="s">
        <v>3289</v>
      </c>
      <c r="AY379" s="54"/>
      <c r="AZ379" s="54"/>
      <c r="BA379" s="54"/>
      <c r="BB379" s="54" t="s">
        <v>2369</v>
      </c>
      <c r="BC379" s="54" t="s">
        <v>2370</v>
      </c>
      <c r="BD379" s="54" t="s">
        <v>2371</v>
      </c>
      <c r="BE379" s="54"/>
      <c r="BF379" s="54">
        <v>1</v>
      </c>
      <c r="BG379" s="54">
        <v>-6.9668999999999999</v>
      </c>
      <c r="BH379" s="54">
        <v>107.4242</v>
      </c>
      <c r="BI379" s="54"/>
      <c r="BJ379" s="54">
        <v>37</v>
      </c>
      <c r="BK379" s="54">
        <v>136</v>
      </c>
      <c r="BL379" s="54">
        <v>58</v>
      </c>
      <c r="BM379" s="54">
        <v>2</v>
      </c>
      <c r="BN379" s="54">
        <v>3</v>
      </c>
    </row>
    <row r="380" spans="1:66" hidden="1" x14ac:dyDescent="0.3">
      <c r="A380" s="3">
        <v>374</v>
      </c>
      <c r="B380" s="3" t="s">
        <v>4898</v>
      </c>
      <c r="C380" s="3" t="s">
        <v>4381</v>
      </c>
      <c r="D380" s="3" t="s">
        <v>52</v>
      </c>
      <c r="E380" s="3">
        <v>101203789</v>
      </c>
      <c r="F380" s="3" t="s">
        <v>2446</v>
      </c>
      <c r="G380" s="157">
        <v>40417</v>
      </c>
      <c r="H380" s="3">
        <v>3217112708100000</v>
      </c>
      <c r="I380" s="3" t="s">
        <v>2353</v>
      </c>
      <c r="J380" s="3" t="s">
        <v>2593</v>
      </c>
      <c r="K380" s="3">
        <v>3</v>
      </c>
      <c r="L380" s="3">
        <v>13</v>
      </c>
      <c r="M380" s="3"/>
      <c r="N380" s="3" t="s">
        <v>2425</v>
      </c>
      <c r="O380" s="3" t="s">
        <v>2426</v>
      </c>
      <c r="P380" s="3">
        <v>40562</v>
      </c>
      <c r="Q380" s="3" t="s">
        <v>2357</v>
      </c>
      <c r="R380" s="3" t="s">
        <v>2358</v>
      </c>
      <c r="S380" s="3"/>
      <c r="T380" s="3">
        <v>83821712073</v>
      </c>
      <c r="U380" s="3"/>
      <c r="V380" s="3"/>
      <c r="W380" s="3" t="s">
        <v>2359</v>
      </c>
      <c r="X380" s="3"/>
      <c r="Y380" s="3" t="s">
        <v>4899</v>
      </c>
      <c r="Z380" s="3">
        <v>1986</v>
      </c>
      <c r="AA380" s="3" t="s">
        <v>2402</v>
      </c>
      <c r="AB380" s="3" t="s">
        <v>2362</v>
      </c>
      <c r="AC380" s="3" t="s">
        <v>2403</v>
      </c>
      <c r="AD380" s="3"/>
      <c r="AE380" s="3" t="s">
        <v>4900</v>
      </c>
      <c r="AF380" s="3">
        <v>1991</v>
      </c>
      <c r="AG380" s="3" t="s">
        <v>2361</v>
      </c>
      <c r="AH380" s="3" t="s">
        <v>2365</v>
      </c>
      <c r="AI380" s="3" t="s">
        <v>2366</v>
      </c>
      <c r="AJ380" s="3"/>
      <c r="AK380" s="3"/>
      <c r="AL380" s="3"/>
      <c r="AM380" s="3" t="s">
        <v>2367</v>
      </c>
      <c r="AN380" s="3"/>
      <c r="AO380" s="3"/>
      <c r="AP380" s="3"/>
      <c r="AQ380" s="3" t="s">
        <v>5151</v>
      </c>
      <c r="AR380" s="3"/>
      <c r="AS380" s="3"/>
      <c r="AT380" s="3" t="s">
        <v>2359</v>
      </c>
      <c r="AU380" s="3"/>
      <c r="AV380" s="3">
        <v>0</v>
      </c>
      <c r="AW380" s="3"/>
      <c r="AX380" s="3" t="s">
        <v>4107</v>
      </c>
      <c r="AY380" s="3"/>
      <c r="AZ380" s="3"/>
      <c r="BA380" s="3"/>
      <c r="BB380" s="3" t="s">
        <v>2369</v>
      </c>
      <c r="BC380" s="3" t="s">
        <v>2370</v>
      </c>
      <c r="BD380" s="3" t="s">
        <v>2371</v>
      </c>
      <c r="BE380" s="3" t="s">
        <v>2430</v>
      </c>
      <c r="BF380" s="3">
        <v>1</v>
      </c>
      <c r="BG380" s="3">
        <v>-6.9514541999999997</v>
      </c>
      <c r="BH380" s="3">
        <v>107.4179645</v>
      </c>
      <c r="BI380" s="3"/>
      <c r="BJ380" s="3">
        <v>39</v>
      </c>
      <c r="BK380" s="3">
        <v>139</v>
      </c>
      <c r="BL380" s="3">
        <v>47</v>
      </c>
      <c r="BM380" s="3">
        <v>1</v>
      </c>
      <c r="BN380" s="3">
        <v>2</v>
      </c>
    </row>
    <row r="381" spans="1:66" s="219" customFormat="1" hidden="1" x14ac:dyDescent="0.3">
      <c r="A381" s="54">
        <v>375</v>
      </c>
      <c r="B381" s="54" t="s">
        <v>2744</v>
      </c>
      <c r="C381" s="54" t="s">
        <v>2181</v>
      </c>
      <c r="D381" s="54" t="s">
        <v>53</v>
      </c>
      <c r="E381" s="54">
        <v>91201336</v>
      </c>
      <c r="F381" s="54" t="s">
        <v>2446</v>
      </c>
      <c r="G381" s="108">
        <v>40060</v>
      </c>
      <c r="H381" s="54">
        <v>3217114409090000</v>
      </c>
      <c r="I381" s="54" t="s">
        <v>2353</v>
      </c>
      <c r="J381" s="54" t="s">
        <v>2424</v>
      </c>
      <c r="K381" s="54">
        <v>2</v>
      </c>
      <c r="L381" s="54">
        <v>14</v>
      </c>
      <c r="M381" s="54" t="s">
        <v>2424</v>
      </c>
      <c r="N381" s="54" t="s">
        <v>2425</v>
      </c>
      <c r="O381" s="54" t="s">
        <v>2426</v>
      </c>
      <c r="P381" s="54">
        <v>40562</v>
      </c>
      <c r="Q381" s="54" t="s">
        <v>2357</v>
      </c>
      <c r="R381" s="54" t="s">
        <v>2358</v>
      </c>
      <c r="S381" s="54"/>
      <c r="T381" s="54">
        <v>83814723954</v>
      </c>
      <c r="U381" s="54"/>
      <c r="V381" s="54"/>
      <c r="W381" s="54" t="s">
        <v>2369</v>
      </c>
      <c r="X381" s="54" t="s">
        <v>2745</v>
      </c>
      <c r="Y381" s="54" t="s">
        <v>2746</v>
      </c>
      <c r="Z381" s="54">
        <v>1959</v>
      </c>
      <c r="AA381" s="54" t="s">
        <v>2361</v>
      </c>
      <c r="AB381" s="54" t="s">
        <v>2362</v>
      </c>
      <c r="AC381" s="54" t="s">
        <v>2403</v>
      </c>
      <c r="AD381" s="54"/>
      <c r="AE381" s="54" t="s">
        <v>2747</v>
      </c>
      <c r="AF381" s="54">
        <v>1971</v>
      </c>
      <c r="AG381" s="54" t="s">
        <v>2361</v>
      </c>
      <c r="AH381" s="54" t="s">
        <v>2365</v>
      </c>
      <c r="AI381" s="54" t="s">
        <v>2366</v>
      </c>
      <c r="AJ381" s="54"/>
      <c r="AK381" s="54"/>
      <c r="AL381" s="54"/>
      <c r="AM381" s="54" t="s">
        <v>2367</v>
      </c>
      <c r="AN381" s="54"/>
      <c r="AO381" s="54"/>
      <c r="AP381" s="54"/>
      <c r="AQ381" s="54" t="s">
        <v>8180</v>
      </c>
      <c r="AR381" s="54"/>
      <c r="AS381" s="54"/>
      <c r="AT381" s="54" t="s">
        <v>2359</v>
      </c>
      <c r="AU381" s="54"/>
      <c r="AV381" s="54">
        <v>0</v>
      </c>
      <c r="AW381" s="54" t="s">
        <v>2748</v>
      </c>
      <c r="AX381" s="54" t="s">
        <v>2749</v>
      </c>
      <c r="AY381" s="54"/>
      <c r="AZ381" s="54"/>
      <c r="BA381" s="54"/>
      <c r="BB381" s="54" t="s">
        <v>2369</v>
      </c>
      <c r="BC381" s="54" t="s">
        <v>2443</v>
      </c>
      <c r="BD381" s="54" t="s">
        <v>2371</v>
      </c>
      <c r="BE381" s="54" t="s">
        <v>2430</v>
      </c>
      <c r="BF381" s="54">
        <v>4</v>
      </c>
      <c r="BG381" s="54">
        <v>-6.9514541999999997</v>
      </c>
      <c r="BH381" s="54">
        <v>107.4179645</v>
      </c>
      <c r="BI381" s="54"/>
      <c r="BJ381" s="54">
        <v>42</v>
      </c>
      <c r="BK381" s="54">
        <v>138</v>
      </c>
      <c r="BL381" s="54">
        <v>0</v>
      </c>
      <c r="BM381" s="54">
        <v>0</v>
      </c>
      <c r="BN381" s="54">
        <v>0</v>
      </c>
    </row>
    <row r="382" spans="1:66" s="219" customFormat="1" hidden="1" x14ac:dyDescent="0.3">
      <c r="A382" s="54">
        <v>376</v>
      </c>
      <c r="B382" s="54" t="s">
        <v>1650</v>
      </c>
      <c r="C382" s="54" t="s">
        <v>2113</v>
      </c>
      <c r="D382" s="54" t="s">
        <v>53</v>
      </c>
      <c r="E382" s="54">
        <v>104641326</v>
      </c>
      <c r="F382" s="54" t="s">
        <v>2483</v>
      </c>
      <c r="G382" s="108">
        <v>40361</v>
      </c>
      <c r="H382" s="54">
        <v>3217114207100000</v>
      </c>
      <c r="I382" s="54" t="s">
        <v>2353</v>
      </c>
      <c r="J382" s="54" t="s">
        <v>2484</v>
      </c>
      <c r="K382" s="54">
        <v>3</v>
      </c>
      <c r="L382" s="54">
        <v>4</v>
      </c>
      <c r="M382" s="54"/>
      <c r="N382" s="54" t="s">
        <v>2485</v>
      </c>
      <c r="O382" s="54" t="s">
        <v>2426</v>
      </c>
      <c r="P382" s="54">
        <v>40562</v>
      </c>
      <c r="Q382" s="54" t="s">
        <v>2357</v>
      </c>
      <c r="R382" s="54" t="s">
        <v>2358</v>
      </c>
      <c r="S382" s="54"/>
      <c r="T382" s="54">
        <v>87722577097</v>
      </c>
      <c r="U382" s="54"/>
      <c r="V382" s="54"/>
      <c r="W382" s="54" t="s">
        <v>2359</v>
      </c>
      <c r="X382" s="54"/>
      <c r="Y382" s="54" t="s">
        <v>2486</v>
      </c>
      <c r="Z382" s="54">
        <v>1976</v>
      </c>
      <c r="AA382" s="54" t="s">
        <v>2402</v>
      </c>
      <c r="AB382" s="54" t="s">
        <v>2362</v>
      </c>
      <c r="AC382" s="54" t="s">
        <v>2403</v>
      </c>
      <c r="AD382" s="54">
        <v>3217110506760030</v>
      </c>
      <c r="AE382" s="54" t="s">
        <v>2487</v>
      </c>
      <c r="AF382" s="54">
        <v>1987</v>
      </c>
      <c r="AG382" s="54" t="s">
        <v>2402</v>
      </c>
      <c r="AH382" s="54" t="s">
        <v>2365</v>
      </c>
      <c r="AI382" s="54" t="s">
        <v>2366</v>
      </c>
      <c r="AJ382" s="54">
        <v>3217115705870010</v>
      </c>
      <c r="AK382" s="54"/>
      <c r="AL382" s="54"/>
      <c r="AM382" s="54" t="s">
        <v>2367</v>
      </c>
      <c r="AN382" s="54"/>
      <c r="AO382" s="54"/>
      <c r="AP382" s="54"/>
      <c r="AQ382" s="54" t="s">
        <v>8177</v>
      </c>
      <c r="AR382" s="54"/>
      <c r="AS382" s="54"/>
      <c r="AT382" s="54" t="s">
        <v>2359</v>
      </c>
      <c r="AU382" s="54"/>
      <c r="AV382" s="54">
        <v>0</v>
      </c>
      <c r="AW382" s="54"/>
      <c r="AX382" s="54" t="s">
        <v>2488</v>
      </c>
      <c r="AY382" s="54"/>
      <c r="AZ382" s="54"/>
      <c r="BA382" s="54"/>
      <c r="BB382" s="54" t="s">
        <v>2369</v>
      </c>
      <c r="BC382" s="54" t="s">
        <v>2370</v>
      </c>
      <c r="BD382" s="54" t="s">
        <v>2371</v>
      </c>
      <c r="BE382" s="54" t="s">
        <v>2489</v>
      </c>
      <c r="BF382" s="54">
        <v>2</v>
      </c>
      <c r="BG382" s="54">
        <v>-6.9450000000000003</v>
      </c>
      <c r="BH382" s="54">
        <v>107.39919999999999</v>
      </c>
      <c r="BI382" s="54">
        <v>3217112604120000</v>
      </c>
      <c r="BJ382" s="54">
        <v>52</v>
      </c>
      <c r="BK382" s="54">
        <v>144</v>
      </c>
      <c r="BL382" s="54">
        <v>0</v>
      </c>
      <c r="BM382" s="54">
        <v>0</v>
      </c>
      <c r="BN382" s="54">
        <v>0</v>
      </c>
    </row>
    <row r="383" spans="1:66" s="219" customFormat="1" hidden="1" x14ac:dyDescent="0.3">
      <c r="A383" s="54">
        <v>377</v>
      </c>
      <c r="B383" s="54" t="s">
        <v>2080</v>
      </c>
      <c r="C383" s="54" t="s">
        <v>2182</v>
      </c>
      <c r="D383" s="54" t="s">
        <v>53</v>
      </c>
      <c r="E383" s="54">
        <v>117311809</v>
      </c>
      <c r="F383" s="54" t="s">
        <v>2377</v>
      </c>
      <c r="G383" s="108">
        <v>40462</v>
      </c>
      <c r="H383" s="54">
        <v>3217125110100000</v>
      </c>
      <c r="I383" s="54" t="s">
        <v>2353</v>
      </c>
      <c r="J383" s="54" t="s">
        <v>2544</v>
      </c>
      <c r="K383" s="54">
        <v>2</v>
      </c>
      <c r="L383" s="54">
        <v>8</v>
      </c>
      <c r="M383" s="54"/>
      <c r="N383" s="54" t="s">
        <v>2513</v>
      </c>
      <c r="O383" s="54" t="s">
        <v>2356</v>
      </c>
      <c r="P383" s="54">
        <v>40764</v>
      </c>
      <c r="Q383" s="54" t="s">
        <v>2357</v>
      </c>
      <c r="R383" s="54" t="s">
        <v>2358</v>
      </c>
      <c r="S383" s="54"/>
      <c r="T383" s="54">
        <v>83829034423</v>
      </c>
      <c r="U383" s="54"/>
      <c r="V383" s="54"/>
      <c r="W383" s="54" t="s">
        <v>2359</v>
      </c>
      <c r="X383" s="54"/>
      <c r="Y383" s="54" t="s">
        <v>476</v>
      </c>
      <c r="Z383" s="54">
        <v>1981</v>
      </c>
      <c r="AA383" s="54" t="s">
        <v>2402</v>
      </c>
      <c r="AB383" s="54" t="s">
        <v>2362</v>
      </c>
      <c r="AC383" s="54" t="s">
        <v>2403</v>
      </c>
      <c r="AD383" s="54">
        <v>3217120112810010</v>
      </c>
      <c r="AE383" s="54" t="s">
        <v>2505</v>
      </c>
      <c r="AF383" s="54">
        <v>1981</v>
      </c>
      <c r="AG383" s="54" t="s">
        <v>2402</v>
      </c>
      <c r="AH383" s="54" t="s">
        <v>2365</v>
      </c>
      <c r="AI383" s="54" t="s">
        <v>2366</v>
      </c>
      <c r="AJ383" s="54">
        <v>3217125201810010</v>
      </c>
      <c r="AK383" s="54"/>
      <c r="AL383" s="54"/>
      <c r="AM383" s="54" t="s">
        <v>2367</v>
      </c>
      <c r="AN383" s="54"/>
      <c r="AO383" s="54"/>
      <c r="AP383" s="54"/>
      <c r="AQ383" s="54" t="s">
        <v>8180</v>
      </c>
      <c r="AR383" s="54"/>
      <c r="AS383" s="54"/>
      <c r="AT383" s="54" t="s">
        <v>2359</v>
      </c>
      <c r="AU383" s="54"/>
      <c r="AV383" s="54">
        <v>0</v>
      </c>
      <c r="AW383" s="54"/>
      <c r="AX383" s="54" t="s">
        <v>2750</v>
      </c>
      <c r="AY383" s="54"/>
      <c r="AZ383" s="54"/>
      <c r="BA383" s="54"/>
      <c r="BB383" s="54" t="s">
        <v>2369</v>
      </c>
      <c r="BC383" s="54" t="s">
        <v>2370</v>
      </c>
      <c r="BD383" s="54" t="s">
        <v>2371</v>
      </c>
      <c r="BE383" s="54" t="s">
        <v>2477</v>
      </c>
      <c r="BF383" s="54">
        <v>2</v>
      </c>
      <c r="BG383" s="54">
        <v>-6.9661</v>
      </c>
      <c r="BH383" s="54">
        <v>107.4057</v>
      </c>
      <c r="BI383" s="54">
        <v>3217121008120000</v>
      </c>
      <c r="BJ383" s="54">
        <v>39</v>
      </c>
      <c r="BK383" s="54">
        <v>138</v>
      </c>
      <c r="BL383" s="54">
        <v>0</v>
      </c>
      <c r="BM383" s="54">
        <v>0</v>
      </c>
      <c r="BN383" s="54">
        <v>0</v>
      </c>
    </row>
    <row r="384" spans="1:66" s="219" customFormat="1" hidden="1" x14ac:dyDescent="0.3">
      <c r="A384" s="54">
        <v>378</v>
      </c>
      <c r="B384" s="54" t="s">
        <v>1671</v>
      </c>
      <c r="C384" s="54" t="s">
        <v>2148</v>
      </c>
      <c r="D384" s="54" t="s">
        <v>53</v>
      </c>
      <c r="E384" s="54">
        <v>109077204</v>
      </c>
      <c r="F384" s="54" t="s">
        <v>2373</v>
      </c>
      <c r="G384" s="108">
        <v>40299</v>
      </c>
      <c r="H384" s="54">
        <v>3217124105100000</v>
      </c>
      <c r="I384" s="54" t="s">
        <v>2353</v>
      </c>
      <c r="J384" s="54" t="s">
        <v>2619</v>
      </c>
      <c r="K384" s="54">
        <v>1</v>
      </c>
      <c r="L384" s="54">
        <v>11</v>
      </c>
      <c r="M384" s="54"/>
      <c r="N384" s="54" t="s">
        <v>2513</v>
      </c>
      <c r="O384" s="54" t="s">
        <v>2356</v>
      </c>
      <c r="P384" s="54"/>
      <c r="Q384" s="54" t="s">
        <v>2357</v>
      </c>
      <c r="R384" s="54" t="s">
        <v>2358</v>
      </c>
      <c r="S384" s="54"/>
      <c r="T384" s="54">
        <v>82115122357</v>
      </c>
      <c r="U384" s="54"/>
      <c r="V384" s="54"/>
      <c r="W384" s="54" t="s">
        <v>2359</v>
      </c>
      <c r="X384" s="54"/>
      <c r="Y384" s="54" t="s">
        <v>2620</v>
      </c>
      <c r="Z384" s="54">
        <v>1981</v>
      </c>
      <c r="AA384" s="54" t="s">
        <v>2402</v>
      </c>
      <c r="AB384" s="54" t="s">
        <v>2362</v>
      </c>
      <c r="AC384" s="54" t="s">
        <v>2363</v>
      </c>
      <c r="AD384" s="54">
        <v>3217121807810010</v>
      </c>
      <c r="AE384" s="54" t="s">
        <v>2621</v>
      </c>
      <c r="AF384" s="54">
        <v>1984</v>
      </c>
      <c r="AG384" s="54" t="s">
        <v>2402</v>
      </c>
      <c r="AH384" s="54" t="s">
        <v>2365</v>
      </c>
      <c r="AI384" s="54" t="s">
        <v>2366</v>
      </c>
      <c r="AJ384" s="54">
        <v>3217126006840000</v>
      </c>
      <c r="AK384" s="54"/>
      <c r="AL384" s="54"/>
      <c r="AM384" s="54" t="s">
        <v>2367</v>
      </c>
      <c r="AN384" s="54"/>
      <c r="AO384" s="54"/>
      <c r="AP384" s="54"/>
      <c r="AQ384" s="54" t="s">
        <v>8181</v>
      </c>
      <c r="AR384" s="54"/>
      <c r="AS384" s="54"/>
      <c r="AT384" s="54" t="s">
        <v>2359</v>
      </c>
      <c r="AU384" s="54"/>
      <c r="AV384" s="54">
        <v>0</v>
      </c>
      <c r="AW384" s="54"/>
      <c r="AX384" s="54" t="s">
        <v>2622</v>
      </c>
      <c r="AY384" s="54"/>
      <c r="AZ384" s="54"/>
      <c r="BA384" s="54"/>
      <c r="BB384" s="54" t="s">
        <v>2369</v>
      </c>
      <c r="BC384" s="54" t="s">
        <v>2370</v>
      </c>
      <c r="BD384" s="54" t="s">
        <v>2371</v>
      </c>
      <c r="BE384" s="54" t="s">
        <v>2553</v>
      </c>
      <c r="BF384" s="54">
        <v>2</v>
      </c>
      <c r="BG384" s="54">
        <v>-7.0068000000000001</v>
      </c>
      <c r="BH384" s="54">
        <v>107.2349</v>
      </c>
      <c r="BI384" s="54">
        <v>3217121306120100</v>
      </c>
      <c r="BJ384" s="54">
        <v>53</v>
      </c>
      <c r="BK384" s="54">
        <v>144</v>
      </c>
      <c r="BL384" s="54">
        <v>0</v>
      </c>
      <c r="BM384" s="54">
        <v>0</v>
      </c>
      <c r="BN384" s="54">
        <v>0</v>
      </c>
    </row>
    <row r="385" spans="1:66" s="219" customFormat="1" hidden="1" x14ac:dyDescent="0.3">
      <c r="A385" s="54">
        <v>379</v>
      </c>
      <c r="B385" s="54" t="s">
        <v>1351</v>
      </c>
      <c r="C385" s="54" t="s">
        <v>1414</v>
      </c>
      <c r="D385" s="54" t="s">
        <v>53</v>
      </c>
      <c r="E385" s="54">
        <v>93672025</v>
      </c>
      <c r="F385" s="54" t="s">
        <v>2446</v>
      </c>
      <c r="G385" s="108">
        <v>40098</v>
      </c>
      <c r="H385" s="54">
        <v>3217115210090000</v>
      </c>
      <c r="I385" s="54" t="s">
        <v>2353</v>
      </c>
      <c r="J385" s="54" t="s">
        <v>2565</v>
      </c>
      <c r="K385" s="54">
        <v>5</v>
      </c>
      <c r="L385" s="54">
        <v>1</v>
      </c>
      <c r="M385" s="54"/>
      <c r="N385" s="54" t="s">
        <v>2566</v>
      </c>
      <c r="O385" s="54" t="s">
        <v>2426</v>
      </c>
      <c r="P385" s="54">
        <v>40562</v>
      </c>
      <c r="Q385" s="54" t="s">
        <v>2357</v>
      </c>
      <c r="R385" s="54" t="s">
        <v>2358</v>
      </c>
      <c r="S385" s="54"/>
      <c r="T385" s="54">
        <v>87821541906</v>
      </c>
      <c r="U385" s="54"/>
      <c r="V385" s="54"/>
      <c r="W385" s="54" t="s">
        <v>2369</v>
      </c>
      <c r="X385" s="54" t="s">
        <v>3175</v>
      </c>
      <c r="Y385" s="54" t="s">
        <v>3176</v>
      </c>
      <c r="Z385" s="54">
        <v>1974</v>
      </c>
      <c r="AA385" s="54" t="s">
        <v>2361</v>
      </c>
      <c r="AB385" s="54" t="s">
        <v>2362</v>
      </c>
      <c r="AC385" s="54" t="s">
        <v>2403</v>
      </c>
      <c r="AD385" s="54">
        <v>3217111907740000</v>
      </c>
      <c r="AE385" s="54" t="s">
        <v>3177</v>
      </c>
      <c r="AF385" s="54">
        <v>1977</v>
      </c>
      <c r="AG385" s="54" t="s">
        <v>2361</v>
      </c>
      <c r="AH385" s="54" t="s">
        <v>2365</v>
      </c>
      <c r="AI385" s="54" t="s">
        <v>2366</v>
      </c>
      <c r="AJ385" s="54">
        <v>3217114503770010</v>
      </c>
      <c r="AK385" s="54"/>
      <c r="AL385" s="54"/>
      <c r="AM385" s="54"/>
      <c r="AN385" s="54"/>
      <c r="AO385" s="54"/>
      <c r="AP385" s="54"/>
      <c r="AQ385" s="54" t="s">
        <v>5147</v>
      </c>
      <c r="AR385" s="54"/>
      <c r="AS385" s="54"/>
      <c r="AT385" s="54" t="s">
        <v>2369</v>
      </c>
      <c r="AU385" s="54" t="s">
        <v>3175</v>
      </c>
      <c r="AV385" s="54">
        <v>0</v>
      </c>
      <c r="AW385" s="54"/>
      <c r="AX385" s="54" t="s">
        <v>4901</v>
      </c>
      <c r="AY385" s="54" t="s">
        <v>2460</v>
      </c>
      <c r="AZ385" s="54">
        <v>367101002602507</v>
      </c>
      <c r="BA385" s="54" t="s">
        <v>3178</v>
      </c>
      <c r="BB385" s="54" t="s">
        <v>2369</v>
      </c>
      <c r="BC385" s="54" t="s">
        <v>2443</v>
      </c>
      <c r="BD385" s="54" t="s">
        <v>2371</v>
      </c>
      <c r="BE385" s="54" t="s">
        <v>2691</v>
      </c>
      <c r="BF385" s="54">
        <v>1</v>
      </c>
      <c r="BG385" s="54">
        <v>-6.9743000000000004</v>
      </c>
      <c r="BH385" s="54">
        <v>107.43559999999999</v>
      </c>
      <c r="BI385" s="54">
        <v>3217110710090000</v>
      </c>
      <c r="BJ385" s="54">
        <v>35</v>
      </c>
      <c r="BK385" s="54">
        <v>130</v>
      </c>
      <c r="BL385" s="54">
        <v>55</v>
      </c>
      <c r="BM385" s="54">
        <v>10</v>
      </c>
      <c r="BN385" s="54">
        <v>1</v>
      </c>
    </row>
    <row r="386" spans="1:66" s="219" customFormat="1" hidden="1" x14ac:dyDescent="0.3">
      <c r="A386" s="54">
        <v>380</v>
      </c>
      <c r="B386" s="54" t="s">
        <v>1352</v>
      </c>
      <c r="C386" s="54" t="s">
        <v>1415</v>
      </c>
      <c r="D386" s="54" t="s">
        <v>53</v>
      </c>
      <c r="E386" s="54">
        <v>91358540</v>
      </c>
      <c r="F386" s="54" t="s">
        <v>2446</v>
      </c>
      <c r="G386" s="108">
        <v>39828</v>
      </c>
      <c r="H386" s="54">
        <v>3217115501090000</v>
      </c>
      <c r="I386" s="54" t="s">
        <v>2353</v>
      </c>
      <c r="J386" s="54" t="s">
        <v>2424</v>
      </c>
      <c r="K386" s="54">
        <v>2</v>
      </c>
      <c r="L386" s="54">
        <v>8</v>
      </c>
      <c r="M386" s="54"/>
      <c r="N386" s="54" t="s">
        <v>2425</v>
      </c>
      <c r="O386" s="54" t="s">
        <v>2426</v>
      </c>
      <c r="P386" s="54">
        <v>40562</v>
      </c>
      <c r="Q386" s="54" t="s">
        <v>2357</v>
      </c>
      <c r="R386" s="54" t="s">
        <v>2358</v>
      </c>
      <c r="S386" s="54"/>
      <c r="T386" s="54">
        <v>82217576342</v>
      </c>
      <c r="U386" s="54"/>
      <c r="V386" s="54"/>
      <c r="W386" s="54" t="s">
        <v>2369</v>
      </c>
      <c r="X386" s="54" t="s">
        <v>3179</v>
      </c>
      <c r="Y386" s="54" t="s">
        <v>3180</v>
      </c>
      <c r="Z386" s="54">
        <v>1980</v>
      </c>
      <c r="AA386" s="54" t="s">
        <v>2402</v>
      </c>
      <c r="AB386" s="54" t="s">
        <v>2362</v>
      </c>
      <c r="AC386" s="54" t="s">
        <v>2403</v>
      </c>
      <c r="AD386" s="54">
        <v>3217110607800030</v>
      </c>
      <c r="AE386" s="54" t="s">
        <v>3181</v>
      </c>
      <c r="AF386" s="54">
        <v>1983</v>
      </c>
      <c r="AG386" s="54" t="s">
        <v>2402</v>
      </c>
      <c r="AH386" s="54" t="s">
        <v>2365</v>
      </c>
      <c r="AI386" s="54" t="s">
        <v>2366</v>
      </c>
      <c r="AJ386" s="54">
        <v>3217114609830000</v>
      </c>
      <c r="AK386" s="54"/>
      <c r="AL386" s="54"/>
      <c r="AM386" s="54"/>
      <c r="AN386" s="54"/>
      <c r="AO386" s="54"/>
      <c r="AP386" s="54"/>
      <c r="AQ386" s="54" t="s">
        <v>5147</v>
      </c>
      <c r="AR386" s="54"/>
      <c r="AS386" s="54"/>
      <c r="AT386" s="54" t="s">
        <v>2359</v>
      </c>
      <c r="AU386" s="54"/>
      <c r="AV386" s="54">
        <v>0</v>
      </c>
      <c r="AW386" s="54" t="s">
        <v>3182</v>
      </c>
      <c r="AX386" s="54" t="s">
        <v>3183</v>
      </c>
      <c r="AY386" s="54"/>
      <c r="AZ386" s="54"/>
      <c r="BA386" s="54"/>
      <c r="BB386" s="54" t="s">
        <v>2369</v>
      </c>
      <c r="BC386" s="54" t="s">
        <v>2443</v>
      </c>
      <c r="BD386" s="54" t="s">
        <v>2371</v>
      </c>
      <c r="BE386" s="54" t="s">
        <v>2430</v>
      </c>
      <c r="BF386" s="54">
        <v>2</v>
      </c>
      <c r="BG386" s="54">
        <v>-6.9514541999999997</v>
      </c>
      <c r="BH386" s="54">
        <v>107.4179645</v>
      </c>
      <c r="BI386" s="54">
        <v>3217113011120000</v>
      </c>
      <c r="BJ386" s="54">
        <v>43</v>
      </c>
      <c r="BK386" s="54">
        <v>135</v>
      </c>
      <c r="BL386" s="54">
        <v>59</v>
      </c>
      <c r="BM386" s="54">
        <v>2</v>
      </c>
      <c r="BN386" s="54">
        <v>1</v>
      </c>
    </row>
    <row r="387" spans="1:66" hidden="1" x14ac:dyDescent="0.3">
      <c r="A387" s="3">
        <v>381</v>
      </c>
      <c r="B387" s="3" t="s">
        <v>4902</v>
      </c>
      <c r="C387" s="3" t="s">
        <v>4248</v>
      </c>
      <c r="D387" s="3" t="s">
        <v>53</v>
      </c>
      <c r="E387" s="3">
        <v>101709865</v>
      </c>
      <c r="F387" s="3" t="s">
        <v>2373</v>
      </c>
      <c r="G387" s="157">
        <v>40494</v>
      </c>
      <c r="H387" s="3">
        <v>3217125211100000</v>
      </c>
      <c r="I387" s="3" t="s">
        <v>2353</v>
      </c>
      <c r="J387" s="3" t="s">
        <v>4622</v>
      </c>
      <c r="K387" s="3">
        <v>1</v>
      </c>
      <c r="L387" s="3">
        <v>5</v>
      </c>
      <c r="M387" s="3"/>
      <c r="N387" s="3" t="s">
        <v>4475</v>
      </c>
      <c r="O387" s="3" t="s">
        <v>2356</v>
      </c>
      <c r="P387" s="3">
        <v>40562</v>
      </c>
      <c r="Q387" s="3" t="s">
        <v>2357</v>
      </c>
      <c r="R387" s="3" t="s">
        <v>2358</v>
      </c>
      <c r="S387" s="3"/>
      <c r="T387" s="3">
        <v>83821143431</v>
      </c>
      <c r="U387" s="3"/>
      <c r="V387" s="3"/>
      <c r="W387" s="3" t="s">
        <v>2359</v>
      </c>
      <c r="X387" s="3"/>
      <c r="Y387" s="3" t="s">
        <v>4903</v>
      </c>
      <c r="Z387" s="3">
        <v>1985</v>
      </c>
      <c r="AA387" s="3" t="s">
        <v>2390</v>
      </c>
      <c r="AB387" s="3" t="s">
        <v>2362</v>
      </c>
      <c r="AC387" s="3" t="s">
        <v>2403</v>
      </c>
      <c r="AD387" s="3">
        <v>3217120809850000</v>
      </c>
      <c r="AE387" s="3" t="s">
        <v>4904</v>
      </c>
      <c r="AF387" s="3">
        <v>1987</v>
      </c>
      <c r="AG387" s="3" t="s">
        <v>2390</v>
      </c>
      <c r="AH387" s="3" t="s">
        <v>2365</v>
      </c>
      <c r="AI387" s="3" t="s">
        <v>2366</v>
      </c>
      <c r="AJ387" s="3">
        <v>3217126101870000</v>
      </c>
      <c r="AK387" s="3"/>
      <c r="AL387" s="3"/>
      <c r="AM387" s="3" t="s">
        <v>2367</v>
      </c>
      <c r="AN387" s="3"/>
      <c r="AO387" s="3"/>
      <c r="AP387" s="3"/>
      <c r="AQ387" s="3" t="s">
        <v>5146</v>
      </c>
      <c r="AR387" s="3"/>
      <c r="AS387" s="3"/>
      <c r="AT387" s="3" t="s">
        <v>2359</v>
      </c>
      <c r="AU387" s="3"/>
      <c r="AV387" s="3">
        <v>0</v>
      </c>
      <c r="AW387" s="3"/>
      <c r="AX387" s="3" t="s">
        <v>4112</v>
      </c>
      <c r="AY387" s="3"/>
      <c r="AZ387" s="3"/>
      <c r="BA387" s="3"/>
      <c r="BB387" s="3" t="s">
        <v>2369</v>
      </c>
      <c r="BC387" s="3" t="s">
        <v>2370</v>
      </c>
      <c r="BD387" s="3" t="s">
        <v>2371</v>
      </c>
      <c r="BE387" s="3" t="s">
        <v>2430</v>
      </c>
      <c r="BF387" s="3">
        <v>1</v>
      </c>
      <c r="BG387" s="3">
        <v>-6.9514541999999997</v>
      </c>
      <c r="BH387" s="3">
        <v>107.4179645</v>
      </c>
      <c r="BI387" s="3">
        <v>3217122311070050</v>
      </c>
      <c r="BJ387" s="3">
        <v>47</v>
      </c>
      <c r="BK387" s="3">
        <v>139</v>
      </c>
      <c r="BL387" s="3">
        <v>56</v>
      </c>
      <c r="BM387" s="3">
        <v>1</v>
      </c>
      <c r="BN387" s="3">
        <v>2</v>
      </c>
    </row>
    <row r="388" spans="1:66" s="219" customFormat="1" hidden="1" x14ac:dyDescent="0.3">
      <c r="A388" s="54">
        <v>382</v>
      </c>
      <c r="B388" s="54" t="s">
        <v>1395</v>
      </c>
      <c r="C388" s="54" t="s">
        <v>1416</v>
      </c>
      <c r="D388" s="54" t="s">
        <v>53</v>
      </c>
      <c r="E388" s="54">
        <v>99693984</v>
      </c>
      <c r="F388" s="54" t="s">
        <v>2446</v>
      </c>
      <c r="G388" s="108">
        <v>40025</v>
      </c>
      <c r="H388" s="54">
        <v>3217117107090000</v>
      </c>
      <c r="I388" s="54" t="s">
        <v>2353</v>
      </c>
      <c r="J388" s="54" t="s">
        <v>3112</v>
      </c>
      <c r="K388" s="54">
        <v>4</v>
      </c>
      <c r="L388" s="54">
        <v>14</v>
      </c>
      <c r="M388" s="54" t="s">
        <v>2582</v>
      </c>
      <c r="N388" s="54" t="s">
        <v>2425</v>
      </c>
      <c r="O388" s="54" t="s">
        <v>2426</v>
      </c>
      <c r="P388" s="54">
        <v>40562</v>
      </c>
      <c r="Q388" s="54" t="s">
        <v>2357</v>
      </c>
      <c r="R388" s="54" t="s">
        <v>2358</v>
      </c>
      <c r="S388" s="54"/>
      <c r="T388" s="54">
        <v>85794420938</v>
      </c>
      <c r="U388" s="54"/>
      <c r="V388" s="54"/>
      <c r="W388" s="54" t="s">
        <v>2359</v>
      </c>
      <c r="X388" s="54"/>
      <c r="Y388" s="54" t="s">
        <v>3184</v>
      </c>
      <c r="Z388" s="54">
        <v>1983</v>
      </c>
      <c r="AA388" s="54" t="s">
        <v>2390</v>
      </c>
      <c r="AB388" s="54" t="s">
        <v>2362</v>
      </c>
      <c r="AC388" s="54" t="s">
        <v>2403</v>
      </c>
      <c r="AD388" s="54"/>
      <c r="AE388" s="54" t="s">
        <v>3185</v>
      </c>
      <c r="AF388" s="54">
        <v>1988</v>
      </c>
      <c r="AG388" s="54" t="s">
        <v>2390</v>
      </c>
      <c r="AH388" s="54" t="s">
        <v>2365</v>
      </c>
      <c r="AI388" s="54" t="s">
        <v>2366</v>
      </c>
      <c r="AJ388" s="54"/>
      <c r="AK388" s="54"/>
      <c r="AL388" s="54"/>
      <c r="AM388" s="54"/>
      <c r="AN388" s="54"/>
      <c r="AO388" s="54"/>
      <c r="AP388" s="54"/>
      <c r="AQ388" s="54" t="s">
        <v>5147</v>
      </c>
      <c r="AR388" s="54"/>
      <c r="AS388" s="54"/>
      <c r="AT388" s="54" t="s">
        <v>2359</v>
      </c>
      <c r="AU388" s="54"/>
      <c r="AV388" s="54">
        <v>0</v>
      </c>
      <c r="AW388" s="54"/>
      <c r="AX388" s="54" t="s">
        <v>3186</v>
      </c>
      <c r="AY388" s="54"/>
      <c r="AZ388" s="54"/>
      <c r="BA388" s="54"/>
      <c r="BB388" s="54" t="s">
        <v>2369</v>
      </c>
      <c r="BC388" s="54" t="s">
        <v>2370</v>
      </c>
      <c r="BD388" s="54" t="s">
        <v>2371</v>
      </c>
      <c r="BE388" s="54" t="s">
        <v>2430</v>
      </c>
      <c r="BF388" s="54">
        <v>1</v>
      </c>
      <c r="BG388" s="54">
        <v>-6.9514541999999997</v>
      </c>
      <c r="BH388" s="54">
        <v>107.4179645</v>
      </c>
      <c r="BI388" s="54"/>
      <c r="BJ388" s="54">
        <v>17</v>
      </c>
      <c r="BK388" s="54">
        <v>110</v>
      </c>
      <c r="BL388" s="54">
        <v>55</v>
      </c>
      <c r="BM388" s="54">
        <v>2</v>
      </c>
      <c r="BN388" s="54">
        <v>1</v>
      </c>
    </row>
    <row r="389" spans="1:66" s="219" customFormat="1" hidden="1" x14ac:dyDescent="0.3">
      <c r="A389" s="54">
        <v>383</v>
      </c>
      <c r="B389" s="54" t="s">
        <v>1910</v>
      </c>
      <c r="C389" s="54" t="s">
        <v>1589</v>
      </c>
      <c r="D389" s="54" t="s">
        <v>53</v>
      </c>
      <c r="E389" s="54">
        <v>3092745537</v>
      </c>
      <c r="F389" s="54" t="s">
        <v>2373</v>
      </c>
      <c r="G389" s="108">
        <v>39834</v>
      </c>
      <c r="H389" s="54">
        <v>3217116101090000</v>
      </c>
      <c r="I389" s="54" t="s">
        <v>2353</v>
      </c>
      <c r="J389" s="54" t="s">
        <v>2616</v>
      </c>
      <c r="K389" s="54">
        <v>4</v>
      </c>
      <c r="L389" s="54">
        <v>6</v>
      </c>
      <c r="M389" s="54"/>
      <c r="N389" s="54" t="s">
        <v>2617</v>
      </c>
      <c r="O389" s="54" t="s">
        <v>2426</v>
      </c>
      <c r="P389" s="54">
        <v>40562</v>
      </c>
      <c r="Q389" s="54" t="s">
        <v>2357</v>
      </c>
      <c r="R389" s="54" t="s">
        <v>2358</v>
      </c>
      <c r="S389" s="54"/>
      <c r="T389" s="54">
        <v>81914952472</v>
      </c>
      <c r="U389" s="54"/>
      <c r="V389" s="54"/>
      <c r="W389" s="54" t="s">
        <v>2359</v>
      </c>
      <c r="X389" s="54"/>
      <c r="Y389" s="54"/>
      <c r="Z389" s="54">
        <v>1981</v>
      </c>
      <c r="AA389" s="54" t="s">
        <v>2402</v>
      </c>
      <c r="AB389" s="54" t="s">
        <v>2362</v>
      </c>
      <c r="AC389" s="54" t="s">
        <v>2363</v>
      </c>
      <c r="AD389" s="54"/>
      <c r="AE389" s="54" t="s">
        <v>3741</v>
      </c>
      <c r="AF389" s="54">
        <v>1984</v>
      </c>
      <c r="AG389" s="54" t="s">
        <v>2361</v>
      </c>
      <c r="AH389" s="54" t="s">
        <v>2365</v>
      </c>
      <c r="AI389" s="54" t="s">
        <v>2366</v>
      </c>
      <c r="AJ389" s="54"/>
      <c r="AK389" s="54"/>
      <c r="AL389" s="54"/>
      <c r="AM389" s="54"/>
      <c r="AN389" s="54"/>
      <c r="AO389" s="54"/>
      <c r="AP389" s="54"/>
      <c r="AQ389" s="54" t="s">
        <v>5147</v>
      </c>
      <c r="AR389" s="54"/>
      <c r="AS389" s="54"/>
      <c r="AT389" s="54" t="s">
        <v>2359</v>
      </c>
      <c r="AU389" s="54"/>
      <c r="AV389" s="54">
        <v>0</v>
      </c>
      <c r="AW389" s="54"/>
      <c r="AX389" s="54"/>
      <c r="AY389" s="54"/>
      <c r="AZ389" s="54"/>
      <c r="BA389" s="54"/>
      <c r="BB389" s="54" t="s">
        <v>2369</v>
      </c>
      <c r="BC389" s="54" t="s">
        <v>2370</v>
      </c>
      <c r="BD389" s="54" t="s">
        <v>2371</v>
      </c>
      <c r="BE389" s="54"/>
      <c r="BF389" s="54">
        <v>1</v>
      </c>
      <c r="BG389" s="54">
        <v>-6.9625000000000004</v>
      </c>
      <c r="BH389" s="54">
        <v>107.4346</v>
      </c>
      <c r="BI389" s="54"/>
      <c r="BJ389" s="54">
        <v>39</v>
      </c>
      <c r="BK389" s="54">
        <v>142</v>
      </c>
      <c r="BL389" s="54">
        <v>55</v>
      </c>
      <c r="BM389" s="54">
        <v>1</v>
      </c>
      <c r="BN389" s="54">
        <v>2</v>
      </c>
    </row>
    <row r="390" spans="1:66" hidden="1" x14ac:dyDescent="0.3">
      <c r="A390" s="3">
        <v>384</v>
      </c>
      <c r="B390" s="3" t="s">
        <v>3855</v>
      </c>
      <c r="C390" s="3" t="s">
        <v>4306</v>
      </c>
      <c r="D390" s="3" t="s">
        <v>53</v>
      </c>
      <c r="E390" s="3">
        <v>125704063</v>
      </c>
      <c r="F390" s="3" t="s">
        <v>2377</v>
      </c>
      <c r="G390" s="157">
        <v>40950</v>
      </c>
      <c r="H390" s="3">
        <v>3217125102120000</v>
      </c>
      <c r="I390" s="3" t="s">
        <v>2353</v>
      </c>
      <c r="J390" s="3" t="s">
        <v>2394</v>
      </c>
      <c r="K390" s="3">
        <v>2</v>
      </c>
      <c r="L390" s="3">
        <v>9</v>
      </c>
      <c r="M390" s="3"/>
      <c r="N390" s="3" t="s">
        <v>4475</v>
      </c>
      <c r="O390" s="3" t="s">
        <v>2356</v>
      </c>
      <c r="P390" s="3">
        <v>40564</v>
      </c>
      <c r="Q390" s="3" t="s">
        <v>2357</v>
      </c>
      <c r="R390" s="3" t="s">
        <v>2358</v>
      </c>
      <c r="S390" s="3"/>
      <c r="T390" s="3">
        <v>83104104747</v>
      </c>
      <c r="U390" s="3"/>
      <c r="V390" s="3"/>
      <c r="W390" s="3" t="s">
        <v>2359</v>
      </c>
      <c r="X390" s="3"/>
      <c r="Y390" s="3" t="s">
        <v>4905</v>
      </c>
      <c r="Z390" s="3">
        <v>1972</v>
      </c>
      <c r="AA390" s="3" t="s">
        <v>2402</v>
      </c>
      <c r="AB390" s="3" t="s">
        <v>2362</v>
      </c>
      <c r="AC390" s="3" t="s">
        <v>2403</v>
      </c>
      <c r="AD390" s="3">
        <v>3217121406720000</v>
      </c>
      <c r="AE390" s="3" t="s">
        <v>4906</v>
      </c>
      <c r="AF390" s="3">
        <v>1979</v>
      </c>
      <c r="AG390" s="3" t="s">
        <v>2361</v>
      </c>
      <c r="AH390" s="3" t="s">
        <v>2365</v>
      </c>
      <c r="AI390" s="3" t="s">
        <v>2366</v>
      </c>
      <c r="AJ390" s="3">
        <v>3217124610790000</v>
      </c>
      <c r="AK390" s="3"/>
      <c r="AL390" s="3"/>
      <c r="AM390" s="3" t="s">
        <v>2367</v>
      </c>
      <c r="AN390" s="3"/>
      <c r="AO390" s="3"/>
      <c r="AP390" s="3"/>
      <c r="AQ390" s="3" t="s">
        <v>5150</v>
      </c>
      <c r="AR390" s="3"/>
      <c r="AS390" s="3"/>
      <c r="AT390" s="3" t="s">
        <v>2359</v>
      </c>
      <c r="AU390" s="3"/>
      <c r="AV390" s="3">
        <v>0</v>
      </c>
      <c r="AW390" s="3"/>
      <c r="AX390" s="3" t="s">
        <v>4907</v>
      </c>
      <c r="AY390" s="3"/>
      <c r="AZ390" s="3"/>
      <c r="BA390" s="3"/>
      <c r="BB390" s="3" t="s">
        <v>2369</v>
      </c>
      <c r="BC390" s="3" t="s">
        <v>2370</v>
      </c>
      <c r="BD390" s="3" t="s">
        <v>2371</v>
      </c>
      <c r="BE390" s="3" t="s">
        <v>2477</v>
      </c>
      <c r="BF390" s="3">
        <v>3</v>
      </c>
      <c r="BG390" s="3">
        <v>-6.9661</v>
      </c>
      <c r="BH390" s="3">
        <v>107.4057</v>
      </c>
      <c r="BI390" s="3">
        <v>3217121010120050</v>
      </c>
      <c r="BJ390" s="3">
        <v>41</v>
      </c>
      <c r="BK390" s="3">
        <v>135</v>
      </c>
      <c r="BL390" s="3">
        <v>54</v>
      </c>
      <c r="BM390" s="3">
        <v>1</v>
      </c>
      <c r="BN390" s="3">
        <v>2</v>
      </c>
    </row>
    <row r="391" spans="1:66" s="219" customFormat="1" hidden="1" x14ac:dyDescent="0.3">
      <c r="A391" s="54">
        <v>385</v>
      </c>
      <c r="B391" s="54" t="s">
        <v>1368</v>
      </c>
      <c r="C391" s="54" t="s">
        <v>1505</v>
      </c>
      <c r="D391" s="54" t="s">
        <v>53</v>
      </c>
      <c r="E391" s="54">
        <v>87901178</v>
      </c>
      <c r="F391" s="54" t="s">
        <v>3526</v>
      </c>
      <c r="G391" s="108">
        <v>39796</v>
      </c>
      <c r="H391" s="54">
        <v>3273075412080000</v>
      </c>
      <c r="I391" s="54" t="s">
        <v>2353</v>
      </c>
      <c r="J391" s="54" t="s">
        <v>3527</v>
      </c>
      <c r="K391" s="54">
        <v>8</v>
      </c>
      <c r="L391" s="54">
        <v>8</v>
      </c>
      <c r="M391" s="54"/>
      <c r="N391" s="54" t="s">
        <v>3528</v>
      </c>
      <c r="O391" s="54" t="s">
        <v>3529</v>
      </c>
      <c r="P391" s="54"/>
      <c r="Q391" s="54" t="s">
        <v>2357</v>
      </c>
      <c r="R391" s="54" t="s">
        <v>2358</v>
      </c>
      <c r="S391" s="54"/>
      <c r="T391" s="54">
        <v>87711870435</v>
      </c>
      <c r="U391" s="54"/>
      <c r="V391" s="54"/>
      <c r="W391" s="54" t="s">
        <v>2359</v>
      </c>
      <c r="X391" s="54"/>
      <c r="Y391" s="54" t="s">
        <v>3530</v>
      </c>
      <c r="Z391" s="54">
        <v>0</v>
      </c>
      <c r="AA391" s="54" t="s">
        <v>2390</v>
      </c>
      <c r="AB391" s="54" t="s">
        <v>2388</v>
      </c>
      <c r="AC391" s="54" t="s">
        <v>2403</v>
      </c>
      <c r="AD391" s="54"/>
      <c r="AE391" s="54" t="s">
        <v>3531</v>
      </c>
      <c r="AF391" s="54">
        <v>0</v>
      </c>
      <c r="AG391" s="54" t="s">
        <v>2390</v>
      </c>
      <c r="AH391" s="54" t="s">
        <v>2362</v>
      </c>
      <c r="AI391" s="54" t="s">
        <v>2403</v>
      </c>
      <c r="AJ391" s="54"/>
      <c r="AK391" s="54"/>
      <c r="AL391" s="54"/>
      <c r="AM391" s="54"/>
      <c r="AN391" s="54"/>
      <c r="AO391" s="54"/>
      <c r="AP391" s="54"/>
      <c r="AQ391" s="54" t="s">
        <v>5147</v>
      </c>
      <c r="AR391" s="54"/>
      <c r="AS391" s="54"/>
      <c r="AT391" s="54" t="s">
        <v>2359</v>
      </c>
      <c r="AU391" s="54"/>
      <c r="AV391" s="54">
        <v>0</v>
      </c>
      <c r="AW391" s="54"/>
      <c r="AX391" s="54" t="s">
        <v>3532</v>
      </c>
      <c r="AY391" s="54"/>
      <c r="AZ391" s="54"/>
      <c r="BA391" s="54"/>
      <c r="BB391" s="54" t="s">
        <v>2369</v>
      </c>
      <c r="BC391" s="54" t="s">
        <v>2370</v>
      </c>
      <c r="BD391" s="54" t="s">
        <v>2371</v>
      </c>
      <c r="BE391" s="54"/>
      <c r="BF391" s="54">
        <v>1</v>
      </c>
      <c r="BG391" s="54">
        <v>-6.8960999999999997</v>
      </c>
      <c r="BH391" s="54">
        <v>107.6022</v>
      </c>
      <c r="BI391" s="54">
        <v>3273071608102650</v>
      </c>
      <c r="BJ391" s="54">
        <v>41</v>
      </c>
      <c r="BK391" s="54">
        <v>133</v>
      </c>
      <c r="BL391" s="54">
        <v>55</v>
      </c>
      <c r="BM391" s="54">
        <v>2</v>
      </c>
      <c r="BN391" s="54">
        <v>1</v>
      </c>
    </row>
    <row r="392" spans="1:66" s="219" customFormat="1" hidden="1" x14ac:dyDescent="0.3">
      <c r="A392" s="54">
        <v>386</v>
      </c>
      <c r="B392" s="54" t="s">
        <v>3040</v>
      </c>
      <c r="C392" s="54" t="s">
        <v>2263</v>
      </c>
      <c r="D392" s="54" t="s">
        <v>53</v>
      </c>
      <c r="E392" s="54">
        <v>96071197</v>
      </c>
      <c r="F392" s="54" t="s">
        <v>2373</v>
      </c>
      <c r="G392" s="108">
        <v>40142</v>
      </c>
      <c r="H392" s="54">
        <v>3217126511090000</v>
      </c>
      <c r="I392" s="54" t="s">
        <v>2353</v>
      </c>
      <c r="J392" s="54" t="s">
        <v>2876</v>
      </c>
      <c r="K392" s="54">
        <v>1</v>
      </c>
      <c r="L392" s="54">
        <v>7</v>
      </c>
      <c r="M392" s="54"/>
      <c r="N392" s="54" t="s">
        <v>2438</v>
      </c>
      <c r="O392" s="54" t="s">
        <v>2356</v>
      </c>
      <c r="P392" s="54">
        <v>40564</v>
      </c>
      <c r="Q392" s="54" t="s">
        <v>2357</v>
      </c>
      <c r="R392" s="54" t="s">
        <v>2358</v>
      </c>
      <c r="S392" s="54"/>
      <c r="T392" s="54">
        <v>83116572446</v>
      </c>
      <c r="U392" s="54"/>
      <c r="V392" s="54"/>
      <c r="W392" s="54" t="s">
        <v>2369</v>
      </c>
      <c r="X392" s="54" t="s">
        <v>3041</v>
      </c>
      <c r="Y392" s="54" t="s">
        <v>3042</v>
      </c>
      <c r="Z392" s="54">
        <v>1970</v>
      </c>
      <c r="AA392" s="54" t="s">
        <v>2361</v>
      </c>
      <c r="AB392" s="54" t="s">
        <v>2362</v>
      </c>
      <c r="AC392" s="54" t="s">
        <v>2403</v>
      </c>
      <c r="AD392" s="54">
        <v>3217120504700010</v>
      </c>
      <c r="AE392" s="54" t="s">
        <v>3043</v>
      </c>
      <c r="AF392" s="54">
        <v>1981</v>
      </c>
      <c r="AG392" s="54" t="s">
        <v>2361</v>
      </c>
      <c r="AH392" s="54" t="s">
        <v>2365</v>
      </c>
      <c r="AI392" s="54" t="s">
        <v>2366</v>
      </c>
      <c r="AJ392" s="54">
        <v>3217125305810010</v>
      </c>
      <c r="AK392" s="54"/>
      <c r="AL392" s="54"/>
      <c r="AM392" s="54" t="s">
        <v>2367</v>
      </c>
      <c r="AN392" s="54"/>
      <c r="AO392" s="54"/>
      <c r="AP392" s="54"/>
      <c r="AQ392" s="54" t="s">
        <v>8182</v>
      </c>
      <c r="AR392" s="54"/>
      <c r="AS392" s="54"/>
      <c r="AT392" s="54" t="s">
        <v>2369</v>
      </c>
      <c r="AU392" s="54" t="s">
        <v>3044</v>
      </c>
      <c r="AV392" s="54">
        <v>0</v>
      </c>
      <c r="AW392" s="54"/>
      <c r="AX392" s="54" t="s">
        <v>3045</v>
      </c>
      <c r="AY392" s="54" t="s">
        <v>2460</v>
      </c>
      <c r="AZ392" s="54">
        <v>411601003497506</v>
      </c>
      <c r="BA392" s="54" t="s">
        <v>2055</v>
      </c>
      <c r="BB392" s="54" t="s">
        <v>2369</v>
      </c>
      <c r="BC392" s="54"/>
      <c r="BD392" s="54" t="s">
        <v>2371</v>
      </c>
      <c r="BE392" s="54" t="s">
        <v>2880</v>
      </c>
      <c r="BF392" s="54">
        <v>3</v>
      </c>
      <c r="BG392" s="54">
        <v>-6.9560557039999997</v>
      </c>
      <c r="BH392" s="54">
        <v>107.39906070000001</v>
      </c>
      <c r="BI392" s="54"/>
      <c r="BJ392" s="54">
        <v>42</v>
      </c>
      <c r="BK392" s="54">
        <v>135</v>
      </c>
      <c r="BL392" s="54">
        <v>58</v>
      </c>
      <c r="BM392" s="54">
        <v>1</v>
      </c>
      <c r="BN392" s="54">
        <v>3</v>
      </c>
    </row>
    <row r="393" spans="1:66" s="219" customFormat="1" hidden="1" x14ac:dyDescent="0.3">
      <c r="A393" s="54">
        <v>387</v>
      </c>
      <c r="B393" s="54" t="s">
        <v>2049</v>
      </c>
      <c r="C393" s="54" t="s">
        <v>2149</v>
      </c>
      <c r="D393" s="54" t="s">
        <v>53</v>
      </c>
      <c r="E393" s="54">
        <v>102016855</v>
      </c>
      <c r="F393" s="54" t="s">
        <v>2377</v>
      </c>
      <c r="G393" s="108">
        <v>40407</v>
      </c>
      <c r="H393" s="54">
        <v>3217125700810000</v>
      </c>
      <c r="I393" s="54" t="s">
        <v>2353</v>
      </c>
      <c r="J393" s="54" t="s">
        <v>2623</v>
      </c>
      <c r="K393" s="54">
        <v>2</v>
      </c>
      <c r="L393" s="54">
        <v>3</v>
      </c>
      <c r="M393" s="54"/>
      <c r="N393" s="54" t="s">
        <v>2355</v>
      </c>
      <c r="O393" s="54" t="s">
        <v>2356</v>
      </c>
      <c r="P393" s="54">
        <v>40564</v>
      </c>
      <c r="Q393" s="54" t="s">
        <v>2357</v>
      </c>
      <c r="R393" s="54" t="s">
        <v>2358</v>
      </c>
      <c r="S393" s="54"/>
      <c r="T393" s="54">
        <v>83120283040</v>
      </c>
      <c r="U393" s="54"/>
      <c r="V393" s="54"/>
      <c r="W393" s="54" t="s">
        <v>2359</v>
      </c>
      <c r="X393" s="54"/>
      <c r="Y393" s="54" t="s">
        <v>2624</v>
      </c>
      <c r="Z393" s="54">
        <v>1983</v>
      </c>
      <c r="AA393" s="54" t="s">
        <v>2361</v>
      </c>
      <c r="AB393" s="54" t="s">
        <v>2362</v>
      </c>
      <c r="AC393" s="54" t="s">
        <v>2363</v>
      </c>
      <c r="AD393" s="54">
        <v>3217120609830020</v>
      </c>
      <c r="AE393" s="54" t="s">
        <v>2625</v>
      </c>
      <c r="AF393" s="54">
        <v>1989</v>
      </c>
      <c r="AG393" s="54" t="s">
        <v>2361</v>
      </c>
      <c r="AH393" s="54" t="s">
        <v>2365</v>
      </c>
      <c r="AI393" s="54" t="s">
        <v>2366</v>
      </c>
      <c r="AJ393" s="54">
        <v>3217126205890000</v>
      </c>
      <c r="AK393" s="54"/>
      <c r="AL393" s="54"/>
      <c r="AM393" s="54" t="s">
        <v>2367</v>
      </c>
      <c r="AN393" s="54"/>
      <c r="AO393" s="54"/>
      <c r="AP393" s="54"/>
      <c r="AQ393" s="54" t="s">
        <v>8181</v>
      </c>
      <c r="AR393" s="54"/>
      <c r="AS393" s="54"/>
      <c r="AT393" s="54" t="s">
        <v>2359</v>
      </c>
      <c r="AU393" s="54"/>
      <c r="AV393" s="54">
        <v>0</v>
      </c>
      <c r="AW393" s="54"/>
      <c r="AX393" s="54" t="s">
        <v>2626</v>
      </c>
      <c r="AY393" s="54"/>
      <c r="AZ393" s="54"/>
      <c r="BA393" s="54"/>
      <c r="BB393" s="54" t="s">
        <v>2369</v>
      </c>
      <c r="BC393" s="54" t="s">
        <v>2370</v>
      </c>
      <c r="BD393" s="54" t="s">
        <v>2371</v>
      </c>
      <c r="BE393" s="54" t="s">
        <v>2372</v>
      </c>
      <c r="BF393" s="54"/>
      <c r="BG393" s="54">
        <v>-6.9676999999999998</v>
      </c>
      <c r="BH393" s="54">
        <v>107.4117</v>
      </c>
      <c r="BI393" s="54"/>
      <c r="BJ393" s="54">
        <v>51</v>
      </c>
      <c r="BK393" s="54">
        <v>145</v>
      </c>
      <c r="BL393" s="54">
        <v>0</v>
      </c>
      <c r="BM393" s="54">
        <v>0</v>
      </c>
      <c r="BN393" s="54">
        <v>0</v>
      </c>
    </row>
    <row r="394" spans="1:66" s="219" customFormat="1" hidden="1" x14ac:dyDescent="0.3">
      <c r="A394" s="54">
        <v>388</v>
      </c>
      <c r="B394" s="54" t="s">
        <v>1719</v>
      </c>
      <c r="C394" s="54" t="s">
        <v>2215</v>
      </c>
      <c r="D394" s="54" t="s">
        <v>53</v>
      </c>
      <c r="E394" s="54">
        <v>3094152312</v>
      </c>
      <c r="F394" s="54" t="s">
        <v>2373</v>
      </c>
      <c r="G394" s="108">
        <v>40128</v>
      </c>
      <c r="H394" s="54">
        <v>3217115111100000</v>
      </c>
      <c r="I394" s="54" t="s">
        <v>2353</v>
      </c>
      <c r="J394" s="54" t="s">
        <v>2810</v>
      </c>
      <c r="K394" s="54">
        <v>1</v>
      </c>
      <c r="L394" s="54">
        <v>6</v>
      </c>
      <c r="M394" s="54"/>
      <c r="N394" s="54" t="s">
        <v>2425</v>
      </c>
      <c r="O394" s="54" t="s">
        <v>2426</v>
      </c>
      <c r="P394" s="54">
        <v>40562</v>
      </c>
      <c r="Q394" s="54" t="s">
        <v>2357</v>
      </c>
      <c r="R394" s="54" t="s">
        <v>2358</v>
      </c>
      <c r="S394" s="54"/>
      <c r="T394" s="54"/>
      <c r="U394" s="54"/>
      <c r="V394" s="54"/>
      <c r="W394" s="54" t="s">
        <v>2359</v>
      </c>
      <c r="X394" s="54"/>
      <c r="Y394" s="54"/>
      <c r="Z394" s="54">
        <v>0</v>
      </c>
      <c r="AA394" s="54"/>
      <c r="AB394" s="54" t="s">
        <v>2362</v>
      </c>
      <c r="AC394" s="54" t="s">
        <v>2375</v>
      </c>
      <c r="AD394" s="54"/>
      <c r="AE394" s="54" t="s">
        <v>2869</v>
      </c>
      <c r="AF394" s="54">
        <v>0</v>
      </c>
      <c r="AG394" s="54"/>
      <c r="AH394" s="54" t="s">
        <v>2365</v>
      </c>
      <c r="AI394" s="54" t="s">
        <v>2366</v>
      </c>
      <c r="AJ394" s="54"/>
      <c r="AK394" s="54"/>
      <c r="AL394" s="54"/>
      <c r="AM394" s="54"/>
      <c r="AN394" s="54"/>
      <c r="AO394" s="54"/>
      <c r="AP394" s="54"/>
      <c r="AQ394" s="54" t="s">
        <v>8179</v>
      </c>
      <c r="AR394" s="54"/>
      <c r="AS394" s="54"/>
      <c r="AT394" s="54" t="s">
        <v>2359</v>
      </c>
      <c r="AU394" s="54"/>
      <c r="AV394" s="54">
        <v>1</v>
      </c>
      <c r="AW394" s="54"/>
      <c r="AX394" s="54"/>
      <c r="AY394" s="54"/>
      <c r="AZ394" s="54"/>
      <c r="BA394" s="54"/>
      <c r="BB394" s="54" t="s">
        <v>2359</v>
      </c>
      <c r="BC394" s="54"/>
      <c r="BD394" s="54" t="s">
        <v>2371</v>
      </c>
      <c r="BE394" s="54" t="s">
        <v>2376</v>
      </c>
      <c r="BF394" s="54">
        <v>1</v>
      </c>
      <c r="BG394" s="54">
        <v>-6.9625000000000004</v>
      </c>
      <c r="BH394" s="54">
        <v>107.4346</v>
      </c>
      <c r="BI394" s="54"/>
      <c r="BJ394" s="54">
        <v>41</v>
      </c>
      <c r="BK394" s="54">
        <v>135</v>
      </c>
      <c r="BL394" s="54">
        <v>55</v>
      </c>
      <c r="BM394" s="54">
        <v>1</v>
      </c>
      <c r="BN394" s="54">
        <v>1</v>
      </c>
    </row>
    <row r="395" spans="1:66" hidden="1" x14ac:dyDescent="0.3">
      <c r="A395" s="3">
        <v>389</v>
      </c>
      <c r="B395" s="3" t="s">
        <v>3885</v>
      </c>
      <c r="C395" s="3" t="s">
        <v>4343</v>
      </c>
      <c r="D395" s="3" t="s">
        <v>52</v>
      </c>
      <c r="E395" s="3">
        <v>129138465</v>
      </c>
      <c r="F395" s="3" t="s">
        <v>2468</v>
      </c>
      <c r="G395" s="157">
        <v>40919</v>
      </c>
      <c r="H395" s="3">
        <v>3173051101121000</v>
      </c>
      <c r="I395" s="3" t="s">
        <v>2353</v>
      </c>
      <c r="J395" s="3" t="s">
        <v>2394</v>
      </c>
      <c r="K395" s="3">
        <v>3</v>
      </c>
      <c r="L395" s="3">
        <v>9</v>
      </c>
      <c r="M395" s="3"/>
      <c r="N395" s="3" t="s">
        <v>4475</v>
      </c>
      <c r="O395" s="3" t="s">
        <v>2356</v>
      </c>
      <c r="P395" s="3">
        <v>40564</v>
      </c>
      <c r="Q395" s="3" t="s">
        <v>2357</v>
      </c>
      <c r="R395" s="3" t="s">
        <v>2358</v>
      </c>
      <c r="S395" s="3"/>
      <c r="T395" s="3">
        <v>83822116007</v>
      </c>
      <c r="U395" s="3"/>
      <c r="V395" s="3"/>
      <c r="W395" s="3" t="s">
        <v>2359</v>
      </c>
      <c r="X395" s="3"/>
      <c r="Y395" s="3" t="s">
        <v>4006</v>
      </c>
      <c r="Z395" s="3">
        <v>1976</v>
      </c>
      <c r="AA395" s="3" t="s">
        <v>2402</v>
      </c>
      <c r="AB395" s="3" t="s">
        <v>2493</v>
      </c>
      <c r="AC395" s="3" t="s">
        <v>2363</v>
      </c>
      <c r="AD395" s="3">
        <v>3173050911760010</v>
      </c>
      <c r="AE395" s="3" t="s">
        <v>4007</v>
      </c>
      <c r="AF395" s="3">
        <v>1987</v>
      </c>
      <c r="AG395" s="3" t="s">
        <v>2361</v>
      </c>
      <c r="AH395" s="3" t="s">
        <v>2365</v>
      </c>
      <c r="AI395" s="3" t="s">
        <v>2366</v>
      </c>
      <c r="AJ395" s="3">
        <v>3173056210870010</v>
      </c>
      <c r="AK395" s="3"/>
      <c r="AL395" s="3"/>
      <c r="AM395" s="3" t="s">
        <v>2367</v>
      </c>
      <c r="AN395" s="3"/>
      <c r="AO395" s="3"/>
      <c r="AP395" s="3"/>
      <c r="AQ395" s="3" t="s">
        <v>5152</v>
      </c>
      <c r="AR395" s="3"/>
      <c r="AS395" s="3" t="s">
        <v>4908</v>
      </c>
      <c r="AT395" s="3" t="s">
        <v>2359</v>
      </c>
      <c r="AU395" s="3"/>
      <c r="AV395" s="3">
        <v>0</v>
      </c>
      <c r="AW395" s="3"/>
      <c r="AX395" s="3" t="s">
        <v>4909</v>
      </c>
      <c r="AY395" s="3"/>
      <c r="AZ395" s="3"/>
      <c r="BA395" s="3"/>
      <c r="BB395" s="3" t="s">
        <v>2369</v>
      </c>
      <c r="BC395" s="3" t="s">
        <v>2370</v>
      </c>
      <c r="BD395" s="3" t="s">
        <v>2371</v>
      </c>
      <c r="BE395" s="3" t="s">
        <v>2477</v>
      </c>
      <c r="BF395" s="3">
        <v>2</v>
      </c>
      <c r="BG395" s="3">
        <v>-6.9661</v>
      </c>
      <c r="BH395" s="3">
        <v>107.4057</v>
      </c>
      <c r="BI395" s="3">
        <v>3217121009200010</v>
      </c>
      <c r="BJ395" s="3">
        <v>42</v>
      </c>
      <c r="BK395" s="3">
        <v>140</v>
      </c>
      <c r="BL395" s="3">
        <v>48</v>
      </c>
      <c r="BM395" s="3">
        <v>1</v>
      </c>
      <c r="BN395" s="3">
        <v>3</v>
      </c>
    </row>
    <row r="396" spans="1:66" s="219" customFormat="1" hidden="1" x14ac:dyDescent="0.3">
      <c r="A396" s="54">
        <v>390</v>
      </c>
      <c r="B396" s="54" t="s">
        <v>4910</v>
      </c>
      <c r="C396" s="54" t="s">
        <v>2150</v>
      </c>
      <c r="D396" s="54" t="s">
        <v>52</v>
      </c>
      <c r="E396" s="54">
        <v>3099687272</v>
      </c>
      <c r="F396" s="54" t="s">
        <v>2446</v>
      </c>
      <c r="G396" s="108">
        <v>40014</v>
      </c>
      <c r="H396" s="54">
        <v>3217112007090000</v>
      </c>
      <c r="I396" s="54" t="s">
        <v>2353</v>
      </c>
      <c r="J396" s="54" t="s">
        <v>2616</v>
      </c>
      <c r="K396" s="54">
        <v>5</v>
      </c>
      <c r="L396" s="54">
        <v>7</v>
      </c>
      <c r="M396" s="54"/>
      <c r="N396" s="54" t="s">
        <v>2617</v>
      </c>
      <c r="O396" s="54" t="s">
        <v>2426</v>
      </c>
      <c r="P396" s="54">
        <v>40561</v>
      </c>
      <c r="Q396" s="54" t="s">
        <v>2357</v>
      </c>
      <c r="R396" s="54" t="s">
        <v>2358</v>
      </c>
      <c r="S396" s="54"/>
      <c r="T396" s="54"/>
      <c r="U396" s="54"/>
      <c r="V396" s="54"/>
      <c r="W396" s="54" t="s">
        <v>2359</v>
      </c>
      <c r="X396" s="54"/>
      <c r="Y396" s="54"/>
      <c r="Z396" s="54">
        <v>0</v>
      </c>
      <c r="AA396" s="54"/>
      <c r="AB396" s="54" t="s">
        <v>2362</v>
      </c>
      <c r="AC396" s="54" t="s">
        <v>2363</v>
      </c>
      <c r="AD396" s="54"/>
      <c r="AE396" s="54" t="s">
        <v>4911</v>
      </c>
      <c r="AF396" s="54">
        <v>0</v>
      </c>
      <c r="AG396" s="54"/>
      <c r="AH396" s="54" t="s">
        <v>2365</v>
      </c>
      <c r="AI396" s="54" t="s">
        <v>2366</v>
      </c>
      <c r="AJ396" s="54"/>
      <c r="AK396" s="54"/>
      <c r="AL396" s="54"/>
      <c r="AM396" s="54"/>
      <c r="AN396" s="54"/>
      <c r="AO396" s="54"/>
      <c r="AP396" s="54"/>
      <c r="AQ396" s="54" t="s">
        <v>8181</v>
      </c>
      <c r="AR396" s="54"/>
      <c r="AS396" s="54"/>
      <c r="AT396" s="54" t="s">
        <v>2359</v>
      </c>
      <c r="AU396" s="54"/>
      <c r="AV396" s="54">
        <v>1</v>
      </c>
      <c r="AW396" s="54"/>
      <c r="AX396" s="54"/>
      <c r="AY396" s="54"/>
      <c r="AZ396" s="54"/>
      <c r="BA396" s="54"/>
      <c r="BB396" s="54" t="s">
        <v>2369</v>
      </c>
      <c r="BC396" s="54" t="s">
        <v>2370</v>
      </c>
      <c r="BD396" s="54" t="s">
        <v>2371</v>
      </c>
      <c r="BE396" s="54" t="s">
        <v>2376</v>
      </c>
      <c r="BF396" s="54">
        <v>1</v>
      </c>
      <c r="BG396" s="54">
        <v>-6.9625000000000004</v>
      </c>
      <c r="BH396" s="54">
        <v>107.4346</v>
      </c>
      <c r="BI396" s="54"/>
      <c r="BJ396" s="54">
        <v>44</v>
      </c>
      <c r="BK396" s="54">
        <v>143</v>
      </c>
      <c r="BL396" s="54">
        <v>57</v>
      </c>
      <c r="BM396" s="54">
        <v>1</v>
      </c>
      <c r="BN396" s="54">
        <v>2</v>
      </c>
    </row>
    <row r="397" spans="1:66" s="219" customFormat="1" hidden="1" x14ac:dyDescent="0.3">
      <c r="A397" s="54">
        <v>391</v>
      </c>
      <c r="B397" s="54" t="s">
        <v>2627</v>
      </c>
      <c r="C397" s="54" t="s">
        <v>2151</v>
      </c>
      <c r="D397" s="54" t="s">
        <v>53</v>
      </c>
      <c r="E397" s="54">
        <v>84852980</v>
      </c>
      <c r="F397" s="54" t="s">
        <v>2373</v>
      </c>
      <c r="G397" s="108">
        <v>39761</v>
      </c>
      <c r="H397" s="54">
        <v>3217124911080000</v>
      </c>
      <c r="I397" s="54" t="s">
        <v>2353</v>
      </c>
      <c r="J397" s="54" t="s">
        <v>2394</v>
      </c>
      <c r="K397" s="54">
        <v>3</v>
      </c>
      <c r="L397" s="54">
        <v>2</v>
      </c>
      <c r="M397" s="54"/>
      <c r="N397" s="54" t="s">
        <v>2513</v>
      </c>
      <c r="O397" s="54" t="s">
        <v>2356</v>
      </c>
      <c r="P397" s="54">
        <v>40564</v>
      </c>
      <c r="Q397" s="54" t="s">
        <v>2357</v>
      </c>
      <c r="R397" s="54" t="s">
        <v>2358</v>
      </c>
      <c r="S397" s="54"/>
      <c r="T397" s="54"/>
      <c r="U397" s="54"/>
      <c r="V397" s="54"/>
      <c r="W397" s="54" t="s">
        <v>2359</v>
      </c>
      <c r="X397" s="54"/>
      <c r="Y397" s="54"/>
      <c r="Z397" s="54">
        <v>1973</v>
      </c>
      <c r="AA397" s="54" t="s">
        <v>2390</v>
      </c>
      <c r="AB397" s="54" t="s">
        <v>2388</v>
      </c>
      <c r="AC397" s="54" t="s">
        <v>2363</v>
      </c>
      <c r="AD397" s="54"/>
      <c r="AE397" s="54" t="s">
        <v>2628</v>
      </c>
      <c r="AF397" s="54">
        <v>1977</v>
      </c>
      <c r="AG397" s="54" t="s">
        <v>2361</v>
      </c>
      <c r="AH397" s="54" t="s">
        <v>2388</v>
      </c>
      <c r="AI397" s="54" t="s">
        <v>2363</v>
      </c>
      <c r="AJ397" s="54"/>
      <c r="AK397" s="54"/>
      <c r="AL397" s="54"/>
      <c r="AM397" s="54"/>
      <c r="AN397" s="54"/>
      <c r="AO397" s="54"/>
      <c r="AP397" s="54"/>
      <c r="AQ397" s="54" t="s">
        <v>8181</v>
      </c>
      <c r="AR397" s="54"/>
      <c r="AS397" s="54"/>
      <c r="AT397" s="54" t="s">
        <v>2359</v>
      </c>
      <c r="AU397" s="54"/>
      <c r="AV397" s="54">
        <v>0</v>
      </c>
      <c r="AW397" s="54"/>
      <c r="AX397" s="54"/>
      <c r="AY397" s="54"/>
      <c r="AZ397" s="54"/>
      <c r="BA397" s="54"/>
      <c r="BB397" s="54" t="s">
        <v>2369</v>
      </c>
      <c r="BC397" s="54" t="s">
        <v>2370</v>
      </c>
      <c r="BD397" s="54" t="s">
        <v>2371</v>
      </c>
      <c r="BE397" s="54" t="s">
        <v>2477</v>
      </c>
      <c r="BF397" s="54">
        <v>1</v>
      </c>
      <c r="BG397" s="54">
        <v>-6.9625000000000004</v>
      </c>
      <c r="BH397" s="54">
        <v>107.4346</v>
      </c>
      <c r="BI397" s="54"/>
      <c r="BJ397" s="54">
        <v>45</v>
      </c>
      <c r="BK397" s="54">
        <v>141</v>
      </c>
      <c r="BL397" s="54">
        <v>58</v>
      </c>
      <c r="BM397" s="54">
        <v>1</v>
      </c>
      <c r="BN397" s="54">
        <v>2</v>
      </c>
    </row>
    <row r="398" spans="1:66" s="219" customFormat="1" hidden="1" x14ac:dyDescent="0.3">
      <c r="A398" s="54">
        <v>392</v>
      </c>
      <c r="B398" s="54" t="s">
        <v>2629</v>
      </c>
      <c r="C398" s="54" t="s">
        <v>2152</v>
      </c>
      <c r="D398" s="54" t="s">
        <v>53</v>
      </c>
      <c r="E398" s="54">
        <v>108530122</v>
      </c>
      <c r="F398" s="54" t="s">
        <v>2373</v>
      </c>
      <c r="G398" s="108">
        <v>40313</v>
      </c>
      <c r="H398" s="54">
        <v>3217115505100000</v>
      </c>
      <c r="I398" s="54" t="s">
        <v>2353</v>
      </c>
      <c r="J398" s="54" t="s">
        <v>2424</v>
      </c>
      <c r="K398" s="54">
        <v>3</v>
      </c>
      <c r="L398" s="54">
        <v>14</v>
      </c>
      <c r="M398" s="54" t="s">
        <v>2424</v>
      </c>
      <c r="N398" s="54" t="s">
        <v>2425</v>
      </c>
      <c r="O398" s="54" t="s">
        <v>2426</v>
      </c>
      <c r="P398" s="54">
        <v>40562</v>
      </c>
      <c r="Q398" s="54" t="s">
        <v>2357</v>
      </c>
      <c r="R398" s="54" t="s">
        <v>2358</v>
      </c>
      <c r="S398" s="54"/>
      <c r="T398" s="54">
        <v>83829753519</v>
      </c>
      <c r="U398" s="54"/>
      <c r="V398" s="54"/>
      <c r="W398" s="54" t="s">
        <v>2359</v>
      </c>
      <c r="X398" s="54"/>
      <c r="Y398" s="54" t="s">
        <v>2630</v>
      </c>
      <c r="Z398" s="54">
        <v>1982</v>
      </c>
      <c r="AA398" s="54" t="s">
        <v>2361</v>
      </c>
      <c r="AB398" s="54" t="s">
        <v>2362</v>
      </c>
      <c r="AC398" s="54" t="s">
        <v>2403</v>
      </c>
      <c r="AD398" s="54"/>
      <c r="AE398" s="54" t="s">
        <v>2631</v>
      </c>
      <c r="AF398" s="54">
        <v>1986</v>
      </c>
      <c r="AG398" s="54" t="s">
        <v>2402</v>
      </c>
      <c r="AH398" s="54" t="s">
        <v>2365</v>
      </c>
      <c r="AI398" s="54" t="s">
        <v>2366</v>
      </c>
      <c r="AJ398" s="54"/>
      <c r="AK398" s="54"/>
      <c r="AL398" s="54"/>
      <c r="AM398" s="54" t="s">
        <v>2367</v>
      </c>
      <c r="AN398" s="54"/>
      <c r="AO398" s="54"/>
      <c r="AP398" s="54"/>
      <c r="AQ398" s="54" t="s">
        <v>8181</v>
      </c>
      <c r="AR398" s="54"/>
      <c r="AS398" s="54"/>
      <c r="AT398" s="54" t="s">
        <v>2359</v>
      </c>
      <c r="AU398" s="54"/>
      <c r="AV398" s="54">
        <v>0</v>
      </c>
      <c r="AW398" s="54"/>
      <c r="AX398" s="54" t="s">
        <v>2632</v>
      </c>
      <c r="AY398" s="54"/>
      <c r="AZ398" s="54"/>
      <c r="BA398" s="54"/>
      <c r="BB398" s="54" t="s">
        <v>2369</v>
      </c>
      <c r="BC398" s="54" t="s">
        <v>2370</v>
      </c>
      <c r="BD398" s="54" t="s">
        <v>2371</v>
      </c>
      <c r="BE398" s="54" t="s">
        <v>2430</v>
      </c>
      <c r="BF398" s="54">
        <v>12</v>
      </c>
      <c r="BG398" s="54">
        <v>-6.9514541999999997</v>
      </c>
      <c r="BH398" s="54">
        <v>107.4179645</v>
      </c>
      <c r="BI398" s="54"/>
      <c r="BJ398" s="54">
        <v>43</v>
      </c>
      <c r="BK398" s="54">
        <v>137</v>
      </c>
      <c r="BL398" s="54">
        <v>0</v>
      </c>
      <c r="BM398" s="54">
        <v>0</v>
      </c>
      <c r="BN398" s="54">
        <v>0</v>
      </c>
    </row>
    <row r="399" spans="1:66" hidden="1" x14ac:dyDescent="0.3">
      <c r="A399" s="3">
        <v>393</v>
      </c>
      <c r="B399" s="3" t="s">
        <v>3886</v>
      </c>
      <c r="C399" s="3" t="s">
        <v>4344</v>
      </c>
      <c r="D399" s="3" t="s">
        <v>53</v>
      </c>
      <c r="E399" s="3">
        <v>115982682</v>
      </c>
      <c r="F399" s="3" t="s">
        <v>2352</v>
      </c>
      <c r="G399" s="157">
        <v>40580</v>
      </c>
      <c r="H399" s="3">
        <v>3217114602110000</v>
      </c>
      <c r="I399" s="3" t="s">
        <v>2353</v>
      </c>
      <c r="J399" s="3" t="s">
        <v>3236</v>
      </c>
      <c r="K399" s="3">
        <v>5</v>
      </c>
      <c r="L399" s="3">
        <v>1</v>
      </c>
      <c r="M399" s="3"/>
      <c r="N399" s="3" t="s">
        <v>4604</v>
      </c>
      <c r="O399" s="3" t="s">
        <v>2426</v>
      </c>
      <c r="P399" s="3">
        <v>40562</v>
      </c>
      <c r="Q399" s="3" t="s">
        <v>2357</v>
      </c>
      <c r="R399" s="3" t="s">
        <v>2358</v>
      </c>
      <c r="S399" s="3"/>
      <c r="T399" s="3">
        <v>83861627153</v>
      </c>
      <c r="U399" s="3"/>
      <c r="V399" s="3"/>
      <c r="W399" s="3" t="s">
        <v>2359</v>
      </c>
      <c r="X399" s="3"/>
      <c r="Y399" s="3" t="s">
        <v>4071</v>
      </c>
      <c r="Z399" s="3">
        <v>1979</v>
      </c>
      <c r="AA399" s="3" t="s">
        <v>2361</v>
      </c>
      <c r="AB399" s="3" t="s">
        <v>2362</v>
      </c>
      <c r="AC399" s="3" t="s">
        <v>2403</v>
      </c>
      <c r="AD399" s="3">
        <v>3217111508790010</v>
      </c>
      <c r="AE399" s="3" t="s">
        <v>4072</v>
      </c>
      <c r="AF399" s="3">
        <v>1981</v>
      </c>
      <c r="AG399" s="3" t="s">
        <v>2367</v>
      </c>
      <c r="AH399" s="3" t="s">
        <v>2365</v>
      </c>
      <c r="AI399" s="3" t="s">
        <v>2366</v>
      </c>
      <c r="AJ399" s="3">
        <v>3217114205810000</v>
      </c>
      <c r="AK399" s="3"/>
      <c r="AL399" s="3"/>
      <c r="AM399" s="3" t="s">
        <v>2367</v>
      </c>
      <c r="AN399" s="3"/>
      <c r="AO399" s="3"/>
      <c r="AP399" s="3"/>
      <c r="AQ399" s="3" t="s">
        <v>5152</v>
      </c>
      <c r="AR399" s="3"/>
      <c r="AS399" s="3"/>
      <c r="AT399" s="3" t="s">
        <v>2369</v>
      </c>
      <c r="AU399" s="3"/>
      <c r="AV399" s="3">
        <v>0</v>
      </c>
      <c r="AW399" s="3"/>
      <c r="AX399" s="3" t="s">
        <v>4070</v>
      </c>
      <c r="AY399" s="3"/>
      <c r="AZ399" s="3"/>
      <c r="BA399" s="3"/>
      <c r="BB399" s="3" t="s">
        <v>2369</v>
      </c>
      <c r="BC399" s="3"/>
      <c r="BD399" s="3" t="s">
        <v>2371</v>
      </c>
      <c r="BE399" s="3" t="s">
        <v>2691</v>
      </c>
      <c r="BF399" s="3">
        <v>2</v>
      </c>
      <c r="BG399" s="3">
        <v>-6.9743000000000004</v>
      </c>
      <c r="BH399" s="3">
        <v>107.43559999999999</v>
      </c>
      <c r="BI399" s="3">
        <v>3217112109060060</v>
      </c>
      <c r="BJ399" s="3">
        <v>35</v>
      </c>
      <c r="BK399" s="3">
        <v>130</v>
      </c>
      <c r="BL399" s="3">
        <v>45</v>
      </c>
      <c r="BM399" s="3">
        <v>2</v>
      </c>
      <c r="BN399" s="3">
        <v>1</v>
      </c>
    </row>
    <row r="400" spans="1:66" s="219" customFormat="1" hidden="1" x14ac:dyDescent="0.3">
      <c r="A400" s="54">
        <v>394</v>
      </c>
      <c r="B400" s="54" t="s">
        <v>1805</v>
      </c>
      <c r="C400" s="54" t="s">
        <v>1443</v>
      </c>
      <c r="D400" s="54" t="s">
        <v>53</v>
      </c>
      <c r="E400" s="54">
        <v>99141098</v>
      </c>
      <c r="F400" s="54" t="s">
        <v>2377</v>
      </c>
      <c r="G400" s="108">
        <v>39887</v>
      </c>
      <c r="H400" s="54">
        <v>3217115503090000</v>
      </c>
      <c r="I400" s="54" t="s">
        <v>2353</v>
      </c>
      <c r="J400" s="54" t="s">
        <v>2565</v>
      </c>
      <c r="K400" s="54">
        <v>7</v>
      </c>
      <c r="L400" s="54">
        <v>1</v>
      </c>
      <c r="M400" s="54"/>
      <c r="N400" s="54" t="s">
        <v>2566</v>
      </c>
      <c r="O400" s="54" t="s">
        <v>2426</v>
      </c>
      <c r="P400" s="54">
        <v>40562</v>
      </c>
      <c r="Q400" s="54" t="s">
        <v>2357</v>
      </c>
      <c r="R400" s="54" t="s">
        <v>2358</v>
      </c>
      <c r="S400" s="54"/>
      <c r="T400" s="54">
        <v>83822125302</v>
      </c>
      <c r="U400" s="54"/>
      <c r="V400" s="54"/>
      <c r="W400" s="54" t="s">
        <v>2369</v>
      </c>
      <c r="X400" s="54" t="s">
        <v>3290</v>
      </c>
      <c r="Y400" s="54" t="s">
        <v>3291</v>
      </c>
      <c r="Z400" s="54">
        <v>1979</v>
      </c>
      <c r="AA400" s="54" t="s">
        <v>2402</v>
      </c>
      <c r="AB400" s="54" t="s">
        <v>2362</v>
      </c>
      <c r="AC400" s="54" t="s">
        <v>2363</v>
      </c>
      <c r="AD400" s="54">
        <v>3217110208790000</v>
      </c>
      <c r="AE400" s="54" t="s">
        <v>3292</v>
      </c>
      <c r="AF400" s="54">
        <v>1985</v>
      </c>
      <c r="AG400" s="54" t="s">
        <v>2361</v>
      </c>
      <c r="AH400" s="54" t="s">
        <v>2365</v>
      </c>
      <c r="AI400" s="54" t="s">
        <v>2366</v>
      </c>
      <c r="AJ400" s="54">
        <v>3217116505850020</v>
      </c>
      <c r="AK400" s="54"/>
      <c r="AL400" s="54"/>
      <c r="AM400" s="54"/>
      <c r="AN400" s="54"/>
      <c r="AO400" s="54"/>
      <c r="AP400" s="54"/>
      <c r="AQ400" s="54" t="s">
        <v>5147</v>
      </c>
      <c r="AR400" s="54"/>
      <c r="AS400" s="54"/>
      <c r="AT400" s="54" t="s">
        <v>2369</v>
      </c>
      <c r="AU400" s="54" t="s">
        <v>3290</v>
      </c>
      <c r="AV400" s="54">
        <v>0</v>
      </c>
      <c r="AW400" s="54" t="s">
        <v>3293</v>
      </c>
      <c r="AX400" s="54"/>
      <c r="AY400" s="54" t="s">
        <v>2460</v>
      </c>
      <c r="AZ400" s="54">
        <v>367101002770504</v>
      </c>
      <c r="BA400" s="54" t="s">
        <v>1805</v>
      </c>
      <c r="BB400" s="54" t="s">
        <v>2369</v>
      </c>
      <c r="BC400" s="54"/>
      <c r="BD400" s="54" t="s">
        <v>2371</v>
      </c>
      <c r="BE400" s="54"/>
      <c r="BF400" s="54">
        <v>1</v>
      </c>
      <c r="BG400" s="54">
        <v>-6.9668999999999999</v>
      </c>
      <c r="BH400" s="54">
        <v>107.4242</v>
      </c>
      <c r="BI400" s="54"/>
      <c r="BJ400" s="54">
        <v>30</v>
      </c>
      <c r="BK400" s="54">
        <v>134</v>
      </c>
      <c r="BL400" s="54">
        <v>55</v>
      </c>
      <c r="BM400" s="54">
        <v>1</v>
      </c>
      <c r="BN400" s="54">
        <v>1</v>
      </c>
    </row>
    <row r="401" spans="1:66" s="219" customFormat="1" hidden="1" x14ac:dyDescent="0.3">
      <c r="A401" s="54">
        <v>395</v>
      </c>
      <c r="B401" s="54" t="s">
        <v>1355</v>
      </c>
      <c r="C401" s="54" t="s">
        <v>1444</v>
      </c>
      <c r="D401" s="54" t="s">
        <v>53</v>
      </c>
      <c r="E401" s="54">
        <v>99012181</v>
      </c>
      <c r="F401" s="54" t="s">
        <v>2373</v>
      </c>
      <c r="G401" s="108">
        <v>40035</v>
      </c>
      <c r="H401" s="54">
        <v>3217125008090000</v>
      </c>
      <c r="I401" s="54" t="s">
        <v>2353</v>
      </c>
      <c r="J401" s="54" t="s">
        <v>2619</v>
      </c>
      <c r="K401" s="54">
        <v>1</v>
      </c>
      <c r="L401" s="54">
        <v>11</v>
      </c>
      <c r="M401" s="54"/>
      <c r="N401" s="54" t="s">
        <v>2513</v>
      </c>
      <c r="O401" s="54" t="s">
        <v>2356</v>
      </c>
      <c r="P401" s="54">
        <v>40764</v>
      </c>
      <c r="Q401" s="54" t="s">
        <v>2357</v>
      </c>
      <c r="R401" s="54" t="s">
        <v>2358</v>
      </c>
      <c r="S401" s="54"/>
      <c r="T401" s="54">
        <v>85759421019</v>
      </c>
      <c r="U401" s="54"/>
      <c r="V401" s="54"/>
      <c r="W401" s="54" t="s">
        <v>2359</v>
      </c>
      <c r="X401" s="54"/>
      <c r="Y401" s="54" t="s">
        <v>3294</v>
      </c>
      <c r="Z401" s="54">
        <v>1975</v>
      </c>
      <c r="AA401" s="54" t="s">
        <v>2361</v>
      </c>
      <c r="AB401" s="54" t="s">
        <v>2362</v>
      </c>
      <c r="AC401" s="54" t="s">
        <v>2375</v>
      </c>
      <c r="AD401" s="54">
        <v>3217120304750000</v>
      </c>
      <c r="AE401" s="54" t="s">
        <v>3295</v>
      </c>
      <c r="AF401" s="54">
        <v>1977</v>
      </c>
      <c r="AG401" s="54" t="s">
        <v>2402</v>
      </c>
      <c r="AH401" s="54" t="s">
        <v>2365</v>
      </c>
      <c r="AI401" s="54" t="s">
        <v>2366</v>
      </c>
      <c r="AJ401" s="54">
        <v>3217124706770010</v>
      </c>
      <c r="AK401" s="54"/>
      <c r="AL401" s="54"/>
      <c r="AM401" s="54"/>
      <c r="AN401" s="54"/>
      <c r="AO401" s="54"/>
      <c r="AP401" s="54"/>
      <c r="AQ401" s="54" t="s">
        <v>5147</v>
      </c>
      <c r="AR401" s="54"/>
      <c r="AS401" s="54"/>
      <c r="AT401" s="54" t="s">
        <v>2359</v>
      </c>
      <c r="AU401" s="54"/>
      <c r="AV401" s="54">
        <v>0</v>
      </c>
      <c r="AW401" s="54"/>
      <c r="AX401" s="54"/>
      <c r="AY401" s="54"/>
      <c r="AZ401" s="54"/>
      <c r="BA401" s="54"/>
      <c r="BB401" s="54" t="s">
        <v>2369</v>
      </c>
      <c r="BC401" s="54" t="s">
        <v>2370</v>
      </c>
      <c r="BD401" s="54" t="s">
        <v>2371</v>
      </c>
      <c r="BE401" s="54"/>
      <c r="BF401" s="54">
        <v>3</v>
      </c>
      <c r="BG401" s="54">
        <v>-7.0068000000000001</v>
      </c>
      <c r="BH401" s="54">
        <v>107.2349</v>
      </c>
      <c r="BI401" s="54">
        <v>3217121306120100</v>
      </c>
      <c r="BJ401" s="54">
        <v>12</v>
      </c>
      <c r="BK401" s="54">
        <v>123</v>
      </c>
      <c r="BL401" s="54">
        <v>43</v>
      </c>
      <c r="BM401" s="54">
        <v>2</v>
      </c>
      <c r="BN401" s="54">
        <v>1</v>
      </c>
    </row>
    <row r="402" spans="1:66" s="219" customFormat="1" hidden="1" x14ac:dyDescent="0.3">
      <c r="A402" s="54">
        <v>396</v>
      </c>
      <c r="B402" s="54" t="s">
        <v>1828</v>
      </c>
      <c r="C402" s="54" t="s">
        <v>2287</v>
      </c>
      <c r="D402" s="54" t="s">
        <v>53</v>
      </c>
      <c r="E402" s="54">
        <v>83140505</v>
      </c>
      <c r="F402" s="54" t="s">
        <v>2352</v>
      </c>
      <c r="G402" s="108">
        <v>39495</v>
      </c>
      <c r="H402" s="54"/>
      <c r="I402" s="54" t="s">
        <v>2353</v>
      </c>
      <c r="J402" s="54" t="s">
        <v>3393</v>
      </c>
      <c r="K402" s="54">
        <v>3</v>
      </c>
      <c r="L402" s="54">
        <v>10</v>
      </c>
      <c r="M402" s="54"/>
      <c r="N402" s="54" t="s">
        <v>3394</v>
      </c>
      <c r="O402" s="54" t="s">
        <v>2426</v>
      </c>
      <c r="P402" s="54">
        <v>40562</v>
      </c>
      <c r="Q402" s="54" t="s">
        <v>2607</v>
      </c>
      <c r="R402" s="54" t="s">
        <v>2358</v>
      </c>
      <c r="S402" s="54"/>
      <c r="T402" s="54">
        <v>88222388216</v>
      </c>
      <c r="U402" s="54"/>
      <c r="V402" s="54"/>
      <c r="W402" s="54" t="s">
        <v>2359</v>
      </c>
      <c r="X402" s="54"/>
      <c r="Y402" s="54" t="s">
        <v>2774</v>
      </c>
      <c r="Z402" s="54">
        <v>1967</v>
      </c>
      <c r="AA402" s="54" t="s">
        <v>2361</v>
      </c>
      <c r="AB402" s="54" t="s">
        <v>2362</v>
      </c>
      <c r="AC402" s="54" t="s">
        <v>2363</v>
      </c>
      <c r="AD402" s="54"/>
      <c r="AE402" s="54" t="s">
        <v>3395</v>
      </c>
      <c r="AF402" s="54">
        <v>1970</v>
      </c>
      <c r="AG402" s="54" t="s">
        <v>2402</v>
      </c>
      <c r="AH402" s="54" t="s">
        <v>2474</v>
      </c>
      <c r="AI402" s="54" t="s">
        <v>2403</v>
      </c>
      <c r="AJ402" s="54"/>
      <c r="AK402" s="54"/>
      <c r="AL402" s="54"/>
      <c r="AM402" s="54" t="s">
        <v>2367</v>
      </c>
      <c r="AN402" s="54"/>
      <c r="AO402" s="54"/>
      <c r="AP402" s="54"/>
      <c r="AQ402" s="54" t="s">
        <v>5147</v>
      </c>
      <c r="AR402" s="54"/>
      <c r="AS402" s="54"/>
      <c r="AT402" s="54" t="s">
        <v>2359</v>
      </c>
      <c r="AU402" s="54"/>
      <c r="AV402" s="54">
        <v>0</v>
      </c>
      <c r="AW402" s="54"/>
      <c r="AX402" s="54"/>
      <c r="AY402" s="54"/>
      <c r="AZ402" s="54"/>
      <c r="BA402" s="54"/>
      <c r="BB402" s="54" t="s">
        <v>2359</v>
      </c>
      <c r="BC402" s="54"/>
      <c r="BD402" s="54" t="s">
        <v>2371</v>
      </c>
      <c r="BE402" s="54"/>
      <c r="BF402" s="54">
        <v>2</v>
      </c>
      <c r="BG402" s="54">
        <v>-6.9531999999999998</v>
      </c>
      <c r="BH402" s="54">
        <v>107.46469999999999</v>
      </c>
      <c r="BI402" s="54"/>
      <c r="BJ402" s="54">
        <v>42</v>
      </c>
      <c r="BK402" s="54">
        <v>138</v>
      </c>
      <c r="BL402" s="54">
        <v>57</v>
      </c>
      <c r="BM402" s="54">
        <v>2</v>
      </c>
      <c r="BN402" s="54">
        <v>1</v>
      </c>
    </row>
    <row r="403" spans="1:66" s="219" customFormat="1" hidden="1" x14ac:dyDescent="0.3">
      <c r="A403" s="54">
        <v>397</v>
      </c>
      <c r="B403" s="54" t="s">
        <v>1369</v>
      </c>
      <c r="C403" s="54" t="s">
        <v>1506</v>
      </c>
      <c r="D403" s="54" t="s">
        <v>52</v>
      </c>
      <c r="E403" s="54">
        <v>3093664077</v>
      </c>
      <c r="F403" s="54" t="s">
        <v>2446</v>
      </c>
      <c r="G403" s="108">
        <v>40099</v>
      </c>
      <c r="H403" s="54">
        <v>3217125310090000</v>
      </c>
      <c r="I403" s="54" t="s">
        <v>2353</v>
      </c>
      <c r="J403" s="54" t="s">
        <v>3533</v>
      </c>
      <c r="K403" s="54">
        <v>4</v>
      </c>
      <c r="L403" s="54">
        <v>2</v>
      </c>
      <c r="M403" s="54"/>
      <c r="N403" s="54" t="s">
        <v>2907</v>
      </c>
      <c r="O403" s="54" t="s">
        <v>2356</v>
      </c>
      <c r="P403" s="54">
        <v>40762</v>
      </c>
      <c r="Q403" s="54" t="s">
        <v>2357</v>
      </c>
      <c r="R403" s="54" t="s">
        <v>2374</v>
      </c>
      <c r="S403" s="54"/>
      <c r="T403" s="54"/>
      <c r="U403" s="54"/>
      <c r="V403" s="54"/>
      <c r="W403" s="54" t="s">
        <v>2359</v>
      </c>
      <c r="X403" s="54"/>
      <c r="Y403" s="54" t="s">
        <v>4912</v>
      </c>
      <c r="Z403" s="54">
        <v>1967</v>
      </c>
      <c r="AA403" s="54" t="s">
        <v>2390</v>
      </c>
      <c r="AB403" s="54" t="s">
        <v>2493</v>
      </c>
      <c r="AC403" s="54" t="s">
        <v>2363</v>
      </c>
      <c r="AD403" s="54">
        <v>3217120605670000</v>
      </c>
      <c r="AE403" s="54" t="s">
        <v>3534</v>
      </c>
      <c r="AF403" s="54">
        <v>1971</v>
      </c>
      <c r="AG403" s="54" t="s">
        <v>2361</v>
      </c>
      <c r="AH403" s="54" t="s">
        <v>2365</v>
      </c>
      <c r="AI403" s="54" t="s">
        <v>2366</v>
      </c>
      <c r="AJ403" s="54">
        <v>3217124108710010</v>
      </c>
      <c r="AK403" s="54"/>
      <c r="AL403" s="54"/>
      <c r="AM403" s="54"/>
      <c r="AN403" s="54"/>
      <c r="AO403" s="54"/>
      <c r="AP403" s="54"/>
      <c r="AQ403" s="54" t="s">
        <v>5147</v>
      </c>
      <c r="AR403" s="54" t="s">
        <v>4913</v>
      </c>
      <c r="AS403" s="54" t="s">
        <v>4914</v>
      </c>
      <c r="AT403" s="54" t="s">
        <v>2359</v>
      </c>
      <c r="AU403" s="54"/>
      <c r="AV403" s="54">
        <v>0</v>
      </c>
      <c r="AW403" s="54"/>
      <c r="AX403" s="54"/>
      <c r="AY403" s="54"/>
      <c r="AZ403" s="54"/>
      <c r="BA403" s="54"/>
      <c r="BB403" s="54" t="s">
        <v>2369</v>
      </c>
      <c r="BC403" s="54" t="s">
        <v>2370</v>
      </c>
      <c r="BD403" s="54" t="s">
        <v>2371</v>
      </c>
      <c r="BE403" s="54" t="s">
        <v>4915</v>
      </c>
      <c r="BF403" s="54">
        <v>3</v>
      </c>
      <c r="BG403" s="54">
        <v>-6.9625000000000004</v>
      </c>
      <c r="BH403" s="54">
        <v>107.4346</v>
      </c>
      <c r="BI403" s="54">
        <v>3217122808120010</v>
      </c>
      <c r="BJ403" s="54">
        <v>39</v>
      </c>
      <c r="BK403" s="54">
        <v>142</v>
      </c>
      <c r="BL403" s="54">
        <v>56</v>
      </c>
      <c r="BM403" s="54">
        <v>2</v>
      </c>
      <c r="BN403" s="54">
        <v>1</v>
      </c>
    </row>
    <row r="404" spans="1:66" s="219" customFormat="1" hidden="1" x14ac:dyDescent="0.3">
      <c r="A404" s="54">
        <v>398</v>
      </c>
      <c r="B404" s="54" t="s">
        <v>2751</v>
      </c>
      <c r="C404" s="54" t="s">
        <v>2183</v>
      </c>
      <c r="D404" s="54" t="s">
        <v>53</v>
      </c>
      <c r="E404" s="54">
        <v>94607795</v>
      </c>
      <c r="F404" s="54" t="s">
        <v>2373</v>
      </c>
      <c r="G404" s="108">
        <v>40022</v>
      </c>
      <c r="H404" s="54">
        <v>3217116807090000</v>
      </c>
      <c r="I404" s="54" t="s">
        <v>2353</v>
      </c>
      <c r="J404" s="54" t="s">
        <v>2593</v>
      </c>
      <c r="K404" s="54">
        <v>2</v>
      </c>
      <c r="L404" s="54">
        <v>13</v>
      </c>
      <c r="M404" s="54" t="s">
        <v>2593</v>
      </c>
      <c r="N404" s="54" t="s">
        <v>2425</v>
      </c>
      <c r="O404" s="54" t="s">
        <v>2426</v>
      </c>
      <c r="P404" s="54">
        <v>40562</v>
      </c>
      <c r="Q404" s="54" t="s">
        <v>2357</v>
      </c>
      <c r="R404" s="54" t="s">
        <v>2358</v>
      </c>
      <c r="S404" s="54"/>
      <c r="T404" s="54">
        <v>83156673370</v>
      </c>
      <c r="U404" s="54"/>
      <c r="V404" s="54"/>
      <c r="W404" s="54" t="s">
        <v>2359</v>
      </c>
      <c r="X404" s="54"/>
      <c r="Y404" s="54" t="s">
        <v>2752</v>
      </c>
      <c r="Z404" s="54">
        <v>1979</v>
      </c>
      <c r="AA404" s="54" t="s">
        <v>2361</v>
      </c>
      <c r="AB404" s="54" t="s">
        <v>2362</v>
      </c>
      <c r="AC404" s="54" t="s">
        <v>2403</v>
      </c>
      <c r="AD404" s="54"/>
      <c r="AE404" s="54" t="s">
        <v>2753</v>
      </c>
      <c r="AF404" s="54">
        <v>1984</v>
      </c>
      <c r="AG404" s="54" t="s">
        <v>2361</v>
      </c>
      <c r="AH404" s="54" t="s">
        <v>2365</v>
      </c>
      <c r="AI404" s="54" t="s">
        <v>2366</v>
      </c>
      <c r="AJ404" s="54"/>
      <c r="AK404" s="54"/>
      <c r="AL404" s="54"/>
      <c r="AM404" s="54" t="s">
        <v>2367</v>
      </c>
      <c r="AN404" s="54"/>
      <c r="AO404" s="54"/>
      <c r="AP404" s="54"/>
      <c r="AQ404" s="54" t="s">
        <v>8180</v>
      </c>
      <c r="AR404" s="54"/>
      <c r="AS404" s="54"/>
      <c r="AT404" s="54" t="s">
        <v>2369</v>
      </c>
      <c r="AU404" s="54" t="s">
        <v>2754</v>
      </c>
      <c r="AV404" s="54">
        <v>0</v>
      </c>
      <c r="AW404" s="54"/>
      <c r="AX404" s="54" t="s">
        <v>2755</v>
      </c>
      <c r="AY404" s="54" t="s">
        <v>2460</v>
      </c>
      <c r="AZ404" s="54">
        <v>367101002584505</v>
      </c>
      <c r="BA404" s="54" t="s">
        <v>2756</v>
      </c>
      <c r="BB404" s="54" t="s">
        <v>2369</v>
      </c>
      <c r="BC404" s="54"/>
      <c r="BD404" s="54" t="s">
        <v>2371</v>
      </c>
      <c r="BE404" s="54" t="s">
        <v>2430</v>
      </c>
      <c r="BF404" s="54">
        <v>2</v>
      </c>
      <c r="BG404" s="54">
        <v>-6.9514541999999997</v>
      </c>
      <c r="BH404" s="54">
        <v>107.4179645</v>
      </c>
      <c r="BI404" s="54"/>
      <c r="BJ404" s="54">
        <v>41</v>
      </c>
      <c r="BK404" s="54">
        <v>138</v>
      </c>
      <c r="BL404" s="54">
        <v>54</v>
      </c>
      <c r="BM404" s="54">
        <v>1</v>
      </c>
      <c r="BN404" s="54">
        <v>2</v>
      </c>
    </row>
    <row r="405" spans="1:66" hidden="1" x14ac:dyDescent="0.3">
      <c r="A405" s="3">
        <v>399</v>
      </c>
      <c r="B405" s="3" t="s">
        <v>4428</v>
      </c>
      <c r="C405" s="3" t="s">
        <v>2276</v>
      </c>
      <c r="D405" s="3" t="s">
        <v>52</v>
      </c>
      <c r="E405" s="3">
        <v>3104726617</v>
      </c>
      <c r="F405" s="3" t="s">
        <v>2373</v>
      </c>
      <c r="G405" s="157">
        <v>40338</v>
      </c>
      <c r="H405" s="3">
        <v>3217110906100000</v>
      </c>
      <c r="I405" s="3" t="s">
        <v>2353</v>
      </c>
      <c r="J405" s="3" t="s">
        <v>4916</v>
      </c>
      <c r="K405" s="3">
        <v>3</v>
      </c>
      <c r="L405" s="3">
        <v>13</v>
      </c>
      <c r="M405" s="3" t="s">
        <v>4917</v>
      </c>
      <c r="N405" s="3" t="s">
        <v>3581</v>
      </c>
      <c r="O405" s="3" t="s">
        <v>2426</v>
      </c>
      <c r="P405" s="3">
        <v>40562</v>
      </c>
      <c r="Q405" s="3" t="s">
        <v>2357</v>
      </c>
      <c r="R405" s="3" t="s">
        <v>2358</v>
      </c>
      <c r="S405" s="3"/>
      <c r="T405" s="3"/>
      <c r="U405" s="3"/>
      <c r="V405" s="3"/>
      <c r="W405" s="3" t="s">
        <v>2359</v>
      </c>
      <c r="X405" s="3"/>
      <c r="Y405" s="3" t="s">
        <v>4429</v>
      </c>
      <c r="Z405" s="3">
        <v>1972</v>
      </c>
      <c r="AA405" s="3" t="s">
        <v>2390</v>
      </c>
      <c r="AB405" s="3" t="s">
        <v>2362</v>
      </c>
      <c r="AC405" s="3" t="s">
        <v>2363</v>
      </c>
      <c r="AD405" s="3">
        <v>3217110607720020</v>
      </c>
      <c r="AE405" s="3" t="s">
        <v>4430</v>
      </c>
      <c r="AF405" s="3">
        <v>1981</v>
      </c>
      <c r="AG405" s="3" t="s">
        <v>2402</v>
      </c>
      <c r="AH405" s="3" t="s">
        <v>2365</v>
      </c>
      <c r="AI405" s="3" t="s">
        <v>2366</v>
      </c>
      <c r="AJ405" s="3">
        <v>3217115912810000</v>
      </c>
      <c r="AK405" s="3"/>
      <c r="AL405" s="3"/>
      <c r="AM405" s="3" t="s">
        <v>4751</v>
      </c>
      <c r="AN405" s="3"/>
      <c r="AO405" s="3"/>
      <c r="AP405" s="3"/>
      <c r="AQ405" s="3" t="s">
        <v>5151</v>
      </c>
      <c r="AR405" s="3"/>
      <c r="AS405" s="3"/>
      <c r="AT405" s="3" t="s">
        <v>2359</v>
      </c>
      <c r="AU405" s="3"/>
      <c r="AV405" s="3">
        <v>0</v>
      </c>
      <c r="AW405" s="3"/>
      <c r="AX405" s="3" t="s">
        <v>4918</v>
      </c>
      <c r="AY405" s="3"/>
      <c r="AZ405" s="3"/>
      <c r="BA405" s="3"/>
      <c r="BB405" s="3" t="s">
        <v>2369</v>
      </c>
      <c r="BC405" s="3" t="s">
        <v>2370</v>
      </c>
      <c r="BD405" s="3" t="s">
        <v>2371</v>
      </c>
      <c r="BE405" s="3"/>
      <c r="BF405" s="3">
        <v>1</v>
      </c>
      <c r="BG405" s="3">
        <v>-6.9625000000000004</v>
      </c>
      <c r="BH405" s="3">
        <v>107.4346</v>
      </c>
      <c r="BI405" s="3">
        <v>3217112707090000</v>
      </c>
      <c r="BJ405" s="3">
        <v>47</v>
      </c>
      <c r="BK405" s="3">
        <v>138</v>
      </c>
      <c r="BL405" s="3">
        <v>55</v>
      </c>
      <c r="BM405" s="3">
        <v>1</v>
      </c>
      <c r="BN405" s="3">
        <v>1</v>
      </c>
    </row>
    <row r="406" spans="1:66" s="219" customFormat="1" hidden="1" x14ac:dyDescent="0.3">
      <c r="A406" s="54">
        <v>400</v>
      </c>
      <c r="B406" s="54" t="s">
        <v>1829</v>
      </c>
      <c r="C406" s="54" t="s">
        <v>1475</v>
      </c>
      <c r="D406" s="54" t="s">
        <v>52</v>
      </c>
      <c r="E406" s="54">
        <v>3092097661</v>
      </c>
      <c r="F406" s="54" t="s">
        <v>2373</v>
      </c>
      <c r="G406" s="108">
        <v>40021</v>
      </c>
      <c r="H406" s="54">
        <v>3217112707090000</v>
      </c>
      <c r="I406" s="54" t="s">
        <v>2353</v>
      </c>
      <c r="J406" s="54" t="s">
        <v>3396</v>
      </c>
      <c r="K406" s="54">
        <v>2</v>
      </c>
      <c r="L406" s="54">
        <v>5</v>
      </c>
      <c r="M406" s="54"/>
      <c r="N406" s="54" t="s">
        <v>2425</v>
      </c>
      <c r="O406" s="54" t="s">
        <v>2426</v>
      </c>
      <c r="P406" s="54">
        <v>40561</v>
      </c>
      <c r="Q406" s="54" t="s">
        <v>2357</v>
      </c>
      <c r="R406" s="54" t="s">
        <v>2374</v>
      </c>
      <c r="S406" s="54"/>
      <c r="T406" s="54"/>
      <c r="U406" s="54"/>
      <c r="V406" s="54"/>
      <c r="W406" s="54" t="s">
        <v>2359</v>
      </c>
      <c r="X406" s="54"/>
      <c r="Y406" s="54" t="s">
        <v>3397</v>
      </c>
      <c r="Z406" s="54">
        <v>1984</v>
      </c>
      <c r="AA406" s="54" t="s">
        <v>2361</v>
      </c>
      <c r="AB406" s="54" t="s">
        <v>2362</v>
      </c>
      <c r="AC406" s="54" t="s">
        <v>2363</v>
      </c>
      <c r="AD406" s="54">
        <v>3217110510840010</v>
      </c>
      <c r="AE406" s="54" t="s">
        <v>3398</v>
      </c>
      <c r="AF406" s="54">
        <v>1989</v>
      </c>
      <c r="AG406" s="54" t="s">
        <v>2402</v>
      </c>
      <c r="AH406" s="54" t="s">
        <v>2365</v>
      </c>
      <c r="AI406" s="54" t="s">
        <v>2366</v>
      </c>
      <c r="AJ406" s="54">
        <v>3217115201890000</v>
      </c>
      <c r="AK406" s="54"/>
      <c r="AL406" s="54"/>
      <c r="AM406" s="54"/>
      <c r="AN406" s="54"/>
      <c r="AO406" s="54"/>
      <c r="AP406" s="54"/>
      <c r="AQ406" s="54" t="s">
        <v>5147</v>
      </c>
      <c r="AR406" s="54"/>
      <c r="AS406" s="54"/>
      <c r="AT406" s="54" t="s">
        <v>2359</v>
      </c>
      <c r="AU406" s="54"/>
      <c r="AV406" s="54">
        <v>0</v>
      </c>
      <c r="AW406" s="54"/>
      <c r="AX406" s="54" t="s">
        <v>3399</v>
      </c>
      <c r="AY406" s="54"/>
      <c r="AZ406" s="54"/>
      <c r="BA406" s="54"/>
      <c r="BB406" s="54" t="s">
        <v>2369</v>
      </c>
      <c r="BC406" s="54" t="s">
        <v>2370</v>
      </c>
      <c r="BD406" s="54" t="s">
        <v>2371</v>
      </c>
      <c r="BE406" s="54"/>
      <c r="BF406" s="54">
        <v>1</v>
      </c>
      <c r="BG406" s="54">
        <v>-6.9625000000000004</v>
      </c>
      <c r="BH406" s="54">
        <v>107.4346</v>
      </c>
      <c r="BI406" s="54">
        <v>3217112708080010</v>
      </c>
      <c r="BJ406" s="54">
        <v>39</v>
      </c>
      <c r="BK406" s="54">
        <v>143</v>
      </c>
      <c r="BL406" s="54">
        <v>57</v>
      </c>
      <c r="BM406" s="54">
        <v>2</v>
      </c>
      <c r="BN406" s="54">
        <v>1</v>
      </c>
    </row>
    <row r="407" spans="1:66" s="219" customFormat="1" hidden="1" x14ac:dyDescent="0.3">
      <c r="A407" s="54">
        <v>401</v>
      </c>
      <c r="B407" s="54" t="s">
        <v>1883</v>
      </c>
      <c r="C407" s="54" t="s">
        <v>1533</v>
      </c>
      <c r="D407" s="54" t="s">
        <v>53</v>
      </c>
      <c r="E407" s="54">
        <v>97309521</v>
      </c>
      <c r="F407" s="54" t="s">
        <v>2377</v>
      </c>
      <c r="G407" s="108">
        <v>39816</v>
      </c>
      <c r="H407" s="54">
        <v>3217124301090000</v>
      </c>
      <c r="I407" s="54" t="s">
        <v>2353</v>
      </c>
      <c r="J407" s="54" t="s">
        <v>3636</v>
      </c>
      <c r="K407" s="54">
        <v>1</v>
      </c>
      <c r="L407" s="54">
        <v>11</v>
      </c>
      <c r="M407" s="54"/>
      <c r="N407" s="54" t="s">
        <v>3637</v>
      </c>
      <c r="O407" s="54" t="s">
        <v>2356</v>
      </c>
      <c r="P407" s="54">
        <v>40564</v>
      </c>
      <c r="Q407" s="54" t="s">
        <v>2357</v>
      </c>
      <c r="R407" s="54" t="s">
        <v>2374</v>
      </c>
      <c r="S407" s="54"/>
      <c r="T407" s="54">
        <v>83101102314</v>
      </c>
      <c r="U407" s="54"/>
      <c r="V407" s="54"/>
      <c r="W407" s="54" t="s">
        <v>2359</v>
      </c>
      <c r="X407" s="54"/>
      <c r="Y407" s="54" t="s">
        <v>3638</v>
      </c>
      <c r="Z407" s="54">
        <v>1978</v>
      </c>
      <c r="AA407" s="54" t="s">
        <v>2361</v>
      </c>
      <c r="AB407" s="54" t="s">
        <v>2362</v>
      </c>
      <c r="AC407" s="54" t="s">
        <v>2363</v>
      </c>
      <c r="AD407" s="54">
        <v>3217121507780010</v>
      </c>
      <c r="AE407" s="54" t="s">
        <v>3639</v>
      </c>
      <c r="AF407" s="54">
        <v>1982</v>
      </c>
      <c r="AG407" s="54" t="s">
        <v>2361</v>
      </c>
      <c r="AH407" s="54" t="s">
        <v>2365</v>
      </c>
      <c r="AI407" s="54" t="s">
        <v>2366</v>
      </c>
      <c r="AJ407" s="54">
        <v>3217126209820010</v>
      </c>
      <c r="AK407" s="54"/>
      <c r="AL407" s="54"/>
      <c r="AM407" s="54"/>
      <c r="AN407" s="54"/>
      <c r="AO407" s="54"/>
      <c r="AP407" s="54"/>
      <c r="AQ407" s="54" t="s">
        <v>5147</v>
      </c>
      <c r="AR407" s="54"/>
      <c r="AS407" s="54"/>
      <c r="AT407" s="54" t="s">
        <v>2359</v>
      </c>
      <c r="AU407" s="54"/>
      <c r="AV407" s="54">
        <v>0</v>
      </c>
      <c r="AW407" s="54"/>
      <c r="AX407" s="54" t="s">
        <v>3640</v>
      </c>
      <c r="AY407" s="54"/>
      <c r="AZ407" s="54"/>
      <c r="BA407" s="54"/>
      <c r="BB407" s="54" t="s">
        <v>2369</v>
      </c>
      <c r="BC407" s="54" t="s">
        <v>2370</v>
      </c>
      <c r="BD407" s="54" t="s">
        <v>2371</v>
      </c>
      <c r="BE407" s="54"/>
      <c r="BF407" s="54">
        <v>1</v>
      </c>
      <c r="BG407" s="54">
        <v>-6.9668999999999999</v>
      </c>
      <c r="BH407" s="54">
        <v>107.4242</v>
      </c>
      <c r="BI407" s="54"/>
      <c r="BJ407" s="54">
        <v>26</v>
      </c>
      <c r="BK407" s="54">
        <v>125</v>
      </c>
      <c r="BL407" s="54">
        <v>55</v>
      </c>
      <c r="BM407" s="54">
        <v>1</v>
      </c>
      <c r="BN407" s="54">
        <v>0</v>
      </c>
    </row>
    <row r="408" spans="1:66" hidden="1" x14ac:dyDescent="0.3">
      <c r="A408" s="3">
        <v>402</v>
      </c>
      <c r="B408" s="3" t="s">
        <v>3887</v>
      </c>
      <c r="C408" s="3" t="s">
        <v>4345</v>
      </c>
      <c r="D408" s="3" t="s">
        <v>53</v>
      </c>
      <c r="E408" s="3">
        <v>3104446934</v>
      </c>
      <c r="F408" s="3" t="s">
        <v>2377</v>
      </c>
      <c r="G408" s="157">
        <v>40537</v>
      </c>
      <c r="H408" s="3">
        <v>3217126512100000</v>
      </c>
      <c r="I408" s="3" t="s">
        <v>2353</v>
      </c>
      <c r="J408" s="3" t="s">
        <v>4919</v>
      </c>
      <c r="K408" s="3">
        <v>2</v>
      </c>
      <c r="L408" s="3">
        <v>8</v>
      </c>
      <c r="M408" s="3"/>
      <c r="N408" s="3" t="s">
        <v>4475</v>
      </c>
      <c r="O408" s="3" t="s">
        <v>2356</v>
      </c>
      <c r="P408" s="3">
        <v>40764</v>
      </c>
      <c r="Q408" s="3" t="s">
        <v>2357</v>
      </c>
      <c r="R408" s="3" t="s">
        <v>2358</v>
      </c>
      <c r="S408" s="3"/>
      <c r="T408" s="3"/>
      <c r="U408" s="3"/>
      <c r="V408" s="3"/>
      <c r="W408" s="3" t="s">
        <v>2359</v>
      </c>
      <c r="X408" s="3"/>
      <c r="Y408" s="3" t="s">
        <v>4920</v>
      </c>
      <c r="Z408" s="3">
        <v>1974</v>
      </c>
      <c r="AA408" s="3" t="s">
        <v>2361</v>
      </c>
      <c r="AB408" s="3" t="s">
        <v>2362</v>
      </c>
      <c r="AC408" s="3" t="s">
        <v>2403</v>
      </c>
      <c r="AD408" s="3">
        <v>3217121008740010</v>
      </c>
      <c r="AE408" s="3" t="s">
        <v>4921</v>
      </c>
      <c r="AF408" s="3">
        <v>1976</v>
      </c>
      <c r="AG408" s="3" t="s">
        <v>2361</v>
      </c>
      <c r="AH408" s="3" t="s">
        <v>2365</v>
      </c>
      <c r="AI408" s="3" t="s">
        <v>2366</v>
      </c>
      <c r="AJ408" s="3">
        <v>3217124501760000</v>
      </c>
      <c r="AK408" s="3"/>
      <c r="AL408" s="3"/>
      <c r="AM408" s="3"/>
      <c r="AN408" s="3"/>
      <c r="AO408" s="3"/>
      <c r="AP408" s="3"/>
      <c r="AQ408" s="3" t="s">
        <v>5152</v>
      </c>
      <c r="AR408" s="3" t="s">
        <v>4016</v>
      </c>
      <c r="AS408" s="3" t="s">
        <v>4922</v>
      </c>
      <c r="AT408" s="3" t="s">
        <v>2359</v>
      </c>
      <c r="AU408" s="3"/>
      <c r="AV408" s="3">
        <v>1</v>
      </c>
      <c r="AW408" s="3"/>
      <c r="AX408" s="3" t="s">
        <v>4923</v>
      </c>
      <c r="AY408" s="3"/>
      <c r="AZ408" s="3"/>
      <c r="BA408" s="3"/>
      <c r="BB408" s="3" t="s">
        <v>2369</v>
      </c>
      <c r="BC408" s="3" t="s">
        <v>2370</v>
      </c>
      <c r="BD408" s="3" t="s">
        <v>2371</v>
      </c>
      <c r="BE408" s="3" t="s">
        <v>4924</v>
      </c>
      <c r="BF408" s="3">
        <v>2</v>
      </c>
      <c r="BG408" s="3">
        <v>-6.9625000000000004</v>
      </c>
      <c r="BH408" s="3">
        <v>107.4346</v>
      </c>
      <c r="BI408" s="3">
        <v>3217120509120000</v>
      </c>
      <c r="BJ408" s="3">
        <v>41</v>
      </c>
      <c r="BK408" s="3">
        <v>139</v>
      </c>
      <c r="BL408" s="3">
        <v>50</v>
      </c>
      <c r="BM408" s="3">
        <v>2</v>
      </c>
      <c r="BN408" s="3">
        <v>2</v>
      </c>
    </row>
    <row r="409" spans="1:66" s="219" customFormat="1" hidden="1" x14ac:dyDescent="0.3">
      <c r="A409" s="54">
        <v>403</v>
      </c>
      <c r="B409" s="54" t="s">
        <v>2490</v>
      </c>
      <c r="C409" s="54" t="s">
        <v>2114</v>
      </c>
      <c r="D409" s="54" t="s">
        <v>53</v>
      </c>
      <c r="E409" s="54">
        <v>103607967</v>
      </c>
      <c r="F409" s="54" t="s">
        <v>2377</v>
      </c>
      <c r="G409" s="108">
        <v>40180</v>
      </c>
      <c r="H409" s="54">
        <v>3217126811090000</v>
      </c>
      <c r="I409" s="54" t="s">
        <v>2353</v>
      </c>
      <c r="J409" s="54" t="s">
        <v>2491</v>
      </c>
      <c r="K409" s="54">
        <v>1</v>
      </c>
      <c r="L409" s="54">
        <v>5</v>
      </c>
      <c r="M409" s="54"/>
      <c r="N409" s="54" t="s">
        <v>2355</v>
      </c>
      <c r="O409" s="54" t="s">
        <v>2356</v>
      </c>
      <c r="P409" s="54">
        <v>40564</v>
      </c>
      <c r="Q409" s="54" t="s">
        <v>2357</v>
      </c>
      <c r="R409" s="54" t="s">
        <v>2358</v>
      </c>
      <c r="S409" s="54"/>
      <c r="T409" s="54">
        <v>83821106365</v>
      </c>
      <c r="U409" s="54"/>
      <c r="V409" s="54"/>
      <c r="W409" s="54" t="s">
        <v>2359</v>
      </c>
      <c r="X409" s="54"/>
      <c r="Y409" s="54" t="s">
        <v>2492</v>
      </c>
      <c r="Z409" s="54">
        <v>1977</v>
      </c>
      <c r="AA409" s="54" t="s">
        <v>2361</v>
      </c>
      <c r="AB409" s="54" t="s">
        <v>2493</v>
      </c>
      <c r="AC409" s="54" t="s">
        <v>2363</v>
      </c>
      <c r="AD409" s="54">
        <v>3217120101770050</v>
      </c>
      <c r="AE409" s="54" t="s">
        <v>2494</v>
      </c>
      <c r="AF409" s="54">
        <v>1980</v>
      </c>
      <c r="AG409" s="54" t="s">
        <v>2361</v>
      </c>
      <c r="AH409" s="54" t="s">
        <v>2365</v>
      </c>
      <c r="AI409" s="54" t="s">
        <v>2366</v>
      </c>
      <c r="AJ409" s="54">
        <v>3217124412800000</v>
      </c>
      <c r="AK409" s="54"/>
      <c r="AL409" s="54"/>
      <c r="AM409" s="54" t="s">
        <v>2367</v>
      </c>
      <c r="AN409" s="54"/>
      <c r="AO409" s="54"/>
      <c r="AP409" s="54"/>
      <c r="AQ409" s="54" t="s">
        <v>8185</v>
      </c>
      <c r="AR409" s="54"/>
      <c r="AS409" s="54"/>
      <c r="AT409" s="54" t="s">
        <v>2359</v>
      </c>
      <c r="AU409" s="54"/>
      <c r="AV409" s="54">
        <v>0</v>
      </c>
      <c r="AW409" s="54"/>
      <c r="AX409" s="54" t="s">
        <v>2495</v>
      </c>
      <c r="AY409" s="54"/>
      <c r="AZ409" s="54"/>
      <c r="BA409" s="54"/>
      <c r="BB409" s="54" t="s">
        <v>2369</v>
      </c>
      <c r="BC409" s="54" t="s">
        <v>2370</v>
      </c>
      <c r="BD409" s="54" t="s">
        <v>2371</v>
      </c>
      <c r="BE409" s="54" t="s">
        <v>2430</v>
      </c>
      <c r="BF409" s="54">
        <v>1</v>
      </c>
      <c r="BG409" s="54">
        <v>-6.9676999999999998</v>
      </c>
      <c r="BH409" s="54">
        <v>107.4117</v>
      </c>
      <c r="BI409" s="54"/>
      <c r="BJ409" s="54">
        <v>52</v>
      </c>
      <c r="BK409" s="54">
        <v>144</v>
      </c>
      <c r="BL409" s="54">
        <v>0</v>
      </c>
      <c r="BM409" s="54">
        <v>0</v>
      </c>
      <c r="BN409" s="54">
        <v>0</v>
      </c>
    </row>
    <row r="410" spans="1:66" hidden="1" x14ac:dyDescent="0.3">
      <c r="A410" s="3">
        <v>404</v>
      </c>
      <c r="B410" s="3" t="s">
        <v>4925</v>
      </c>
      <c r="C410" s="3" t="s">
        <v>4284</v>
      </c>
      <c r="D410" s="3" t="s">
        <v>53</v>
      </c>
      <c r="E410" s="3">
        <v>112350490</v>
      </c>
      <c r="F410" s="3" t="s">
        <v>2373</v>
      </c>
      <c r="G410" s="157">
        <v>40740</v>
      </c>
      <c r="H410" s="3">
        <v>3217115607111000</v>
      </c>
      <c r="I410" s="3" t="s">
        <v>2353</v>
      </c>
      <c r="J410" s="3" t="s">
        <v>2424</v>
      </c>
      <c r="K410" s="3">
        <v>2</v>
      </c>
      <c r="L410" s="3">
        <v>8</v>
      </c>
      <c r="M410" s="3"/>
      <c r="N410" s="3" t="s">
        <v>2425</v>
      </c>
      <c r="O410" s="3" t="s">
        <v>2426</v>
      </c>
      <c r="P410" s="3">
        <v>40562</v>
      </c>
      <c r="Q410" s="3" t="s">
        <v>2357</v>
      </c>
      <c r="R410" s="3" t="s">
        <v>2358</v>
      </c>
      <c r="S410" s="3"/>
      <c r="T410" s="3">
        <v>83829563570</v>
      </c>
      <c r="U410" s="3"/>
      <c r="V410" s="3"/>
      <c r="W410" s="3" t="s">
        <v>2359</v>
      </c>
      <c r="X410" s="3"/>
      <c r="Y410" s="3" t="s">
        <v>4926</v>
      </c>
      <c r="Z410" s="3">
        <v>1985</v>
      </c>
      <c r="AA410" s="3" t="s">
        <v>2390</v>
      </c>
      <c r="AB410" s="3" t="s">
        <v>2362</v>
      </c>
      <c r="AC410" s="3" t="s">
        <v>2403</v>
      </c>
      <c r="AD410" s="3"/>
      <c r="AE410" s="3" t="s">
        <v>4927</v>
      </c>
      <c r="AF410" s="3">
        <v>1990</v>
      </c>
      <c r="AG410" s="3" t="s">
        <v>2402</v>
      </c>
      <c r="AH410" s="3" t="s">
        <v>2365</v>
      </c>
      <c r="AI410" s="3" t="s">
        <v>2366</v>
      </c>
      <c r="AJ410" s="3"/>
      <c r="AK410" s="3"/>
      <c r="AL410" s="3"/>
      <c r="AM410" s="3" t="s">
        <v>2367</v>
      </c>
      <c r="AN410" s="3"/>
      <c r="AO410" s="3"/>
      <c r="AP410" s="3"/>
      <c r="AQ410" s="3" t="s">
        <v>5149</v>
      </c>
      <c r="AR410" s="3"/>
      <c r="AS410" s="3"/>
      <c r="AT410" s="3" t="s">
        <v>2359</v>
      </c>
      <c r="AU410" s="3"/>
      <c r="AV410" s="3">
        <v>0</v>
      </c>
      <c r="AW410" s="3"/>
      <c r="AX410" s="3" t="s">
        <v>4109</v>
      </c>
      <c r="AY410" s="3"/>
      <c r="AZ410" s="3"/>
      <c r="BA410" s="3"/>
      <c r="BB410" s="3" t="s">
        <v>2369</v>
      </c>
      <c r="BC410" s="3" t="s">
        <v>2370</v>
      </c>
      <c r="BD410" s="3" t="s">
        <v>2371</v>
      </c>
      <c r="BE410" s="3" t="s">
        <v>2430</v>
      </c>
      <c r="BF410" s="3">
        <v>1</v>
      </c>
      <c r="BG410" s="3">
        <v>-6.9514541999999997</v>
      </c>
      <c r="BH410" s="3">
        <v>107.4179645</v>
      </c>
      <c r="BI410" s="3"/>
      <c r="BJ410" s="3">
        <v>43</v>
      </c>
      <c r="BK410" s="3">
        <v>145</v>
      </c>
      <c r="BL410" s="3">
        <v>55</v>
      </c>
      <c r="BM410" s="3">
        <v>1</v>
      </c>
      <c r="BN410" s="3">
        <v>2</v>
      </c>
    </row>
    <row r="411" spans="1:66" s="219" customFormat="1" hidden="1" x14ac:dyDescent="0.3">
      <c r="A411" s="54">
        <v>405</v>
      </c>
      <c r="B411" s="54" t="s">
        <v>1716</v>
      </c>
      <c r="C411" s="54" t="s">
        <v>2216</v>
      </c>
      <c r="D411" s="54" t="s">
        <v>53</v>
      </c>
      <c r="E411" s="54">
        <v>3101515333</v>
      </c>
      <c r="F411" s="54" t="s">
        <v>2446</v>
      </c>
      <c r="G411" s="108">
        <v>40376</v>
      </c>
      <c r="H411" s="54">
        <v>3217115707100000</v>
      </c>
      <c r="I411" s="54" t="s">
        <v>2353</v>
      </c>
      <c r="J411" s="54" t="s">
        <v>2616</v>
      </c>
      <c r="K411" s="54">
        <v>1</v>
      </c>
      <c r="L411" s="54">
        <v>10</v>
      </c>
      <c r="M411" s="54"/>
      <c r="N411" s="54" t="s">
        <v>2617</v>
      </c>
      <c r="O411" s="54" t="s">
        <v>2426</v>
      </c>
      <c r="P411" s="54">
        <v>40562</v>
      </c>
      <c r="Q411" s="54" t="s">
        <v>2357</v>
      </c>
      <c r="R411" s="54" t="s">
        <v>2358</v>
      </c>
      <c r="S411" s="54"/>
      <c r="T411" s="54"/>
      <c r="U411" s="54"/>
      <c r="V411" s="54"/>
      <c r="W411" s="54" t="s">
        <v>2359</v>
      </c>
      <c r="X411" s="54"/>
      <c r="Y411" s="54"/>
      <c r="Z411" s="54">
        <v>0</v>
      </c>
      <c r="AA411" s="54"/>
      <c r="AB411" s="54" t="s">
        <v>2362</v>
      </c>
      <c r="AC411" s="54" t="s">
        <v>2363</v>
      </c>
      <c r="AD411" s="54"/>
      <c r="AE411" s="54" t="s">
        <v>2870</v>
      </c>
      <c r="AF411" s="54">
        <v>0</v>
      </c>
      <c r="AG411" s="54"/>
      <c r="AH411" s="54" t="s">
        <v>2365</v>
      </c>
      <c r="AI411" s="54" t="s">
        <v>2366</v>
      </c>
      <c r="AJ411" s="54"/>
      <c r="AK411" s="54"/>
      <c r="AL411" s="54"/>
      <c r="AM411" s="54"/>
      <c r="AN411" s="54"/>
      <c r="AO411" s="54"/>
      <c r="AP411" s="54"/>
      <c r="AQ411" s="54" t="s">
        <v>8179</v>
      </c>
      <c r="AR411" s="54"/>
      <c r="AS411" s="54"/>
      <c r="AT411" s="54" t="s">
        <v>2369</v>
      </c>
      <c r="AU411" s="54"/>
      <c r="AV411" s="54">
        <v>1</v>
      </c>
      <c r="AW411" s="54"/>
      <c r="AX411" s="54"/>
      <c r="AY411" s="54"/>
      <c r="AZ411" s="54"/>
      <c r="BA411" s="54"/>
      <c r="BB411" s="54" t="s">
        <v>2369</v>
      </c>
      <c r="BC411" s="54"/>
      <c r="BD411" s="54" t="s">
        <v>2371</v>
      </c>
      <c r="BE411" s="54" t="s">
        <v>2376</v>
      </c>
      <c r="BF411" s="54">
        <v>1</v>
      </c>
      <c r="BG411" s="54">
        <v>-6.9625000000000004</v>
      </c>
      <c r="BH411" s="54">
        <v>107.4346</v>
      </c>
      <c r="BI411" s="54"/>
      <c r="BJ411" s="54">
        <v>41</v>
      </c>
      <c r="BK411" s="54">
        <v>137</v>
      </c>
      <c r="BL411" s="54">
        <v>56</v>
      </c>
      <c r="BM411" s="54">
        <v>1</v>
      </c>
      <c r="BN411" s="54">
        <v>1</v>
      </c>
    </row>
    <row r="412" spans="1:66" s="219" customFormat="1" hidden="1" x14ac:dyDescent="0.3">
      <c r="A412" s="54">
        <v>406</v>
      </c>
      <c r="B412" s="54" t="s">
        <v>1736</v>
      </c>
      <c r="C412" s="54" t="s">
        <v>2237</v>
      </c>
      <c r="D412" s="54" t="s">
        <v>53</v>
      </c>
      <c r="E412" s="54">
        <v>106119084</v>
      </c>
      <c r="F412" s="54" t="s">
        <v>2352</v>
      </c>
      <c r="G412" s="108">
        <v>40336</v>
      </c>
      <c r="H412" s="54">
        <v>3217124706100000</v>
      </c>
      <c r="I412" s="54" t="s">
        <v>2353</v>
      </c>
      <c r="J412" s="54" t="s">
        <v>2732</v>
      </c>
      <c r="K412" s="54">
        <v>1</v>
      </c>
      <c r="L412" s="54">
        <v>3</v>
      </c>
      <c r="M412" s="54" t="s">
        <v>2733</v>
      </c>
      <c r="N412" s="54" t="s">
        <v>2399</v>
      </c>
      <c r="O412" s="54" t="s">
        <v>2356</v>
      </c>
      <c r="P412" s="54">
        <v>40564</v>
      </c>
      <c r="Q412" s="54" t="s">
        <v>2357</v>
      </c>
      <c r="R412" s="54" t="s">
        <v>2358</v>
      </c>
      <c r="S412" s="54"/>
      <c r="T412" s="54">
        <v>83829022321</v>
      </c>
      <c r="U412" s="54"/>
      <c r="V412" s="54"/>
      <c r="W412" s="54" t="s">
        <v>2359</v>
      </c>
      <c r="X412" s="54"/>
      <c r="Y412" s="54" t="s">
        <v>2956</v>
      </c>
      <c r="Z412" s="54">
        <v>1960</v>
      </c>
      <c r="AA412" s="54" t="s">
        <v>2361</v>
      </c>
      <c r="AB412" s="54" t="s">
        <v>2362</v>
      </c>
      <c r="AC412" s="54" t="s">
        <v>2403</v>
      </c>
      <c r="AD412" s="54">
        <v>3217120107600320</v>
      </c>
      <c r="AE412" s="54" t="s">
        <v>2957</v>
      </c>
      <c r="AF412" s="54">
        <v>1963</v>
      </c>
      <c r="AG412" s="54" t="s">
        <v>2361</v>
      </c>
      <c r="AH412" s="54" t="s">
        <v>2365</v>
      </c>
      <c r="AI412" s="54" t="s">
        <v>2366</v>
      </c>
      <c r="AJ412" s="54">
        <v>3217125605630000</v>
      </c>
      <c r="AK412" s="54"/>
      <c r="AL412" s="54"/>
      <c r="AM412" s="54" t="s">
        <v>2367</v>
      </c>
      <c r="AN412" s="54"/>
      <c r="AO412" s="54"/>
      <c r="AP412" s="54"/>
      <c r="AQ412" s="54" t="s">
        <v>8178</v>
      </c>
      <c r="AR412" s="54"/>
      <c r="AS412" s="54"/>
      <c r="AT412" s="54" t="s">
        <v>2359</v>
      </c>
      <c r="AU412" s="54"/>
      <c r="AV412" s="54">
        <v>0</v>
      </c>
      <c r="AW412" s="54"/>
      <c r="AX412" s="54" t="s">
        <v>2958</v>
      </c>
      <c r="AY412" s="54"/>
      <c r="AZ412" s="54"/>
      <c r="BA412" s="54"/>
      <c r="BB412" s="54" t="s">
        <v>2369</v>
      </c>
      <c r="BC412" s="54" t="s">
        <v>2370</v>
      </c>
      <c r="BD412" s="54" t="s">
        <v>2371</v>
      </c>
      <c r="BE412" s="54" t="s">
        <v>2406</v>
      </c>
      <c r="BF412" s="54">
        <v>1</v>
      </c>
      <c r="BG412" s="54">
        <v>-6.9542665230000003</v>
      </c>
      <c r="BH412" s="54">
        <v>107.3913574</v>
      </c>
      <c r="BI412" s="54"/>
      <c r="BJ412" s="54">
        <v>42</v>
      </c>
      <c r="BK412" s="54">
        <v>138</v>
      </c>
      <c r="BL412" s="54">
        <v>0</v>
      </c>
      <c r="BM412" s="54">
        <v>0</v>
      </c>
      <c r="BN412" s="54">
        <v>0</v>
      </c>
    </row>
    <row r="413" spans="1:66" hidden="1" x14ac:dyDescent="0.3">
      <c r="A413" s="3">
        <v>407</v>
      </c>
      <c r="B413" s="3" t="s">
        <v>3888</v>
      </c>
      <c r="C413" s="3" t="s">
        <v>4346</v>
      </c>
      <c r="D413" s="3" t="s">
        <v>53</v>
      </c>
      <c r="E413" s="3">
        <v>107705094</v>
      </c>
      <c r="F413" s="3" t="s">
        <v>2377</v>
      </c>
      <c r="G413" s="157">
        <v>40510</v>
      </c>
      <c r="H413" s="3">
        <v>3217126811100000</v>
      </c>
      <c r="I413" s="3" t="s">
        <v>2353</v>
      </c>
      <c r="J413" s="3" t="s">
        <v>4928</v>
      </c>
      <c r="K413" s="3">
        <v>2</v>
      </c>
      <c r="L413" s="3">
        <v>13</v>
      </c>
      <c r="M413" s="3"/>
      <c r="N413" s="3" t="s">
        <v>4475</v>
      </c>
      <c r="O413" s="3" t="s">
        <v>2356</v>
      </c>
      <c r="P413" s="3">
        <v>40564</v>
      </c>
      <c r="Q413" s="3" t="s">
        <v>2357</v>
      </c>
      <c r="R413" s="3" t="s">
        <v>2358</v>
      </c>
      <c r="S413" s="3"/>
      <c r="T413" s="3">
        <v>82315029212</v>
      </c>
      <c r="U413" s="3"/>
      <c r="V413" s="3"/>
      <c r="W413" s="3" t="s">
        <v>2369</v>
      </c>
      <c r="X413" s="3">
        <v>122000110334122</v>
      </c>
      <c r="Y413" s="3" t="s">
        <v>4929</v>
      </c>
      <c r="Z413" s="3">
        <v>1959</v>
      </c>
      <c r="AA413" s="3" t="s">
        <v>2361</v>
      </c>
      <c r="AB413" s="3" t="s">
        <v>2362</v>
      </c>
      <c r="AC413" s="3" t="s">
        <v>2363</v>
      </c>
      <c r="AD413" s="3">
        <v>3217122006590000</v>
      </c>
      <c r="AE413" s="3" t="s">
        <v>4159</v>
      </c>
      <c r="AF413" s="3">
        <v>1970</v>
      </c>
      <c r="AG413" s="3" t="s">
        <v>2402</v>
      </c>
      <c r="AH413" s="3" t="s">
        <v>2365</v>
      </c>
      <c r="AI413" s="3" t="s">
        <v>2366</v>
      </c>
      <c r="AJ413" s="3">
        <v>3217125803700000</v>
      </c>
      <c r="AK413" s="3"/>
      <c r="AL413" s="3"/>
      <c r="AM413" s="3" t="s">
        <v>2367</v>
      </c>
      <c r="AN413" s="3"/>
      <c r="AO413" s="3"/>
      <c r="AP413" s="3"/>
      <c r="AQ413" s="3" t="s">
        <v>5152</v>
      </c>
      <c r="AR413" s="3"/>
      <c r="AS413" s="3"/>
      <c r="AT413" s="3" t="s">
        <v>2369</v>
      </c>
      <c r="AU413" s="3"/>
      <c r="AV413" s="3">
        <v>0</v>
      </c>
      <c r="AW413" s="3"/>
      <c r="AX413" s="3" t="s">
        <v>4158</v>
      </c>
      <c r="AY413" s="3"/>
      <c r="AZ413" s="3"/>
      <c r="BA413" s="3"/>
      <c r="BB413" s="3" t="s">
        <v>2369</v>
      </c>
      <c r="BC413" s="3"/>
      <c r="BD413" s="3" t="s">
        <v>2371</v>
      </c>
      <c r="BE413" s="3" t="s">
        <v>2372</v>
      </c>
      <c r="BF413" s="3">
        <v>4</v>
      </c>
      <c r="BG413" s="3">
        <v>-6.9676999999999998</v>
      </c>
      <c r="BH413" s="3">
        <v>107.4117</v>
      </c>
      <c r="BI413" s="3">
        <v>3217121604057680</v>
      </c>
      <c r="BJ413" s="3">
        <v>42</v>
      </c>
      <c r="BK413" s="3">
        <v>138</v>
      </c>
      <c r="BL413" s="3">
        <v>56</v>
      </c>
      <c r="BM413" s="3">
        <v>1</v>
      </c>
      <c r="BN413" s="3">
        <v>2</v>
      </c>
    </row>
    <row r="414" spans="1:66" s="219" customFormat="1" hidden="1" x14ac:dyDescent="0.3">
      <c r="A414" s="54">
        <v>408</v>
      </c>
      <c r="B414" s="54" t="s">
        <v>1737</v>
      </c>
      <c r="C414" s="54" t="s">
        <v>2238</v>
      </c>
      <c r="D414" s="54" t="s">
        <v>53</v>
      </c>
      <c r="E414" s="54">
        <v>3092787521</v>
      </c>
      <c r="F414" s="54" t="s">
        <v>2373</v>
      </c>
      <c r="G414" s="108">
        <v>40107</v>
      </c>
      <c r="H414" s="54">
        <v>3217116110090000</v>
      </c>
      <c r="I414" s="54" t="s">
        <v>2353</v>
      </c>
      <c r="J414" s="54" t="s">
        <v>2616</v>
      </c>
      <c r="K414" s="54">
        <v>1</v>
      </c>
      <c r="L414" s="54">
        <v>11</v>
      </c>
      <c r="M414" s="54"/>
      <c r="N414" s="54" t="s">
        <v>2425</v>
      </c>
      <c r="O414" s="54" t="s">
        <v>2426</v>
      </c>
      <c r="P414" s="54">
        <v>40561</v>
      </c>
      <c r="Q414" s="54" t="s">
        <v>2357</v>
      </c>
      <c r="R414" s="54" t="s">
        <v>2358</v>
      </c>
      <c r="S414" s="54"/>
      <c r="T414" s="54"/>
      <c r="U414" s="54"/>
      <c r="V414" s="54"/>
      <c r="W414" s="54" t="s">
        <v>2359</v>
      </c>
      <c r="X414" s="54"/>
      <c r="Y414" s="54"/>
      <c r="Z414" s="54">
        <v>0</v>
      </c>
      <c r="AA414" s="54"/>
      <c r="AB414" s="54" t="s">
        <v>2362</v>
      </c>
      <c r="AC414" s="54" t="s">
        <v>2375</v>
      </c>
      <c r="AD414" s="54"/>
      <c r="AE414" s="54" t="s">
        <v>2959</v>
      </c>
      <c r="AF414" s="54">
        <v>0</v>
      </c>
      <c r="AG414" s="54"/>
      <c r="AH414" s="54" t="s">
        <v>2365</v>
      </c>
      <c r="AI414" s="54" t="s">
        <v>2366</v>
      </c>
      <c r="AJ414" s="54"/>
      <c r="AK414" s="54"/>
      <c r="AL414" s="54"/>
      <c r="AM414" s="54"/>
      <c r="AN414" s="54"/>
      <c r="AO414" s="54"/>
      <c r="AP414" s="54"/>
      <c r="AQ414" s="54" t="s">
        <v>8178</v>
      </c>
      <c r="AR414" s="54"/>
      <c r="AS414" s="54"/>
      <c r="AT414" s="54" t="s">
        <v>2359</v>
      </c>
      <c r="AU414" s="54"/>
      <c r="AV414" s="54">
        <v>1</v>
      </c>
      <c r="AW414" s="54"/>
      <c r="AX414" s="54"/>
      <c r="AY414" s="54"/>
      <c r="AZ414" s="54"/>
      <c r="BA414" s="54"/>
      <c r="BB414" s="54" t="s">
        <v>2359</v>
      </c>
      <c r="BC414" s="54"/>
      <c r="BD414" s="54" t="s">
        <v>2371</v>
      </c>
      <c r="BE414" s="54" t="s">
        <v>2669</v>
      </c>
      <c r="BF414" s="54">
        <v>1</v>
      </c>
      <c r="BG414" s="54">
        <v>-6.9625000000000004</v>
      </c>
      <c r="BH414" s="54">
        <v>107.4346</v>
      </c>
      <c r="BI414" s="54"/>
      <c r="BJ414" s="54">
        <v>42</v>
      </c>
      <c r="BK414" s="54">
        <v>138</v>
      </c>
      <c r="BL414" s="54">
        <v>55</v>
      </c>
      <c r="BM414" s="54">
        <v>1</v>
      </c>
      <c r="BN414" s="54">
        <v>2</v>
      </c>
    </row>
    <row r="415" spans="1:66" s="219" customFormat="1" hidden="1" x14ac:dyDescent="0.3">
      <c r="A415" s="54">
        <v>409</v>
      </c>
      <c r="B415" s="54" t="s">
        <v>1738</v>
      </c>
      <c r="C415" s="54" t="s">
        <v>2239</v>
      </c>
      <c r="D415" s="54" t="s">
        <v>53</v>
      </c>
      <c r="E415" s="54">
        <v>3098987214</v>
      </c>
      <c r="F415" s="54" t="s">
        <v>2446</v>
      </c>
      <c r="G415" s="108">
        <v>39981</v>
      </c>
      <c r="H415" s="54">
        <v>3217115706090000</v>
      </c>
      <c r="I415" s="54" t="s">
        <v>2353</v>
      </c>
      <c r="J415" s="54" t="s">
        <v>2616</v>
      </c>
      <c r="K415" s="54">
        <v>1</v>
      </c>
      <c r="L415" s="54">
        <v>1</v>
      </c>
      <c r="M415" s="54"/>
      <c r="N415" s="54" t="s">
        <v>2617</v>
      </c>
      <c r="O415" s="54" t="s">
        <v>2426</v>
      </c>
      <c r="P415" s="54">
        <v>40561</v>
      </c>
      <c r="Q415" s="54" t="s">
        <v>2357</v>
      </c>
      <c r="R415" s="54" t="s">
        <v>2374</v>
      </c>
      <c r="S415" s="54"/>
      <c r="T415" s="54"/>
      <c r="U415" s="54"/>
      <c r="V415" s="54"/>
      <c r="W415" s="54" t="s">
        <v>2359</v>
      </c>
      <c r="X415" s="54"/>
      <c r="Y415" s="54"/>
      <c r="Z415" s="54">
        <v>0</v>
      </c>
      <c r="AA415" s="54"/>
      <c r="AB415" s="54" t="s">
        <v>2362</v>
      </c>
      <c r="AC415" s="54" t="s">
        <v>2375</v>
      </c>
      <c r="AD415" s="54"/>
      <c r="AE415" s="54" t="s">
        <v>2960</v>
      </c>
      <c r="AF415" s="54">
        <v>0</v>
      </c>
      <c r="AG415" s="54"/>
      <c r="AH415" s="54" t="s">
        <v>2365</v>
      </c>
      <c r="AI415" s="54" t="s">
        <v>2366</v>
      </c>
      <c r="AJ415" s="54"/>
      <c r="AK415" s="54"/>
      <c r="AL415" s="54"/>
      <c r="AM415" s="54"/>
      <c r="AN415" s="54"/>
      <c r="AO415" s="54"/>
      <c r="AP415" s="54"/>
      <c r="AQ415" s="54" t="s">
        <v>8178</v>
      </c>
      <c r="AR415" s="54"/>
      <c r="AS415" s="54"/>
      <c r="AT415" s="54" t="s">
        <v>2359</v>
      </c>
      <c r="AU415" s="54"/>
      <c r="AV415" s="54">
        <v>1</v>
      </c>
      <c r="AW415" s="54"/>
      <c r="AX415" s="54"/>
      <c r="AY415" s="54"/>
      <c r="AZ415" s="54"/>
      <c r="BA415" s="54"/>
      <c r="BB415" s="54" t="s">
        <v>2359</v>
      </c>
      <c r="BC415" s="54"/>
      <c r="BD415" s="54" t="s">
        <v>2371</v>
      </c>
      <c r="BE415" s="54" t="s">
        <v>2669</v>
      </c>
      <c r="BF415" s="54">
        <v>1</v>
      </c>
      <c r="BG415" s="54">
        <v>-6.9625000000000004</v>
      </c>
      <c r="BH415" s="54">
        <v>107.4346</v>
      </c>
      <c r="BI415" s="54"/>
      <c r="BJ415" s="54">
        <v>43</v>
      </c>
      <c r="BK415" s="54">
        <v>134</v>
      </c>
      <c r="BL415" s="54">
        <v>54</v>
      </c>
      <c r="BM415" s="54">
        <v>1</v>
      </c>
      <c r="BN415" s="54">
        <v>2</v>
      </c>
    </row>
    <row r="416" spans="1:66" s="219" customFormat="1" hidden="1" x14ac:dyDescent="0.3">
      <c r="A416" s="54">
        <v>410</v>
      </c>
      <c r="B416" s="54" t="s">
        <v>1857</v>
      </c>
      <c r="C416" s="54" t="s">
        <v>1507</v>
      </c>
      <c r="D416" s="54" t="s">
        <v>53</v>
      </c>
      <c r="E416" s="54">
        <v>94751792</v>
      </c>
      <c r="F416" s="54" t="s">
        <v>2373</v>
      </c>
      <c r="G416" s="108">
        <v>39938</v>
      </c>
      <c r="H416" s="54">
        <v>3217124505090000</v>
      </c>
      <c r="I416" s="54" t="s">
        <v>2353</v>
      </c>
      <c r="J416" s="54" t="s">
        <v>3296</v>
      </c>
      <c r="K416" s="54">
        <v>3</v>
      </c>
      <c r="L416" s="54">
        <v>2</v>
      </c>
      <c r="M416" s="54" t="s">
        <v>3297</v>
      </c>
      <c r="N416" s="54" t="s">
        <v>2395</v>
      </c>
      <c r="O416" s="54" t="s">
        <v>2356</v>
      </c>
      <c r="P416" s="54">
        <v>40564</v>
      </c>
      <c r="Q416" s="54" t="s">
        <v>2357</v>
      </c>
      <c r="R416" s="54" t="s">
        <v>2358</v>
      </c>
      <c r="S416" s="54"/>
      <c r="T416" s="54">
        <v>83114462485</v>
      </c>
      <c r="U416" s="54"/>
      <c r="V416" s="54"/>
      <c r="W416" s="54" t="s">
        <v>2359</v>
      </c>
      <c r="X416" s="54"/>
      <c r="Y416" s="54" t="s">
        <v>2976</v>
      </c>
      <c r="Z416" s="54">
        <v>1984</v>
      </c>
      <c r="AA416" s="54" t="s">
        <v>2402</v>
      </c>
      <c r="AB416" s="54" t="s">
        <v>2362</v>
      </c>
      <c r="AC416" s="54" t="s">
        <v>2403</v>
      </c>
      <c r="AD416" s="54">
        <v>3217110308840000</v>
      </c>
      <c r="AE416" s="54" t="s">
        <v>3535</v>
      </c>
      <c r="AF416" s="54">
        <v>1985</v>
      </c>
      <c r="AG416" s="54" t="s">
        <v>2361</v>
      </c>
      <c r="AH416" s="54" t="s">
        <v>2365</v>
      </c>
      <c r="AI416" s="54" t="s">
        <v>2366</v>
      </c>
      <c r="AJ416" s="54">
        <v>3217124101850040</v>
      </c>
      <c r="AK416" s="54"/>
      <c r="AL416" s="54"/>
      <c r="AM416" s="54"/>
      <c r="AN416" s="54"/>
      <c r="AO416" s="54"/>
      <c r="AP416" s="54"/>
      <c r="AQ416" s="54" t="s">
        <v>5147</v>
      </c>
      <c r="AR416" s="54"/>
      <c r="AS416" s="54"/>
      <c r="AT416" s="54" t="s">
        <v>2359</v>
      </c>
      <c r="AU416" s="54"/>
      <c r="AV416" s="54">
        <v>0</v>
      </c>
      <c r="AW416" s="54"/>
      <c r="AX416" s="54" t="s">
        <v>3536</v>
      </c>
      <c r="AY416" s="54"/>
      <c r="AZ416" s="54"/>
      <c r="BA416" s="54"/>
      <c r="BB416" s="54" t="s">
        <v>2369</v>
      </c>
      <c r="BC416" s="54" t="s">
        <v>2370</v>
      </c>
      <c r="BD416" s="54" t="s">
        <v>2371</v>
      </c>
      <c r="BE416" s="54"/>
      <c r="BF416" s="54">
        <v>1</v>
      </c>
      <c r="BG416" s="54">
        <v>-6.9661</v>
      </c>
      <c r="BH416" s="54">
        <v>107.4057</v>
      </c>
      <c r="BI416" s="54">
        <v>3217121907130030</v>
      </c>
      <c r="BJ416" s="54">
        <v>41</v>
      </c>
      <c r="BK416" s="54">
        <v>148</v>
      </c>
      <c r="BL416" s="54">
        <v>59</v>
      </c>
      <c r="BM416" s="54">
        <v>1</v>
      </c>
      <c r="BN416" s="54">
        <v>1</v>
      </c>
    </row>
    <row r="417" spans="1:66" s="219" customFormat="1" hidden="1" x14ac:dyDescent="0.3">
      <c r="A417" s="54">
        <v>411</v>
      </c>
      <c r="B417" s="54" t="s">
        <v>3046</v>
      </c>
      <c r="C417" s="54" t="s">
        <v>2264</v>
      </c>
      <c r="D417" s="54" t="s">
        <v>53</v>
      </c>
      <c r="E417" s="54">
        <v>106247638</v>
      </c>
      <c r="F417" s="54" t="s">
        <v>2373</v>
      </c>
      <c r="G417" s="108">
        <v>40179</v>
      </c>
      <c r="H417" s="54">
        <v>3273154101100000</v>
      </c>
      <c r="I417" s="54" t="s">
        <v>2353</v>
      </c>
      <c r="J417" s="54" t="s">
        <v>2565</v>
      </c>
      <c r="K417" s="54">
        <v>2</v>
      </c>
      <c r="L417" s="54">
        <v>1</v>
      </c>
      <c r="M417" s="54"/>
      <c r="N417" s="54" t="s">
        <v>2566</v>
      </c>
      <c r="O417" s="54" t="s">
        <v>2426</v>
      </c>
      <c r="P417" s="54">
        <v>40562</v>
      </c>
      <c r="Q417" s="54" t="s">
        <v>2357</v>
      </c>
      <c r="R417" s="54" t="s">
        <v>2358</v>
      </c>
      <c r="S417" s="54"/>
      <c r="T417" s="54"/>
      <c r="U417" s="54"/>
      <c r="V417" s="54"/>
      <c r="W417" s="54" t="s">
        <v>2359</v>
      </c>
      <c r="X417" s="54"/>
      <c r="Y417" s="54" t="s">
        <v>3047</v>
      </c>
      <c r="Z417" s="54">
        <v>0</v>
      </c>
      <c r="AA417" s="54" t="s">
        <v>2361</v>
      </c>
      <c r="AB417" s="54" t="s">
        <v>2362</v>
      </c>
      <c r="AC417" s="54" t="s">
        <v>2403</v>
      </c>
      <c r="AD417" s="54"/>
      <c r="AE417" s="54" t="s">
        <v>3048</v>
      </c>
      <c r="AF417" s="54">
        <v>0</v>
      </c>
      <c r="AG417" s="54" t="s">
        <v>2361</v>
      </c>
      <c r="AH417" s="54" t="s">
        <v>2365</v>
      </c>
      <c r="AI417" s="54" t="s">
        <v>2366</v>
      </c>
      <c r="AJ417" s="54"/>
      <c r="AK417" s="54"/>
      <c r="AL417" s="54"/>
      <c r="AM417" s="54" t="s">
        <v>2367</v>
      </c>
      <c r="AN417" s="54"/>
      <c r="AO417" s="54"/>
      <c r="AP417" s="54"/>
      <c r="AQ417" s="54" t="s">
        <v>8182</v>
      </c>
      <c r="AR417" s="54"/>
      <c r="AS417" s="54"/>
      <c r="AT417" s="54" t="s">
        <v>2359</v>
      </c>
      <c r="AU417" s="54"/>
      <c r="AV417" s="54">
        <v>0</v>
      </c>
      <c r="AW417" s="54"/>
      <c r="AX417" s="54"/>
      <c r="AY417" s="54"/>
      <c r="AZ417" s="54"/>
      <c r="BA417" s="54"/>
      <c r="BB417" s="54" t="s">
        <v>2369</v>
      </c>
      <c r="BC417" s="54" t="s">
        <v>2370</v>
      </c>
      <c r="BD417" s="54" t="s">
        <v>2371</v>
      </c>
      <c r="BE417" s="54" t="s">
        <v>2691</v>
      </c>
      <c r="BF417" s="54">
        <v>1</v>
      </c>
      <c r="BG417" s="54">
        <v>-6.9743000000000004</v>
      </c>
      <c r="BH417" s="54">
        <v>107.43559999999999</v>
      </c>
      <c r="BI417" s="54"/>
      <c r="BJ417" s="54">
        <v>45</v>
      </c>
      <c r="BK417" s="54">
        <v>141</v>
      </c>
      <c r="BL417" s="54">
        <v>0</v>
      </c>
      <c r="BM417" s="54">
        <v>0</v>
      </c>
      <c r="BN417" s="54">
        <v>0</v>
      </c>
    </row>
    <row r="418" spans="1:66" hidden="1" x14ac:dyDescent="0.3">
      <c r="A418" s="3">
        <v>412</v>
      </c>
      <c r="B418" s="3" t="s">
        <v>4132</v>
      </c>
      <c r="C418" s="3" t="s">
        <v>4307</v>
      </c>
      <c r="D418" s="3" t="s">
        <v>53</v>
      </c>
      <c r="E418" s="3">
        <v>3108598197</v>
      </c>
      <c r="F418" s="3" t="s">
        <v>2377</v>
      </c>
      <c r="G418" s="157">
        <v>40303</v>
      </c>
      <c r="H418" s="3">
        <v>3217114505100000</v>
      </c>
      <c r="I418" s="3" t="s">
        <v>2353</v>
      </c>
      <c r="J418" s="3" t="s">
        <v>2616</v>
      </c>
      <c r="K418" s="3">
        <v>4</v>
      </c>
      <c r="L418" s="3">
        <v>7</v>
      </c>
      <c r="M418" s="3"/>
      <c r="N418" s="3" t="s">
        <v>4455</v>
      </c>
      <c r="O418" s="3" t="s">
        <v>2426</v>
      </c>
      <c r="P418" s="3">
        <v>40561</v>
      </c>
      <c r="Q418" s="3" t="s">
        <v>2357</v>
      </c>
      <c r="R418" s="3" t="s">
        <v>2358</v>
      </c>
      <c r="S418" s="3"/>
      <c r="T418" s="3"/>
      <c r="U418" s="3"/>
      <c r="V418" s="3"/>
      <c r="W418" s="3" t="s">
        <v>2359</v>
      </c>
      <c r="X418" s="3"/>
      <c r="Y418" s="3" t="s">
        <v>4930</v>
      </c>
      <c r="Z418" s="3">
        <v>1963</v>
      </c>
      <c r="AA418" s="3" t="s">
        <v>2361</v>
      </c>
      <c r="AB418" s="3" t="s">
        <v>2362</v>
      </c>
      <c r="AC418" s="3" t="s">
        <v>2403</v>
      </c>
      <c r="AD418" s="3">
        <v>3217110805630000</v>
      </c>
      <c r="AE418" s="3" t="s">
        <v>4134</v>
      </c>
      <c r="AF418" s="3">
        <v>1974</v>
      </c>
      <c r="AG418" s="3" t="s">
        <v>2361</v>
      </c>
      <c r="AH418" s="3" t="s">
        <v>2365</v>
      </c>
      <c r="AI418" s="3" t="s">
        <v>2366</v>
      </c>
      <c r="AJ418" s="3">
        <v>3217115005740020</v>
      </c>
      <c r="AK418" s="3"/>
      <c r="AL418" s="3"/>
      <c r="AM418" s="3"/>
      <c r="AN418" s="3"/>
      <c r="AO418" s="3"/>
      <c r="AP418" s="3"/>
      <c r="AQ418" s="3" t="s">
        <v>5150</v>
      </c>
      <c r="AR418" s="3"/>
      <c r="AS418" s="3"/>
      <c r="AT418" s="3" t="s">
        <v>2369</v>
      </c>
      <c r="AU418" s="3"/>
      <c r="AV418" s="3">
        <v>1</v>
      </c>
      <c r="AW418" s="3"/>
      <c r="AX418" s="3" t="s">
        <v>4133</v>
      </c>
      <c r="AY418" s="3"/>
      <c r="AZ418" s="3"/>
      <c r="BA418" s="3"/>
      <c r="BB418" s="3" t="s">
        <v>2369</v>
      </c>
      <c r="BC418" s="3"/>
      <c r="BD418" s="3" t="s">
        <v>2371</v>
      </c>
      <c r="BE418" s="3" t="s">
        <v>2669</v>
      </c>
      <c r="BF418" s="3">
        <v>1</v>
      </c>
      <c r="BG418" s="3">
        <v>-6.9625000000000004</v>
      </c>
      <c r="BH418" s="3">
        <v>107.4346</v>
      </c>
      <c r="BI418" s="3">
        <v>3217110805080020</v>
      </c>
      <c r="BJ418" s="3">
        <v>38</v>
      </c>
      <c r="BK418" s="3">
        <v>138</v>
      </c>
      <c r="BL418" s="3">
        <v>51</v>
      </c>
      <c r="BM418" s="3">
        <v>1</v>
      </c>
      <c r="BN418" s="3">
        <v>2</v>
      </c>
    </row>
    <row r="419" spans="1:66" hidden="1" x14ac:dyDescent="0.3">
      <c r="A419" s="3">
        <v>413</v>
      </c>
      <c r="B419" s="3" t="s">
        <v>3950</v>
      </c>
      <c r="C419" s="3" t="s">
        <v>4308</v>
      </c>
      <c r="D419" s="3" t="s">
        <v>53</v>
      </c>
      <c r="E419" s="3">
        <v>107075476</v>
      </c>
      <c r="F419" s="3" t="s">
        <v>2446</v>
      </c>
      <c r="G419" s="157">
        <v>40440</v>
      </c>
      <c r="H419" s="3">
        <v>3217125909100000</v>
      </c>
      <c r="I419" s="3" t="s">
        <v>2353</v>
      </c>
      <c r="J419" s="3" t="s">
        <v>4931</v>
      </c>
      <c r="K419" s="3">
        <v>1</v>
      </c>
      <c r="L419" s="3">
        <v>1</v>
      </c>
      <c r="M419" s="3"/>
      <c r="N419" s="3" t="s">
        <v>2907</v>
      </c>
      <c r="O419" s="3" t="s">
        <v>2356</v>
      </c>
      <c r="P419" s="3">
        <v>40754</v>
      </c>
      <c r="Q419" s="3" t="s">
        <v>2357</v>
      </c>
      <c r="R419" s="3" t="s">
        <v>2358</v>
      </c>
      <c r="S419" s="3"/>
      <c r="T419" s="3">
        <v>83829768981</v>
      </c>
      <c r="U419" s="3"/>
      <c r="V419" s="3"/>
      <c r="W419" s="3" t="s">
        <v>2359</v>
      </c>
      <c r="X419" s="3">
        <v>201521000253270</v>
      </c>
      <c r="Y419" s="3" t="s">
        <v>4932</v>
      </c>
      <c r="Z419" s="3">
        <v>1989</v>
      </c>
      <c r="AA419" s="3" t="s">
        <v>2390</v>
      </c>
      <c r="AB419" s="3" t="s">
        <v>2493</v>
      </c>
      <c r="AC419" s="3" t="s">
        <v>2375</v>
      </c>
      <c r="AD419" s="3">
        <v>3217122008890000</v>
      </c>
      <c r="AE419" s="3" t="s">
        <v>4933</v>
      </c>
      <c r="AF419" s="3">
        <v>1990</v>
      </c>
      <c r="AG419" s="3" t="s">
        <v>2390</v>
      </c>
      <c r="AH419" s="3" t="s">
        <v>2474</v>
      </c>
      <c r="AI419" s="3" t="s">
        <v>2403</v>
      </c>
      <c r="AJ419" s="3">
        <v>3217125708900000</v>
      </c>
      <c r="AK419" s="3"/>
      <c r="AL419" s="3"/>
      <c r="AM419" s="3" t="s">
        <v>2367</v>
      </c>
      <c r="AN419" s="3"/>
      <c r="AO419" s="3"/>
      <c r="AP419" s="3"/>
      <c r="AQ419" s="3" t="s">
        <v>5150</v>
      </c>
      <c r="AR419" s="3"/>
      <c r="AS419" s="3"/>
      <c r="AT419" s="3" t="s">
        <v>2369</v>
      </c>
      <c r="AU419" s="3"/>
      <c r="AV419" s="3">
        <v>0</v>
      </c>
      <c r="AW419" s="3"/>
      <c r="AX419" s="3" t="s">
        <v>4934</v>
      </c>
      <c r="AY419" s="3"/>
      <c r="AZ419" s="3"/>
      <c r="BA419" s="3"/>
      <c r="BB419" s="3" t="s">
        <v>2369</v>
      </c>
      <c r="BC419" s="3"/>
      <c r="BD419" s="3" t="s">
        <v>2371</v>
      </c>
      <c r="BE419" s="3" t="s">
        <v>4935</v>
      </c>
      <c r="BF419" s="3">
        <v>1</v>
      </c>
      <c r="BG419" s="3">
        <v>-6.9500289999999998</v>
      </c>
      <c r="BH419" s="3">
        <v>107.35703700000001</v>
      </c>
      <c r="BI419" s="3">
        <v>3217122806120020</v>
      </c>
      <c r="BJ419" s="3">
        <v>45</v>
      </c>
      <c r="BK419" s="3">
        <v>138</v>
      </c>
      <c r="BL419" s="3">
        <v>55</v>
      </c>
      <c r="BM419" s="3">
        <v>1</v>
      </c>
      <c r="BN419" s="3">
        <v>2</v>
      </c>
    </row>
    <row r="420" spans="1:66" s="219" customFormat="1" hidden="1" x14ac:dyDescent="0.3">
      <c r="A420" s="54">
        <v>414</v>
      </c>
      <c r="B420" s="54" t="s">
        <v>3049</v>
      </c>
      <c r="C420" s="54" t="s">
        <v>2265</v>
      </c>
      <c r="D420" s="54" t="s">
        <v>53</v>
      </c>
      <c r="E420" s="54">
        <v>3097129235</v>
      </c>
      <c r="F420" s="54" t="s">
        <v>2373</v>
      </c>
      <c r="G420" s="108">
        <v>40149</v>
      </c>
      <c r="H420" s="54">
        <v>3217124212090000</v>
      </c>
      <c r="I420" s="54" t="s">
        <v>2353</v>
      </c>
      <c r="J420" s="54" t="s">
        <v>3050</v>
      </c>
      <c r="K420" s="54">
        <v>4</v>
      </c>
      <c r="L420" s="54">
        <v>5</v>
      </c>
      <c r="M420" s="54"/>
      <c r="N420" s="54" t="s">
        <v>2415</v>
      </c>
      <c r="O420" s="54" t="s">
        <v>2426</v>
      </c>
      <c r="P420" s="54">
        <v>40560</v>
      </c>
      <c r="Q420" s="54" t="s">
        <v>2357</v>
      </c>
      <c r="R420" s="54" t="s">
        <v>2374</v>
      </c>
      <c r="S420" s="54"/>
      <c r="T420" s="54"/>
      <c r="U420" s="54"/>
      <c r="V420" s="54"/>
      <c r="W420" s="54" t="s">
        <v>2359</v>
      </c>
      <c r="X420" s="54"/>
      <c r="Y420" s="54"/>
      <c r="Z420" s="54">
        <v>0</v>
      </c>
      <c r="AA420" s="54"/>
      <c r="AB420" s="54" t="s">
        <v>2362</v>
      </c>
      <c r="AC420" s="54" t="s">
        <v>2375</v>
      </c>
      <c r="AD420" s="54"/>
      <c r="AE420" s="54" t="s">
        <v>3051</v>
      </c>
      <c r="AF420" s="54">
        <v>0</v>
      </c>
      <c r="AG420" s="54"/>
      <c r="AH420" s="54" t="s">
        <v>2365</v>
      </c>
      <c r="AI420" s="54" t="s">
        <v>2366</v>
      </c>
      <c r="AJ420" s="54"/>
      <c r="AK420" s="54"/>
      <c r="AL420" s="54"/>
      <c r="AM420" s="54"/>
      <c r="AN420" s="54"/>
      <c r="AO420" s="54"/>
      <c r="AP420" s="54"/>
      <c r="AQ420" s="54" t="s">
        <v>8182</v>
      </c>
      <c r="AR420" s="54"/>
      <c r="AS420" s="54"/>
      <c r="AT420" s="54" t="s">
        <v>2359</v>
      </c>
      <c r="AU420" s="54"/>
      <c r="AV420" s="54">
        <v>1</v>
      </c>
      <c r="AW420" s="54"/>
      <c r="AX420" s="54"/>
      <c r="AY420" s="54"/>
      <c r="AZ420" s="54"/>
      <c r="BA420" s="54"/>
      <c r="BB420" s="54" t="s">
        <v>2369</v>
      </c>
      <c r="BC420" s="54" t="s">
        <v>2370</v>
      </c>
      <c r="BD420" s="54" t="s">
        <v>2371</v>
      </c>
      <c r="BE420" s="54" t="s">
        <v>2376</v>
      </c>
      <c r="BF420" s="54">
        <v>1</v>
      </c>
      <c r="BG420" s="54">
        <v>-6.9625000000000004</v>
      </c>
      <c r="BH420" s="54">
        <v>107.4346</v>
      </c>
      <c r="BI420" s="54"/>
      <c r="BJ420" s="54">
        <v>43</v>
      </c>
      <c r="BK420" s="54">
        <v>140</v>
      </c>
      <c r="BL420" s="54">
        <v>57</v>
      </c>
      <c r="BM420" s="54">
        <v>1</v>
      </c>
      <c r="BN420" s="54">
        <v>3</v>
      </c>
    </row>
    <row r="421" spans="1:66" hidden="1" x14ac:dyDescent="0.3">
      <c r="A421" s="3">
        <v>415</v>
      </c>
      <c r="B421" s="3" t="s">
        <v>3856</v>
      </c>
      <c r="C421" s="3" t="s">
        <v>4309</v>
      </c>
      <c r="D421" s="3" t="s">
        <v>52</v>
      </c>
      <c r="E421" s="3">
        <v>104666214</v>
      </c>
      <c r="F421" s="3" t="s">
        <v>2377</v>
      </c>
      <c r="G421" s="157">
        <v>40464</v>
      </c>
      <c r="H421" s="3">
        <v>3217111311100000</v>
      </c>
      <c r="I421" s="3" t="s">
        <v>2353</v>
      </c>
      <c r="J421" s="3" t="s">
        <v>4511</v>
      </c>
      <c r="K421" s="3">
        <v>1</v>
      </c>
      <c r="L421" s="3">
        <v>1</v>
      </c>
      <c r="M421" s="3"/>
      <c r="N421" s="3" t="s">
        <v>3105</v>
      </c>
      <c r="O421" s="3" t="s">
        <v>2426</v>
      </c>
      <c r="P421" s="3">
        <v>40562</v>
      </c>
      <c r="Q421" s="3" t="s">
        <v>2357</v>
      </c>
      <c r="R421" s="3" t="s">
        <v>2358</v>
      </c>
      <c r="S421" s="3"/>
      <c r="T421" s="3">
        <v>83829964365</v>
      </c>
      <c r="U421" s="3"/>
      <c r="V421" s="3"/>
      <c r="W421" s="3" t="s">
        <v>2359</v>
      </c>
      <c r="X421" s="3"/>
      <c r="Y421" s="3" t="s">
        <v>4936</v>
      </c>
      <c r="Z421" s="3">
        <v>1980</v>
      </c>
      <c r="AA421" s="3" t="s">
        <v>2361</v>
      </c>
      <c r="AB421" s="3" t="s">
        <v>2867</v>
      </c>
      <c r="AC421" s="3" t="s">
        <v>2366</v>
      </c>
      <c r="AD421" s="3">
        <v>3217110808800020</v>
      </c>
      <c r="AE421" s="3" t="s">
        <v>2452</v>
      </c>
      <c r="AF421" s="3">
        <v>1985</v>
      </c>
      <c r="AG421" s="3" t="s">
        <v>2367</v>
      </c>
      <c r="AH421" s="3" t="s">
        <v>2365</v>
      </c>
      <c r="AI421" s="3" t="s">
        <v>2366</v>
      </c>
      <c r="AJ421" s="3">
        <v>3217114711850000</v>
      </c>
      <c r="AK421" s="3"/>
      <c r="AL421" s="3"/>
      <c r="AM421" s="3" t="s">
        <v>2367</v>
      </c>
      <c r="AN421" s="3"/>
      <c r="AO421" s="3"/>
      <c r="AP421" s="3"/>
      <c r="AQ421" s="3" t="s">
        <v>5150</v>
      </c>
      <c r="AR421" s="3"/>
      <c r="AS421" s="3"/>
      <c r="AT421" s="3" t="s">
        <v>2359</v>
      </c>
      <c r="AU421" s="3"/>
      <c r="AV421" s="3">
        <v>0</v>
      </c>
      <c r="AW421" s="3"/>
      <c r="AX421" s="3">
        <v>9530023395</v>
      </c>
      <c r="AY421" s="3"/>
      <c r="AZ421" s="3"/>
      <c r="BA421" s="3"/>
      <c r="BB421" s="3" t="s">
        <v>2369</v>
      </c>
      <c r="BC421" s="3" t="s">
        <v>2868</v>
      </c>
      <c r="BD421" s="3" t="s">
        <v>2371</v>
      </c>
      <c r="BE421" s="3" t="s">
        <v>2691</v>
      </c>
      <c r="BF421" s="3">
        <v>2</v>
      </c>
      <c r="BG421" s="3">
        <v>-6.9743000000000004</v>
      </c>
      <c r="BH421" s="3">
        <v>107.43559999999999</v>
      </c>
      <c r="BI421" s="3"/>
      <c r="BJ421" s="3">
        <v>31</v>
      </c>
      <c r="BK421" s="3">
        <v>130</v>
      </c>
      <c r="BL421" s="3">
        <v>0</v>
      </c>
      <c r="BM421" s="3">
        <v>0</v>
      </c>
      <c r="BN421" s="3">
        <v>1</v>
      </c>
    </row>
    <row r="422" spans="1:66" s="219" customFormat="1" hidden="1" x14ac:dyDescent="0.3">
      <c r="A422" s="54">
        <v>416</v>
      </c>
      <c r="B422" s="54" t="s">
        <v>1911</v>
      </c>
      <c r="C422" s="54" t="s">
        <v>1591</v>
      </c>
      <c r="D422" s="54" t="s">
        <v>53</v>
      </c>
      <c r="E422" s="54">
        <v>3096806631</v>
      </c>
      <c r="F422" s="54" t="s">
        <v>2373</v>
      </c>
      <c r="G422" s="108">
        <v>39865</v>
      </c>
      <c r="H422" s="54">
        <v>3217116103090000</v>
      </c>
      <c r="I422" s="54" t="s">
        <v>2353</v>
      </c>
      <c r="J422" s="54" t="s">
        <v>2616</v>
      </c>
      <c r="K422" s="54">
        <v>5</v>
      </c>
      <c r="L422" s="54">
        <v>7</v>
      </c>
      <c r="M422" s="54"/>
      <c r="N422" s="54" t="s">
        <v>2617</v>
      </c>
      <c r="O422" s="54" t="s">
        <v>2426</v>
      </c>
      <c r="P422" s="54">
        <v>40562</v>
      </c>
      <c r="Q422" s="54" t="s">
        <v>2357</v>
      </c>
      <c r="R422" s="54" t="s">
        <v>2358</v>
      </c>
      <c r="S422" s="54"/>
      <c r="T422" s="54">
        <v>82120937403</v>
      </c>
      <c r="U422" s="54"/>
      <c r="V422" s="54"/>
      <c r="W422" s="54" t="s">
        <v>2359</v>
      </c>
      <c r="X422" s="54"/>
      <c r="Y422" s="54"/>
      <c r="Z422" s="54">
        <v>1976</v>
      </c>
      <c r="AA422" s="54" t="s">
        <v>2402</v>
      </c>
      <c r="AB422" s="54" t="s">
        <v>2362</v>
      </c>
      <c r="AC422" s="54" t="s">
        <v>2363</v>
      </c>
      <c r="AD422" s="54"/>
      <c r="AE422" s="54" t="s">
        <v>3742</v>
      </c>
      <c r="AF422" s="54">
        <v>1986</v>
      </c>
      <c r="AG422" s="54" t="s">
        <v>2402</v>
      </c>
      <c r="AH422" s="54" t="s">
        <v>2365</v>
      </c>
      <c r="AI422" s="54" t="s">
        <v>2366</v>
      </c>
      <c r="AJ422" s="54"/>
      <c r="AK422" s="54"/>
      <c r="AL422" s="54"/>
      <c r="AM422" s="54"/>
      <c r="AN422" s="54"/>
      <c r="AO422" s="54"/>
      <c r="AP422" s="54"/>
      <c r="AQ422" s="54" t="s">
        <v>5147</v>
      </c>
      <c r="AR422" s="54"/>
      <c r="AS422" s="54"/>
      <c r="AT422" s="54" t="s">
        <v>2359</v>
      </c>
      <c r="AU422" s="54"/>
      <c r="AV422" s="54">
        <v>0</v>
      </c>
      <c r="AW422" s="54"/>
      <c r="AX422" s="54"/>
      <c r="AY422" s="54"/>
      <c r="AZ422" s="54"/>
      <c r="BA422" s="54"/>
      <c r="BB422" s="54" t="s">
        <v>2369</v>
      </c>
      <c r="BC422" s="54" t="s">
        <v>2370</v>
      </c>
      <c r="BD422" s="54" t="s">
        <v>2371</v>
      </c>
      <c r="BE422" s="54"/>
      <c r="BF422" s="54">
        <v>1</v>
      </c>
      <c r="BG422" s="54">
        <v>-6.9625000000000004</v>
      </c>
      <c r="BH422" s="54">
        <v>107.4346</v>
      </c>
      <c r="BI422" s="54"/>
      <c r="BJ422" s="54">
        <v>45</v>
      </c>
      <c r="BK422" s="54">
        <v>141</v>
      </c>
      <c r="BL422" s="54">
        <v>54</v>
      </c>
      <c r="BM422" s="54">
        <v>1</v>
      </c>
      <c r="BN422" s="54">
        <v>2</v>
      </c>
    </row>
    <row r="423" spans="1:66" hidden="1" x14ac:dyDescent="0.3">
      <c r="A423" s="3">
        <v>417</v>
      </c>
      <c r="B423" s="3" t="s">
        <v>4145</v>
      </c>
      <c r="C423" s="3" t="s">
        <v>4310</v>
      </c>
      <c r="D423" s="3" t="s">
        <v>52</v>
      </c>
      <c r="E423" s="3">
        <v>3103230921</v>
      </c>
      <c r="F423" s="3" t="s">
        <v>2377</v>
      </c>
      <c r="G423" s="157">
        <v>40199</v>
      </c>
      <c r="H423" s="3">
        <v>3217112101100000</v>
      </c>
      <c r="I423" s="3" t="s">
        <v>2353</v>
      </c>
      <c r="J423" s="3" t="s">
        <v>2616</v>
      </c>
      <c r="K423" s="3">
        <v>1</v>
      </c>
      <c r="L423" s="3">
        <v>7</v>
      </c>
      <c r="M423" s="3"/>
      <c r="N423" s="3" t="s">
        <v>4455</v>
      </c>
      <c r="O423" s="3" t="s">
        <v>2426</v>
      </c>
      <c r="P423" s="3">
        <v>40562</v>
      </c>
      <c r="Q423" s="3" t="s">
        <v>2357</v>
      </c>
      <c r="R423" s="3" t="s">
        <v>2358</v>
      </c>
      <c r="S423" s="3"/>
      <c r="T423" s="3"/>
      <c r="U423" s="3"/>
      <c r="V423" s="3"/>
      <c r="W423" s="3" t="s">
        <v>2359</v>
      </c>
      <c r="X423" s="3"/>
      <c r="Y423" s="3" t="s">
        <v>4937</v>
      </c>
      <c r="Z423" s="3">
        <v>1982</v>
      </c>
      <c r="AA423" s="3" t="s">
        <v>2402</v>
      </c>
      <c r="AB423" s="3" t="s">
        <v>2362</v>
      </c>
      <c r="AC423" s="3" t="s">
        <v>2403</v>
      </c>
      <c r="AD423" s="3">
        <v>3217112811820000</v>
      </c>
      <c r="AE423" s="3" t="s">
        <v>4147</v>
      </c>
      <c r="AF423" s="3">
        <v>1984</v>
      </c>
      <c r="AG423" s="3" t="s">
        <v>2361</v>
      </c>
      <c r="AH423" s="3" t="s">
        <v>2365</v>
      </c>
      <c r="AI423" s="3" t="s">
        <v>2366</v>
      </c>
      <c r="AJ423" s="3">
        <v>3217115107840010</v>
      </c>
      <c r="AK423" s="3"/>
      <c r="AL423" s="3"/>
      <c r="AM423" s="3"/>
      <c r="AN423" s="3"/>
      <c r="AO423" s="3"/>
      <c r="AP423" s="3"/>
      <c r="AQ423" s="3" t="s">
        <v>5150</v>
      </c>
      <c r="AR423" s="3"/>
      <c r="AS423" s="3"/>
      <c r="AT423" s="3" t="s">
        <v>2369</v>
      </c>
      <c r="AU423" s="3"/>
      <c r="AV423" s="3">
        <v>1</v>
      </c>
      <c r="AW423" s="3"/>
      <c r="AX423" s="3" t="s">
        <v>4146</v>
      </c>
      <c r="AY423" s="3"/>
      <c r="AZ423" s="3"/>
      <c r="BA423" s="3"/>
      <c r="BB423" s="3" t="s">
        <v>2369</v>
      </c>
      <c r="BC423" s="3"/>
      <c r="BD423" s="3" t="s">
        <v>2371</v>
      </c>
      <c r="BE423" s="3" t="s">
        <v>2669</v>
      </c>
      <c r="BF423" s="3">
        <v>1</v>
      </c>
      <c r="BG423" s="3">
        <v>-6.9625000000000004</v>
      </c>
      <c r="BH423" s="3">
        <v>107.4346</v>
      </c>
      <c r="BI423" s="3">
        <v>3217110902100010</v>
      </c>
      <c r="BJ423" s="3">
        <v>41</v>
      </c>
      <c r="BK423" s="3">
        <v>138</v>
      </c>
      <c r="BL423" s="3">
        <v>51</v>
      </c>
      <c r="BM423" s="3">
        <v>1</v>
      </c>
      <c r="BN423" s="3">
        <v>2</v>
      </c>
    </row>
    <row r="424" spans="1:66" s="219" customFormat="1" hidden="1" x14ac:dyDescent="0.3">
      <c r="A424" s="54">
        <v>418</v>
      </c>
      <c r="B424" s="54" t="s">
        <v>1370</v>
      </c>
      <c r="C424" s="54" t="s">
        <v>1508</v>
      </c>
      <c r="D424" s="54" t="s">
        <v>53</v>
      </c>
      <c r="E424" s="54">
        <v>99260756</v>
      </c>
      <c r="F424" s="54" t="s">
        <v>2446</v>
      </c>
      <c r="G424" s="108">
        <v>40097</v>
      </c>
      <c r="H424" s="54">
        <v>3217115110090000</v>
      </c>
      <c r="I424" s="54" t="s">
        <v>2353</v>
      </c>
      <c r="J424" s="54" t="s">
        <v>2565</v>
      </c>
      <c r="K424" s="54">
        <v>1</v>
      </c>
      <c r="L424" s="54">
        <v>3</v>
      </c>
      <c r="M424" s="54"/>
      <c r="N424" s="54" t="s">
        <v>2566</v>
      </c>
      <c r="O424" s="54" t="s">
        <v>2426</v>
      </c>
      <c r="P424" s="54">
        <v>40562</v>
      </c>
      <c r="Q424" s="54" t="s">
        <v>2470</v>
      </c>
      <c r="R424" s="54" t="s">
        <v>2374</v>
      </c>
      <c r="S424" s="54"/>
      <c r="T424" s="54">
        <v>83820243826</v>
      </c>
      <c r="U424" s="54"/>
      <c r="V424" s="54"/>
      <c r="W424" s="54" t="s">
        <v>2369</v>
      </c>
      <c r="X424" s="54" t="s">
        <v>3537</v>
      </c>
      <c r="Y424" s="54" t="s">
        <v>3538</v>
      </c>
      <c r="Z424" s="54">
        <v>1978</v>
      </c>
      <c r="AA424" s="54" t="s">
        <v>2390</v>
      </c>
      <c r="AB424" s="54" t="s">
        <v>2362</v>
      </c>
      <c r="AC424" s="54" t="s">
        <v>2363</v>
      </c>
      <c r="AD424" s="54"/>
      <c r="AE424" s="54" t="s">
        <v>3539</v>
      </c>
      <c r="AF424" s="54">
        <v>1985</v>
      </c>
      <c r="AG424" s="54" t="s">
        <v>2390</v>
      </c>
      <c r="AH424" s="54" t="s">
        <v>2365</v>
      </c>
      <c r="AI424" s="54" t="s">
        <v>2366</v>
      </c>
      <c r="AJ424" s="54"/>
      <c r="AK424" s="54" t="s">
        <v>3540</v>
      </c>
      <c r="AL424" s="54">
        <v>1960</v>
      </c>
      <c r="AM424" s="54" t="s">
        <v>2390</v>
      </c>
      <c r="AN424" s="54" t="s">
        <v>2362</v>
      </c>
      <c r="AO424" s="54" t="s">
        <v>2403</v>
      </c>
      <c r="AP424" s="54">
        <v>3217114408680000</v>
      </c>
      <c r="AQ424" s="54" t="s">
        <v>5147</v>
      </c>
      <c r="AR424" s="54"/>
      <c r="AS424" s="54"/>
      <c r="AT424" s="54" t="s">
        <v>2359</v>
      </c>
      <c r="AU424" s="54"/>
      <c r="AV424" s="54">
        <v>1</v>
      </c>
      <c r="AW424" s="54"/>
      <c r="AX424" s="54"/>
      <c r="AY424" s="54"/>
      <c r="AZ424" s="54"/>
      <c r="BA424" s="54"/>
      <c r="BB424" s="54" t="s">
        <v>2369</v>
      </c>
      <c r="BC424" s="54" t="s">
        <v>2370</v>
      </c>
      <c r="BD424" s="54" t="s">
        <v>2371</v>
      </c>
      <c r="BE424" s="54"/>
      <c r="BF424" s="54">
        <v>1</v>
      </c>
      <c r="BG424" s="54">
        <v>-6.9743000000000004</v>
      </c>
      <c r="BH424" s="54">
        <v>107.43559999999999</v>
      </c>
      <c r="BI424" s="54"/>
      <c r="BJ424" s="54">
        <v>40</v>
      </c>
      <c r="BK424" s="54">
        <v>142</v>
      </c>
      <c r="BL424" s="54">
        <v>54</v>
      </c>
      <c r="BM424" s="54">
        <v>1</v>
      </c>
      <c r="BN424" s="54">
        <v>1</v>
      </c>
    </row>
    <row r="425" spans="1:66" hidden="1" x14ac:dyDescent="0.3">
      <c r="A425" s="3">
        <v>419</v>
      </c>
      <c r="B425" s="3" t="s">
        <v>3924</v>
      </c>
      <c r="C425" s="3" t="s">
        <v>4382</v>
      </c>
      <c r="D425" s="3" t="s">
        <v>53</v>
      </c>
      <c r="E425" s="3">
        <v>111966571</v>
      </c>
      <c r="F425" s="3" t="s">
        <v>2377</v>
      </c>
      <c r="G425" s="157">
        <v>40605</v>
      </c>
      <c r="H425" s="3">
        <v>3217124303110000</v>
      </c>
      <c r="I425" s="3" t="s">
        <v>2353</v>
      </c>
      <c r="J425" s="3" t="s">
        <v>4723</v>
      </c>
      <c r="K425" s="3">
        <v>2</v>
      </c>
      <c r="L425" s="3">
        <v>2</v>
      </c>
      <c r="M425" s="3"/>
      <c r="N425" s="3" t="s">
        <v>4475</v>
      </c>
      <c r="O425" s="3" t="s">
        <v>2356</v>
      </c>
      <c r="P425" s="3">
        <v>40564</v>
      </c>
      <c r="Q425" s="3" t="s">
        <v>2357</v>
      </c>
      <c r="R425" s="3" t="s">
        <v>2358</v>
      </c>
      <c r="S425" s="3"/>
      <c r="T425" s="3">
        <v>83168466829</v>
      </c>
      <c r="U425" s="3"/>
      <c r="V425" s="3"/>
      <c r="W425" s="3" t="s">
        <v>2359</v>
      </c>
      <c r="X425" s="3"/>
      <c r="Y425" s="3" t="s">
        <v>4938</v>
      </c>
      <c r="Z425" s="3">
        <v>1970</v>
      </c>
      <c r="AA425" s="3" t="s">
        <v>2361</v>
      </c>
      <c r="AB425" s="3" t="s">
        <v>2867</v>
      </c>
      <c r="AC425" s="3" t="s">
        <v>2366</v>
      </c>
      <c r="AD425" s="3">
        <v>3217122007700000</v>
      </c>
      <c r="AE425" s="3" t="s">
        <v>4008</v>
      </c>
      <c r="AF425" s="3">
        <v>1976</v>
      </c>
      <c r="AG425" s="3" t="s">
        <v>2361</v>
      </c>
      <c r="AH425" s="3" t="s">
        <v>2365</v>
      </c>
      <c r="AI425" s="3" t="s">
        <v>2366</v>
      </c>
      <c r="AJ425" s="3">
        <v>3217126807760000</v>
      </c>
      <c r="AK425" s="3"/>
      <c r="AL425" s="3"/>
      <c r="AM425" s="3" t="s">
        <v>2367</v>
      </c>
      <c r="AN425" s="3"/>
      <c r="AO425" s="3"/>
      <c r="AP425" s="3"/>
      <c r="AQ425" s="3" t="s">
        <v>5151</v>
      </c>
      <c r="AR425" s="3"/>
      <c r="AS425" s="3"/>
      <c r="AT425" s="3" t="s">
        <v>2359</v>
      </c>
      <c r="AU425" s="3"/>
      <c r="AV425" s="3">
        <v>1</v>
      </c>
      <c r="AW425" s="3"/>
      <c r="AX425" s="3" t="s">
        <v>4939</v>
      </c>
      <c r="AY425" s="3"/>
      <c r="AZ425" s="3"/>
      <c r="BA425" s="3"/>
      <c r="BB425" s="3" t="s">
        <v>2369</v>
      </c>
      <c r="BC425" s="3" t="s">
        <v>2370</v>
      </c>
      <c r="BD425" s="3" t="s">
        <v>2371</v>
      </c>
      <c r="BE425" s="3" t="s">
        <v>2477</v>
      </c>
      <c r="BF425" s="3">
        <v>3</v>
      </c>
      <c r="BG425" s="3">
        <v>-6.9661</v>
      </c>
      <c r="BH425" s="3">
        <v>107.4057</v>
      </c>
      <c r="BI425" s="3">
        <v>3217121105180000</v>
      </c>
      <c r="BJ425" s="3">
        <v>42</v>
      </c>
      <c r="BK425" s="3">
        <v>144</v>
      </c>
      <c r="BL425" s="3">
        <v>55</v>
      </c>
      <c r="BM425" s="3">
        <v>1</v>
      </c>
      <c r="BN425" s="3">
        <v>2</v>
      </c>
    </row>
    <row r="426" spans="1:66" hidden="1" x14ac:dyDescent="0.3">
      <c r="A426" s="3">
        <v>420</v>
      </c>
      <c r="B426" s="3" t="s">
        <v>4213</v>
      </c>
      <c r="C426" s="3" t="s">
        <v>4285</v>
      </c>
      <c r="D426" s="3" t="s">
        <v>53</v>
      </c>
      <c r="E426" s="3">
        <v>117061330</v>
      </c>
      <c r="F426" s="3" t="s">
        <v>2377</v>
      </c>
      <c r="G426" s="157">
        <v>40656</v>
      </c>
      <c r="H426" s="3">
        <v>3217126304120000</v>
      </c>
      <c r="I426" s="3" t="s">
        <v>2353</v>
      </c>
      <c r="J426" s="3" t="s">
        <v>4940</v>
      </c>
      <c r="K426" s="3">
        <v>1</v>
      </c>
      <c r="L426" s="3">
        <v>7</v>
      </c>
      <c r="M426" s="3"/>
      <c r="N426" s="3" t="s">
        <v>4557</v>
      </c>
      <c r="O426" s="3" t="s">
        <v>2356</v>
      </c>
      <c r="P426" s="3">
        <v>40764</v>
      </c>
      <c r="Q426" s="3" t="s">
        <v>2357</v>
      </c>
      <c r="R426" s="3" t="s">
        <v>2358</v>
      </c>
      <c r="S426" s="3"/>
      <c r="T426" s="3">
        <v>83821653929</v>
      </c>
      <c r="U426" s="3"/>
      <c r="V426" s="3"/>
      <c r="W426" s="3" t="s">
        <v>2359</v>
      </c>
      <c r="X426" s="3"/>
      <c r="Y426" s="3" t="s">
        <v>4941</v>
      </c>
      <c r="Z426" s="3">
        <v>1968</v>
      </c>
      <c r="AA426" s="3" t="s">
        <v>2361</v>
      </c>
      <c r="AB426" s="3" t="s">
        <v>2362</v>
      </c>
      <c r="AC426" s="3" t="s">
        <v>2403</v>
      </c>
      <c r="AD426" s="3">
        <v>3217120506680010</v>
      </c>
      <c r="AE426" s="3" t="s">
        <v>4942</v>
      </c>
      <c r="AF426" s="3">
        <v>1979</v>
      </c>
      <c r="AG426" s="3" t="s">
        <v>2361</v>
      </c>
      <c r="AH426" s="3" t="s">
        <v>2365</v>
      </c>
      <c r="AI426" s="3" t="s">
        <v>2366</v>
      </c>
      <c r="AJ426" s="3">
        <v>3217124406790020</v>
      </c>
      <c r="AK426" s="3"/>
      <c r="AL426" s="3"/>
      <c r="AM426" s="3" t="s">
        <v>2367</v>
      </c>
      <c r="AN426" s="3"/>
      <c r="AO426" s="3"/>
      <c r="AP426" s="3"/>
      <c r="AQ426" s="3" t="s">
        <v>5149</v>
      </c>
      <c r="AR426" s="3"/>
      <c r="AS426" s="3"/>
      <c r="AT426" s="3" t="s">
        <v>2359</v>
      </c>
      <c r="AU426" s="3"/>
      <c r="AV426" s="3">
        <v>0</v>
      </c>
      <c r="AW426" s="3"/>
      <c r="AX426" s="3" t="s">
        <v>4943</v>
      </c>
      <c r="AY426" s="3"/>
      <c r="AZ426" s="3"/>
      <c r="BA426" s="3"/>
      <c r="BB426" s="3" t="s">
        <v>2369</v>
      </c>
      <c r="BC426" s="3" t="s">
        <v>2370</v>
      </c>
      <c r="BD426" s="3" t="s">
        <v>2371</v>
      </c>
      <c r="BE426" s="3" t="s">
        <v>2880</v>
      </c>
      <c r="BF426" s="3">
        <v>2</v>
      </c>
      <c r="BG426" s="3">
        <v>-6.955714908</v>
      </c>
      <c r="BH426" s="3">
        <v>107.399919</v>
      </c>
      <c r="BI426" s="3">
        <v>3217122803070000</v>
      </c>
      <c r="BJ426" s="3">
        <v>42</v>
      </c>
      <c r="BK426" s="3">
        <v>136</v>
      </c>
      <c r="BL426" s="3">
        <v>54</v>
      </c>
      <c r="BM426" s="3">
        <v>1</v>
      </c>
      <c r="BN426" s="3">
        <v>3</v>
      </c>
    </row>
    <row r="427" spans="1:66" s="219" customFormat="1" hidden="1" x14ac:dyDescent="0.3">
      <c r="A427" s="54">
        <v>421</v>
      </c>
      <c r="B427" s="54" t="s">
        <v>1912</v>
      </c>
      <c r="C427" s="54" t="s">
        <v>1592</v>
      </c>
      <c r="D427" s="54" t="s">
        <v>52</v>
      </c>
      <c r="E427" s="54">
        <v>3081611810</v>
      </c>
      <c r="F427" s="54" t="s">
        <v>2446</v>
      </c>
      <c r="G427" s="108">
        <v>39627</v>
      </c>
      <c r="H427" s="54">
        <v>3217112410050000</v>
      </c>
      <c r="I427" s="54" t="s">
        <v>2353</v>
      </c>
      <c r="J427" s="54" t="s">
        <v>2656</v>
      </c>
      <c r="K427" s="54">
        <v>3</v>
      </c>
      <c r="L427" s="54">
        <v>6</v>
      </c>
      <c r="M427" s="54"/>
      <c r="N427" s="54" t="s">
        <v>2425</v>
      </c>
      <c r="O427" s="54" t="s">
        <v>2426</v>
      </c>
      <c r="P427" s="54">
        <v>40562</v>
      </c>
      <c r="Q427" s="54" t="s">
        <v>2357</v>
      </c>
      <c r="R427" s="54" t="s">
        <v>2358</v>
      </c>
      <c r="S427" s="54"/>
      <c r="T427" s="54">
        <v>85215593321</v>
      </c>
      <c r="U427" s="54"/>
      <c r="V427" s="54"/>
      <c r="W427" s="54" t="s">
        <v>2359</v>
      </c>
      <c r="X427" s="54"/>
      <c r="Y427" s="54"/>
      <c r="Z427" s="54">
        <v>1971</v>
      </c>
      <c r="AA427" s="54" t="s">
        <v>2390</v>
      </c>
      <c r="AB427" s="54" t="s">
        <v>2362</v>
      </c>
      <c r="AC427" s="54" t="s">
        <v>2375</v>
      </c>
      <c r="AD427" s="54"/>
      <c r="AE427" s="54" t="s">
        <v>3743</v>
      </c>
      <c r="AF427" s="54">
        <v>1975</v>
      </c>
      <c r="AG427" s="54" t="s">
        <v>2390</v>
      </c>
      <c r="AH427" s="54" t="s">
        <v>2365</v>
      </c>
      <c r="AI427" s="54" t="s">
        <v>2366</v>
      </c>
      <c r="AJ427" s="54"/>
      <c r="AK427" s="54"/>
      <c r="AL427" s="54"/>
      <c r="AM427" s="54"/>
      <c r="AN427" s="54"/>
      <c r="AO427" s="54"/>
      <c r="AP427" s="54"/>
      <c r="AQ427" s="54" t="s">
        <v>5147</v>
      </c>
      <c r="AR427" s="54"/>
      <c r="AS427" s="54"/>
      <c r="AT427" s="54" t="s">
        <v>2359</v>
      </c>
      <c r="AU427" s="54"/>
      <c r="AV427" s="54">
        <v>0</v>
      </c>
      <c r="AW427" s="54"/>
      <c r="AX427" s="54" t="s">
        <v>3744</v>
      </c>
      <c r="AY427" s="54"/>
      <c r="AZ427" s="54"/>
      <c r="BA427" s="54"/>
      <c r="BB427" s="54" t="s">
        <v>2369</v>
      </c>
      <c r="BC427" s="54" t="s">
        <v>2370</v>
      </c>
      <c r="BD427" s="54" t="s">
        <v>2371</v>
      </c>
      <c r="BE427" s="54"/>
      <c r="BF427" s="54">
        <v>1</v>
      </c>
      <c r="BG427" s="54">
        <v>-6.9625000000000004</v>
      </c>
      <c r="BH427" s="54">
        <v>107.4346</v>
      </c>
      <c r="BI427" s="54">
        <v>3217112905050240</v>
      </c>
      <c r="BJ427" s="54">
        <v>46</v>
      </c>
      <c r="BK427" s="54">
        <v>144</v>
      </c>
      <c r="BL427" s="54">
        <v>56</v>
      </c>
      <c r="BM427" s="54">
        <v>1</v>
      </c>
      <c r="BN427" s="54">
        <v>1</v>
      </c>
    </row>
    <row r="428" spans="1:66" s="219" customFormat="1" hidden="1" x14ac:dyDescent="0.3">
      <c r="A428" s="54">
        <v>422</v>
      </c>
      <c r="B428" s="54" t="s">
        <v>1761</v>
      </c>
      <c r="C428" s="54" t="s">
        <v>2266</v>
      </c>
      <c r="D428" s="54" t="s">
        <v>52</v>
      </c>
      <c r="E428" s="54">
        <v>3099939063</v>
      </c>
      <c r="F428" s="54" t="s">
        <v>2373</v>
      </c>
      <c r="G428" s="108">
        <v>40090</v>
      </c>
      <c r="H428" s="54">
        <v>3217114401090000</v>
      </c>
      <c r="I428" s="54" t="s">
        <v>2353</v>
      </c>
      <c r="J428" s="54" t="s">
        <v>2616</v>
      </c>
      <c r="K428" s="54">
        <v>1</v>
      </c>
      <c r="L428" s="54">
        <v>11</v>
      </c>
      <c r="M428" s="54"/>
      <c r="N428" s="54" t="s">
        <v>2425</v>
      </c>
      <c r="O428" s="54" t="s">
        <v>2426</v>
      </c>
      <c r="P428" s="54">
        <v>40560</v>
      </c>
      <c r="Q428" s="54" t="s">
        <v>2357</v>
      </c>
      <c r="R428" s="54" t="s">
        <v>2358</v>
      </c>
      <c r="S428" s="54"/>
      <c r="T428" s="54"/>
      <c r="U428" s="54"/>
      <c r="V428" s="54"/>
      <c r="W428" s="54" t="s">
        <v>2359</v>
      </c>
      <c r="X428" s="54"/>
      <c r="Y428" s="54" t="s">
        <v>4944</v>
      </c>
      <c r="Z428" s="54">
        <v>1987</v>
      </c>
      <c r="AA428" s="54" t="s">
        <v>2361</v>
      </c>
      <c r="AB428" s="54" t="s">
        <v>2362</v>
      </c>
      <c r="AC428" s="54" t="s">
        <v>2363</v>
      </c>
      <c r="AD428" s="54">
        <v>3217110809870010</v>
      </c>
      <c r="AE428" s="54" t="s">
        <v>3052</v>
      </c>
      <c r="AF428" s="54">
        <v>1985</v>
      </c>
      <c r="AG428" s="54" t="s">
        <v>2361</v>
      </c>
      <c r="AH428" s="54" t="s">
        <v>2365</v>
      </c>
      <c r="AI428" s="54" t="s">
        <v>2366</v>
      </c>
      <c r="AJ428" s="54">
        <v>3217114607850020</v>
      </c>
      <c r="AK428" s="54"/>
      <c r="AL428" s="54"/>
      <c r="AM428" s="54"/>
      <c r="AN428" s="54"/>
      <c r="AO428" s="54"/>
      <c r="AP428" s="54"/>
      <c r="AQ428" s="54" t="s">
        <v>8182</v>
      </c>
      <c r="AR428" s="54"/>
      <c r="AS428" s="54"/>
      <c r="AT428" s="54" t="s">
        <v>2369</v>
      </c>
      <c r="AU428" s="54"/>
      <c r="AV428" s="54">
        <v>1</v>
      </c>
      <c r="AW428" s="54"/>
      <c r="AX428" s="54" t="s">
        <v>4945</v>
      </c>
      <c r="AY428" s="54"/>
      <c r="AZ428" s="54"/>
      <c r="BA428" s="54"/>
      <c r="BB428" s="54" t="s">
        <v>2369</v>
      </c>
      <c r="BC428" s="54"/>
      <c r="BD428" s="54" t="s">
        <v>2371</v>
      </c>
      <c r="BE428" s="54" t="s">
        <v>2669</v>
      </c>
      <c r="BF428" s="54">
        <v>1</v>
      </c>
      <c r="BG428" s="54">
        <v>-6.9625000000000004</v>
      </c>
      <c r="BH428" s="54">
        <v>107.4346</v>
      </c>
      <c r="BI428" s="54">
        <v>3217111408120020</v>
      </c>
      <c r="BJ428" s="54">
        <v>40</v>
      </c>
      <c r="BK428" s="54">
        <v>135</v>
      </c>
      <c r="BL428" s="54">
        <v>54</v>
      </c>
      <c r="BM428" s="54">
        <v>2</v>
      </c>
      <c r="BN428" s="54">
        <v>2</v>
      </c>
    </row>
    <row r="429" spans="1:66" hidden="1" x14ac:dyDescent="0.3">
      <c r="A429" s="3">
        <v>423</v>
      </c>
      <c r="B429" s="3" t="s">
        <v>4946</v>
      </c>
      <c r="C429" s="3" t="s">
        <v>4348</v>
      </c>
      <c r="D429" s="3" t="s">
        <v>53</v>
      </c>
      <c r="E429" s="3">
        <v>119391365</v>
      </c>
      <c r="F429" s="3" t="s">
        <v>2373</v>
      </c>
      <c r="G429" s="157">
        <v>40545</v>
      </c>
      <c r="H429" s="3">
        <v>3217124201110000</v>
      </c>
      <c r="I429" s="3" t="s">
        <v>2353</v>
      </c>
      <c r="J429" s="3" t="s">
        <v>4524</v>
      </c>
      <c r="K429" s="3">
        <v>2</v>
      </c>
      <c r="L429" s="3">
        <v>11</v>
      </c>
      <c r="M429" s="3"/>
      <c r="N429" s="3" t="s">
        <v>4475</v>
      </c>
      <c r="O429" s="3" t="s">
        <v>2356</v>
      </c>
      <c r="P429" s="3">
        <v>40764</v>
      </c>
      <c r="Q429" s="3" t="s">
        <v>2357</v>
      </c>
      <c r="R429" s="3" t="s">
        <v>2358</v>
      </c>
      <c r="S429" s="3"/>
      <c r="T429" s="3">
        <v>83143309471</v>
      </c>
      <c r="U429" s="3"/>
      <c r="V429" s="3"/>
      <c r="W429" s="3" t="s">
        <v>2359</v>
      </c>
      <c r="X429" s="3"/>
      <c r="Y429" s="3" t="s">
        <v>4947</v>
      </c>
      <c r="Z429" s="3">
        <v>1977</v>
      </c>
      <c r="AA429" s="3" t="s">
        <v>2402</v>
      </c>
      <c r="AB429" s="3" t="s">
        <v>2362</v>
      </c>
      <c r="AC429" s="3" t="s">
        <v>2363</v>
      </c>
      <c r="AD429" s="3">
        <v>3217122407770000</v>
      </c>
      <c r="AE429" s="3" t="s">
        <v>3139</v>
      </c>
      <c r="AF429" s="3">
        <v>1986</v>
      </c>
      <c r="AG429" s="3" t="s">
        <v>2402</v>
      </c>
      <c r="AH429" s="3" t="s">
        <v>2365</v>
      </c>
      <c r="AI429" s="3" t="s">
        <v>2366</v>
      </c>
      <c r="AJ429" s="3">
        <v>3217126307860000</v>
      </c>
      <c r="AK429" s="3"/>
      <c r="AL429" s="3"/>
      <c r="AM429" s="3" t="s">
        <v>2367</v>
      </c>
      <c r="AN429" s="3"/>
      <c r="AO429" s="3"/>
      <c r="AP429" s="3"/>
      <c r="AQ429" s="3" t="s">
        <v>5152</v>
      </c>
      <c r="AR429" s="3"/>
      <c r="AS429" s="3" t="s">
        <v>4948</v>
      </c>
      <c r="AT429" s="3" t="s">
        <v>2359</v>
      </c>
      <c r="AU429" s="3"/>
      <c r="AV429" s="3">
        <v>0</v>
      </c>
      <c r="AW429" s="3"/>
      <c r="AX429" s="3" t="s">
        <v>4049</v>
      </c>
      <c r="AY429" s="3"/>
      <c r="AZ429" s="3"/>
      <c r="BA429" s="3"/>
      <c r="BB429" s="3" t="s">
        <v>2369</v>
      </c>
      <c r="BC429" s="3" t="s">
        <v>2370</v>
      </c>
      <c r="BD429" s="3" t="s">
        <v>2371</v>
      </c>
      <c r="BE429" s="3" t="s">
        <v>2553</v>
      </c>
      <c r="BF429" s="3">
        <v>2</v>
      </c>
      <c r="BG429" s="3">
        <v>-7.0068000000000001</v>
      </c>
      <c r="BH429" s="3">
        <v>107.2349</v>
      </c>
      <c r="BI429" s="3">
        <v>3217120904080070</v>
      </c>
      <c r="BJ429" s="3">
        <v>48</v>
      </c>
      <c r="BK429" s="3">
        <v>143</v>
      </c>
      <c r="BL429" s="3">
        <v>54</v>
      </c>
      <c r="BM429" s="3">
        <v>1</v>
      </c>
      <c r="BN429" s="3">
        <v>2</v>
      </c>
    </row>
    <row r="430" spans="1:66" s="219" customFormat="1" hidden="1" x14ac:dyDescent="0.3">
      <c r="A430" s="54">
        <v>424</v>
      </c>
      <c r="B430" s="54" t="s">
        <v>2077</v>
      </c>
      <c r="C430" s="54" t="s">
        <v>2153</v>
      </c>
      <c r="D430" s="54" t="s">
        <v>53</v>
      </c>
      <c r="E430" s="54">
        <v>98742920</v>
      </c>
      <c r="F430" s="54" t="s">
        <v>2373</v>
      </c>
      <c r="G430" s="108">
        <v>40083</v>
      </c>
      <c r="H430" s="54">
        <v>3217126709090000</v>
      </c>
      <c r="I430" s="54" t="s">
        <v>2353</v>
      </c>
      <c r="J430" s="54" t="s">
        <v>2633</v>
      </c>
      <c r="K430" s="54">
        <v>1</v>
      </c>
      <c r="L430" s="54">
        <v>11</v>
      </c>
      <c r="M430" s="54"/>
      <c r="N430" s="54" t="s">
        <v>2513</v>
      </c>
      <c r="O430" s="54" t="s">
        <v>2356</v>
      </c>
      <c r="P430" s="54"/>
      <c r="Q430" s="54" t="s">
        <v>2357</v>
      </c>
      <c r="R430" s="54" t="s">
        <v>2358</v>
      </c>
      <c r="S430" s="54"/>
      <c r="T430" s="54">
        <v>887824495822</v>
      </c>
      <c r="U430" s="54"/>
      <c r="V430" s="54"/>
      <c r="W430" s="54" t="s">
        <v>2359</v>
      </c>
      <c r="X430" s="54"/>
      <c r="Y430" s="54" t="s">
        <v>2634</v>
      </c>
      <c r="Z430" s="54">
        <v>1969</v>
      </c>
      <c r="AA430" s="54" t="s">
        <v>2402</v>
      </c>
      <c r="AB430" s="54" t="s">
        <v>2362</v>
      </c>
      <c r="AC430" s="54" t="s">
        <v>2363</v>
      </c>
      <c r="AD430" s="54">
        <v>3217122808690000</v>
      </c>
      <c r="AE430" s="54" t="s">
        <v>2635</v>
      </c>
      <c r="AF430" s="54">
        <v>1973</v>
      </c>
      <c r="AG430" s="54" t="s">
        <v>2361</v>
      </c>
      <c r="AH430" s="54" t="s">
        <v>2365</v>
      </c>
      <c r="AI430" s="54" t="s">
        <v>2366</v>
      </c>
      <c r="AJ430" s="54">
        <v>3217124607730020</v>
      </c>
      <c r="AK430" s="54"/>
      <c r="AL430" s="54"/>
      <c r="AM430" s="54" t="s">
        <v>2367</v>
      </c>
      <c r="AN430" s="54"/>
      <c r="AO430" s="54"/>
      <c r="AP430" s="54"/>
      <c r="AQ430" s="54" t="s">
        <v>8181</v>
      </c>
      <c r="AR430" s="54"/>
      <c r="AS430" s="54"/>
      <c r="AT430" s="54" t="s">
        <v>2359</v>
      </c>
      <c r="AU430" s="54"/>
      <c r="AV430" s="54">
        <v>0</v>
      </c>
      <c r="AW430" s="54" t="s">
        <v>2636</v>
      </c>
      <c r="AX430" s="54" t="s">
        <v>2637</v>
      </c>
      <c r="AY430" s="54"/>
      <c r="AZ430" s="54"/>
      <c r="BA430" s="54"/>
      <c r="BB430" s="54" t="s">
        <v>2369</v>
      </c>
      <c r="BC430" s="54" t="s">
        <v>2370</v>
      </c>
      <c r="BD430" s="54" t="s">
        <v>2371</v>
      </c>
      <c r="BE430" s="54" t="s">
        <v>2553</v>
      </c>
      <c r="BF430" s="54">
        <v>2</v>
      </c>
      <c r="BG430" s="54">
        <v>-7.0068000000000001</v>
      </c>
      <c r="BH430" s="54">
        <v>107.2349</v>
      </c>
      <c r="BI430" s="54">
        <v>3217121106070040</v>
      </c>
      <c r="BJ430" s="54">
        <v>56</v>
      </c>
      <c r="BK430" s="54">
        <v>141</v>
      </c>
      <c r="BL430" s="54">
        <v>0</v>
      </c>
      <c r="BM430" s="54">
        <v>0</v>
      </c>
      <c r="BN430" s="54">
        <v>0</v>
      </c>
    </row>
    <row r="431" spans="1:66" s="219" customFormat="1" hidden="1" x14ac:dyDescent="0.3">
      <c r="A431" s="54">
        <v>425</v>
      </c>
      <c r="B431" s="54" t="s">
        <v>1666</v>
      </c>
      <c r="C431" s="54" t="s">
        <v>2154</v>
      </c>
      <c r="D431" s="54" t="s">
        <v>53</v>
      </c>
      <c r="E431" s="54">
        <v>103265257</v>
      </c>
      <c r="F431" s="54" t="s">
        <v>2377</v>
      </c>
      <c r="G431" s="108">
        <v>40260</v>
      </c>
      <c r="H431" s="54">
        <v>3217126303100000</v>
      </c>
      <c r="I431" s="54" t="s">
        <v>2353</v>
      </c>
      <c r="J431" s="54" t="s">
        <v>2394</v>
      </c>
      <c r="K431" s="54">
        <v>3</v>
      </c>
      <c r="L431" s="54">
        <v>8</v>
      </c>
      <c r="M431" s="54"/>
      <c r="N431" s="54" t="s">
        <v>2513</v>
      </c>
      <c r="O431" s="54" t="s">
        <v>2356</v>
      </c>
      <c r="P431" s="54">
        <v>40764</v>
      </c>
      <c r="Q431" s="54" t="s">
        <v>2357</v>
      </c>
      <c r="R431" s="54" t="s">
        <v>2358</v>
      </c>
      <c r="S431" s="54"/>
      <c r="T431" s="54">
        <v>83829214287</v>
      </c>
      <c r="U431" s="54"/>
      <c r="V431" s="54"/>
      <c r="W431" s="54" t="s">
        <v>2359</v>
      </c>
      <c r="X431" s="54"/>
      <c r="Y431" s="54" t="s">
        <v>2638</v>
      </c>
      <c r="Z431" s="54">
        <v>1966</v>
      </c>
      <c r="AA431" s="54" t="s">
        <v>2361</v>
      </c>
      <c r="AB431" s="54" t="s">
        <v>2362</v>
      </c>
      <c r="AC431" s="54" t="s">
        <v>2403</v>
      </c>
      <c r="AD431" s="54"/>
      <c r="AE431" s="54" t="s">
        <v>2639</v>
      </c>
      <c r="AF431" s="54">
        <v>1974</v>
      </c>
      <c r="AG431" s="54" t="s">
        <v>2361</v>
      </c>
      <c r="AH431" s="54" t="s">
        <v>2362</v>
      </c>
      <c r="AI431" s="54" t="s">
        <v>2403</v>
      </c>
      <c r="AJ431" s="54">
        <v>3217124105740010</v>
      </c>
      <c r="AK431" s="54"/>
      <c r="AL431" s="54"/>
      <c r="AM431" s="54" t="s">
        <v>2367</v>
      </c>
      <c r="AN431" s="54"/>
      <c r="AO431" s="54"/>
      <c r="AP431" s="54"/>
      <c r="AQ431" s="54" t="s">
        <v>8181</v>
      </c>
      <c r="AR431" s="54"/>
      <c r="AS431" s="54"/>
      <c r="AT431" s="54" t="s">
        <v>2359</v>
      </c>
      <c r="AU431" s="54"/>
      <c r="AV431" s="54">
        <v>0</v>
      </c>
      <c r="AW431" s="54"/>
      <c r="AX431" s="54"/>
      <c r="AY431" s="54"/>
      <c r="AZ431" s="54"/>
      <c r="BA431" s="54"/>
      <c r="BB431" s="54" t="s">
        <v>2369</v>
      </c>
      <c r="BC431" s="54" t="s">
        <v>2370</v>
      </c>
      <c r="BD431" s="54" t="s">
        <v>2371</v>
      </c>
      <c r="BE431" s="54" t="s">
        <v>2477</v>
      </c>
      <c r="BF431" s="54">
        <v>4</v>
      </c>
      <c r="BG431" s="54">
        <v>-6.9661</v>
      </c>
      <c r="BH431" s="54">
        <v>107.4057</v>
      </c>
      <c r="BI431" s="54">
        <v>3217121809120020</v>
      </c>
      <c r="BJ431" s="54">
        <v>47</v>
      </c>
      <c r="BK431" s="54">
        <v>136</v>
      </c>
      <c r="BL431" s="54">
        <v>54</v>
      </c>
      <c r="BM431" s="54">
        <v>1</v>
      </c>
      <c r="BN431" s="54">
        <v>2</v>
      </c>
    </row>
    <row r="432" spans="1:66" s="219" customFormat="1" hidden="1" x14ac:dyDescent="0.3">
      <c r="A432" s="54">
        <v>426</v>
      </c>
      <c r="B432" s="54" t="s">
        <v>1666</v>
      </c>
      <c r="C432" s="54" t="s">
        <v>1509</v>
      </c>
      <c r="D432" s="54" t="s">
        <v>53</v>
      </c>
      <c r="E432" s="54">
        <v>84699812</v>
      </c>
      <c r="F432" s="54" t="s">
        <v>2352</v>
      </c>
      <c r="G432" s="108">
        <v>40013</v>
      </c>
      <c r="H432" s="54">
        <v>3217125907090000</v>
      </c>
      <c r="I432" s="54" t="s">
        <v>2353</v>
      </c>
      <c r="J432" s="54" t="s">
        <v>2732</v>
      </c>
      <c r="K432" s="54">
        <v>3</v>
      </c>
      <c r="L432" s="54">
        <v>1</v>
      </c>
      <c r="M432" s="54" t="s">
        <v>2733</v>
      </c>
      <c r="N432" s="54" t="s">
        <v>2399</v>
      </c>
      <c r="O432" s="54" t="s">
        <v>2356</v>
      </c>
      <c r="P432" s="54">
        <v>40564</v>
      </c>
      <c r="Q432" s="54" t="s">
        <v>2357</v>
      </c>
      <c r="R432" s="54" t="s">
        <v>2358</v>
      </c>
      <c r="S432" s="54"/>
      <c r="T432" s="54">
        <v>83101099530</v>
      </c>
      <c r="U432" s="54"/>
      <c r="V432" s="54"/>
      <c r="W432" s="54" t="s">
        <v>2369</v>
      </c>
      <c r="X432" s="54" t="s">
        <v>3541</v>
      </c>
      <c r="Y432" s="54" t="s">
        <v>3542</v>
      </c>
      <c r="Z432" s="54">
        <v>1969</v>
      </c>
      <c r="AA432" s="54" t="s">
        <v>2361</v>
      </c>
      <c r="AB432" s="54" t="s">
        <v>2362</v>
      </c>
      <c r="AC432" s="54" t="s">
        <v>2363</v>
      </c>
      <c r="AD432" s="54">
        <v>3217120508690000</v>
      </c>
      <c r="AE432" s="54" t="s">
        <v>3543</v>
      </c>
      <c r="AF432" s="54">
        <v>1972</v>
      </c>
      <c r="AG432" s="54" t="s">
        <v>2361</v>
      </c>
      <c r="AH432" s="54" t="s">
        <v>2365</v>
      </c>
      <c r="AI432" s="54" t="s">
        <v>2366</v>
      </c>
      <c r="AJ432" s="54">
        <v>3217125711720000</v>
      </c>
      <c r="AK432" s="54"/>
      <c r="AL432" s="54"/>
      <c r="AM432" s="54"/>
      <c r="AN432" s="54"/>
      <c r="AO432" s="54"/>
      <c r="AP432" s="54"/>
      <c r="AQ432" s="54" t="s">
        <v>5147</v>
      </c>
      <c r="AR432" s="54"/>
      <c r="AS432" s="54"/>
      <c r="AT432" s="54" t="s">
        <v>2369</v>
      </c>
      <c r="AU432" s="54" t="s">
        <v>3541</v>
      </c>
      <c r="AV432" s="54">
        <v>0</v>
      </c>
      <c r="AW432" s="54" t="s">
        <v>3541</v>
      </c>
      <c r="AX432" s="54"/>
      <c r="AY432" s="54" t="s">
        <v>2460</v>
      </c>
      <c r="AZ432" s="54">
        <v>411601003219500</v>
      </c>
      <c r="BA432" s="54" t="s">
        <v>1666</v>
      </c>
      <c r="BB432" s="54" t="s">
        <v>2369</v>
      </c>
      <c r="BC432" s="54" t="s">
        <v>2443</v>
      </c>
      <c r="BD432" s="54" t="s">
        <v>2371</v>
      </c>
      <c r="BE432" s="54"/>
      <c r="BF432" s="54">
        <v>4</v>
      </c>
      <c r="BG432" s="54">
        <v>-6.9546999999999999</v>
      </c>
      <c r="BH432" s="54">
        <v>107.39</v>
      </c>
      <c r="BI432" s="54"/>
      <c r="BJ432" s="54">
        <v>41</v>
      </c>
      <c r="BK432" s="54">
        <v>143</v>
      </c>
      <c r="BL432" s="54">
        <v>57</v>
      </c>
      <c r="BM432" s="54">
        <v>1</v>
      </c>
      <c r="BN432" s="54">
        <v>1</v>
      </c>
    </row>
    <row r="433" spans="1:66" hidden="1" x14ac:dyDescent="0.3">
      <c r="A433" s="3">
        <v>427</v>
      </c>
      <c r="B433" s="3" t="s">
        <v>4949</v>
      </c>
      <c r="C433" s="3" t="s">
        <v>4347</v>
      </c>
      <c r="D433" s="3" t="s">
        <v>52</v>
      </c>
      <c r="E433" s="3">
        <v>102191479</v>
      </c>
      <c r="F433" s="3" t="s">
        <v>2446</v>
      </c>
      <c r="G433" s="157">
        <v>40366</v>
      </c>
      <c r="H433" s="3">
        <v>3217120707100000</v>
      </c>
      <c r="I433" s="3" t="s">
        <v>2353</v>
      </c>
      <c r="J433" s="3" t="s">
        <v>2500</v>
      </c>
      <c r="K433" s="3">
        <v>4</v>
      </c>
      <c r="L433" s="3">
        <v>5</v>
      </c>
      <c r="M433" s="3" t="s">
        <v>2463</v>
      </c>
      <c r="N433" s="3" t="s">
        <v>4557</v>
      </c>
      <c r="O433" s="3" t="s">
        <v>2356</v>
      </c>
      <c r="P433" s="3">
        <v>40764</v>
      </c>
      <c r="Q433" s="3" t="s">
        <v>2357</v>
      </c>
      <c r="R433" s="3" t="s">
        <v>2374</v>
      </c>
      <c r="S433" s="3"/>
      <c r="T433" s="3">
        <v>81220531981</v>
      </c>
      <c r="U433" s="3"/>
      <c r="V433" s="3"/>
      <c r="W433" s="3" t="s">
        <v>2359</v>
      </c>
      <c r="X433" s="3"/>
      <c r="Y433" s="3" t="s">
        <v>3670</v>
      </c>
      <c r="Z433" s="3">
        <v>1977</v>
      </c>
      <c r="AA433" s="3" t="s">
        <v>2361</v>
      </c>
      <c r="AB433" s="3" t="s">
        <v>2362</v>
      </c>
      <c r="AC433" s="3" t="s">
        <v>2403</v>
      </c>
      <c r="AD433" s="3">
        <v>3217120606770010</v>
      </c>
      <c r="AE433" s="3" t="s">
        <v>4950</v>
      </c>
      <c r="AF433" s="3">
        <v>1983</v>
      </c>
      <c r="AG433" s="3" t="s">
        <v>2402</v>
      </c>
      <c r="AH433" s="3" t="s">
        <v>2365</v>
      </c>
      <c r="AI433" s="3" t="s">
        <v>2366</v>
      </c>
      <c r="AJ433" s="3">
        <v>3217126803830000</v>
      </c>
      <c r="AK433" s="3"/>
      <c r="AL433" s="3"/>
      <c r="AM433" s="3" t="s">
        <v>2367</v>
      </c>
      <c r="AN433" s="3"/>
      <c r="AO433" s="3"/>
      <c r="AP433" s="3"/>
      <c r="AQ433" s="3" t="s">
        <v>5152</v>
      </c>
      <c r="AR433" s="3"/>
      <c r="AS433" s="3" t="s">
        <v>4951</v>
      </c>
      <c r="AT433" s="3" t="s">
        <v>2359</v>
      </c>
      <c r="AU433" s="3"/>
      <c r="AV433" s="3">
        <v>0</v>
      </c>
      <c r="AW433" s="3"/>
      <c r="AX433" s="3" t="s">
        <v>3970</v>
      </c>
      <c r="AY433" s="3"/>
      <c r="AZ433" s="3"/>
      <c r="BA433" s="3"/>
      <c r="BB433" s="3" t="s">
        <v>2369</v>
      </c>
      <c r="BC433" s="3" t="s">
        <v>2370</v>
      </c>
      <c r="BD433" s="3" t="s">
        <v>2371</v>
      </c>
      <c r="BE433" s="3" t="s">
        <v>2444</v>
      </c>
      <c r="BF433" s="3">
        <v>1</v>
      </c>
      <c r="BG433" s="3">
        <v>-6.9530000000000003</v>
      </c>
      <c r="BH433" s="3">
        <v>107.4034</v>
      </c>
      <c r="BI433" s="3">
        <v>3217121905080050</v>
      </c>
      <c r="BJ433" s="3">
        <v>44</v>
      </c>
      <c r="BK433" s="3">
        <v>142</v>
      </c>
      <c r="BL433" s="3">
        <v>54</v>
      </c>
      <c r="BM433" s="3">
        <v>1</v>
      </c>
      <c r="BN433" s="3">
        <v>4</v>
      </c>
    </row>
    <row r="434" spans="1:66" x14ac:dyDescent="0.3">
      <c r="A434" s="3">
        <v>428</v>
      </c>
      <c r="B434" s="3" t="s">
        <v>3951</v>
      </c>
      <c r="C434" s="3" t="s">
        <v>4410</v>
      </c>
      <c r="D434" s="3" t="s">
        <v>53</v>
      </c>
      <c r="E434" s="3">
        <v>104351445</v>
      </c>
      <c r="F434" s="3" t="s">
        <v>2377</v>
      </c>
      <c r="G434" s="157">
        <v>40431</v>
      </c>
      <c r="H434" s="3">
        <v>3217125009100000</v>
      </c>
      <c r="I434" s="3" t="s">
        <v>2353</v>
      </c>
      <c r="J434" s="3" t="s">
        <v>3171</v>
      </c>
      <c r="K434" s="3">
        <v>2</v>
      </c>
      <c r="L434" s="3">
        <v>13</v>
      </c>
      <c r="M434" s="3"/>
      <c r="N434" s="3" t="s">
        <v>4475</v>
      </c>
      <c r="O434" s="3" t="s">
        <v>2356</v>
      </c>
      <c r="P434" s="3">
        <v>40564</v>
      </c>
      <c r="Q434" s="3" t="s">
        <v>2357</v>
      </c>
      <c r="R434" s="3" t="s">
        <v>2358</v>
      </c>
      <c r="S434" s="3"/>
      <c r="T434" s="3">
        <v>83822511520</v>
      </c>
      <c r="U434" s="3"/>
      <c r="V434" s="3"/>
      <c r="W434" s="3" t="s">
        <v>2359</v>
      </c>
      <c r="X434" s="3"/>
      <c r="Y434" s="3" t="s">
        <v>4152</v>
      </c>
      <c r="Z434" s="3">
        <v>1983</v>
      </c>
      <c r="AA434" s="3" t="s">
        <v>2361</v>
      </c>
      <c r="AB434" s="3" t="s">
        <v>2362</v>
      </c>
      <c r="AC434" s="3" t="s">
        <v>2363</v>
      </c>
      <c r="AD434" s="3">
        <v>3217122504830000</v>
      </c>
      <c r="AE434" s="3" t="s">
        <v>3989</v>
      </c>
      <c r="AF434" s="3">
        <v>1986</v>
      </c>
      <c r="AG434" s="3" t="s">
        <v>2361</v>
      </c>
      <c r="AH434" s="3" t="s">
        <v>2365</v>
      </c>
      <c r="AI434" s="3" t="s">
        <v>2366</v>
      </c>
      <c r="AJ434" s="3">
        <v>3217125511860000</v>
      </c>
      <c r="AK434" s="3"/>
      <c r="AL434" s="3"/>
      <c r="AM434" s="3" t="s">
        <v>2367</v>
      </c>
      <c r="AN434" s="3"/>
      <c r="AO434" s="3"/>
      <c r="AP434" s="3"/>
      <c r="AQ434" s="3" t="s">
        <v>5148</v>
      </c>
      <c r="AR434" s="3"/>
      <c r="AS434" s="3"/>
      <c r="AT434" s="3" t="s">
        <v>2359</v>
      </c>
      <c r="AU434" s="3"/>
      <c r="AV434" s="3">
        <v>0</v>
      </c>
      <c r="AW434" s="3"/>
      <c r="AX434" s="3" t="s">
        <v>4151</v>
      </c>
      <c r="AY434" s="3"/>
      <c r="AZ434" s="3"/>
      <c r="BA434" s="3"/>
      <c r="BB434" s="3" t="s">
        <v>2369</v>
      </c>
      <c r="BC434" s="3" t="s">
        <v>2370</v>
      </c>
      <c r="BD434" s="3" t="s">
        <v>2371</v>
      </c>
      <c r="BE434" s="3" t="s">
        <v>2372</v>
      </c>
      <c r="BF434" s="3">
        <v>2</v>
      </c>
      <c r="BG434" s="3">
        <v>-6.9676999999999998</v>
      </c>
      <c r="BH434" s="3">
        <v>107.4117</v>
      </c>
      <c r="BI434" s="3"/>
      <c r="BJ434" s="3">
        <v>41</v>
      </c>
      <c r="BK434" s="3">
        <v>138</v>
      </c>
      <c r="BL434" s="3">
        <v>55</v>
      </c>
      <c r="BM434" s="3">
        <v>1</v>
      </c>
      <c r="BN434" s="3">
        <v>3</v>
      </c>
    </row>
    <row r="435" spans="1:66" hidden="1" x14ac:dyDescent="0.3">
      <c r="A435" s="3">
        <v>429</v>
      </c>
      <c r="B435" s="3" t="s">
        <v>3857</v>
      </c>
      <c r="C435" s="3" t="s">
        <v>4311</v>
      </c>
      <c r="D435" s="3" t="s">
        <v>53</v>
      </c>
      <c r="E435" s="3">
        <v>104089252</v>
      </c>
      <c r="F435" s="3" t="s">
        <v>2373</v>
      </c>
      <c r="G435" s="157">
        <v>40299</v>
      </c>
      <c r="H435" s="3">
        <v>3217124105100000</v>
      </c>
      <c r="I435" s="3" t="s">
        <v>2353</v>
      </c>
      <c r="J435" s="3" t="s">
        <v>2462</v>
      </c>
      <c r="K435" s="3">
        <v>3</v>
      </c>
      <c r="L435" s="3">
        <v>5</v>
      </c>
      <c r="M435" s="3" t="s">
        <v>2463</v>
      </c>
      <c r="N435" s="3" t="s">
        <v>4557</v>
      </c>
      <c r="O435" s="3" t="s">
        <v>2356</v>
      </c>
      <c r="P435" s="3">
        <v>40764</v>
      </c>
      <c r="Q435" s="3" t="s">
        <v>2357</v>
      </c>
      <c r="R435" s="3" t="s">
        <v>2358</v>
      </c>
      <c r="S435" s="3">
        <v>0</v>
      </c>
      <c r="T435" s="3">
        <v>83894307447</v>
      </c>
      <c r="U435" s="3"/>
      <c r="V435" s="3"/>
      <c r="W435" s="3" t="s">
        <v>2359</v>
      </c>
      <c r="X435" s="3"/>
      <c r="Y435" s="3" t="s">
        <v>4952</v>
      </c>
      <c r="Z435" s="3">
        <v>1980</v>
      </c>
      <c r="AA435" s="3" t="s">
        <v>2361</v>
      </c>
      <c r="AB435" s="3" t="s">
        <v>2362</v>
      </c>
      <c r="AC435" s="3" t="s">
        <v>2403</v>
      </c>
      <c r="AD435" s="3">
        <v>3217120101800090</v>
      </c>
      <c r="AE435" s="3" t="s">
        <v>4953</v>
      </c>
      <c r="AF435" s="3">
        <v>1984</v>
      </c>
      <c r="AG435" s="3" t="s">
        <v>2361</v>
      </c>
      <c r="AH435" s="3" t="s">
        <v>2365</v>
      </c>
      <c r="AI435" s="3" t="s">
        <v>2366</v>
      </c>
      <c r="AJ435" s="3">
        <v>3217126711840010</v>
      </c>
      <c r="AK435" s="3"/>
      <c r="AL435" s="3"/>
      <c r="AM435" s="3" t="s">
        <v>2367</v>
      </c>
      <c r="AN435" s="3"/>
      <c r="AO435" s="3"/>
      <c r="AP435" s="3"/>
      <c r="AQ435" s="3" t="s">
        <v>5150</v>
      </c>
      <c r="AR435" s="3"/>
      <c r="AS435" s="3"/>
      <c r="AT435" s="3" t="s">
        <v>2359</v>
      </c>
      <c r="AU435" s="3"/>
      <c r="AV435" s="3">
        <v>0</v>
      </c>
      <c r="AW435" s="3"/>
      <c r="AX435" s="3" t="s">
        <v>4954</v>
      </c>
      <c r="AY435" s="3"/>
      <c r="AZ435" s="3"/>
      <c r="BA435" s="3"/>
      <c r="BB435" s="3" t="s">
        <v>2369</v>
      </c>
      <c r="BC435" s="3" t="s">
        <v>2370</v>
      </c>
      <c r="BD435" s="3" t="s">
        <v>2371</v>
      </c>
      <c r="BE435" s="3" t="s">
        <v>2444</v>
      </c>
      <c r="BF435" s="3">
        <v>2</v>
      </c>
      <c r="BG435" s="3">
        <v>-6.9530000000000003</v>
      </c>
      <c r="BH435" s="3">
        <v>107.4034</v>
      </c>
      <c r="BI435" s="3">
        <v>3217121807120080</v>
      </c>
      <c r="BJ435" s="3">
        <v>45</v>
      </c>
      <c r="BK435" s="3">
        <v>136</v>
      </c>
      <c r="BL435" s="3">
        <v>55</v>
      </c>
      <c r="BM435" s="3">
        <v>1</v>
      </c>
      <c r="BN435" s="3">
        <v>2</v>
      </c>
    </row>
    <row r="436" spans="1:66" x14ac:dyDescent="0.3">
      <c r="A436" s="3">
        <v>430</v>
      </c>
      <c r="B436" s="3" t="s">
        <v>4955</v>
      </c>
      <c r="C436" s="3" t="s">
        <v>4411</v>
      </c>
      <c r="D436" s="3" t="s">
        <v>52</v>
      </c>
      <c r="E436" s="3">
        <v>3107461530</v>
      </c>
      <c r="F436" s="3" t="s">
        <v>2377</v>
      </c>
      <c r="G436" s="157">
        <v>40403</v>
      </c>
      <c r="H436" s="3">
        <v>3217111308100000</v>
      </c>
      <c r="I436" s="3" t="s">
        <v>2353</v>
      </c>
      <c r="J436" s="3" t="s">
        <v>2616</v>
      </c>
      <c r="K436" s="3">
        <v>4</v>
      </c>
      <c r="L436" s="3">
        <v>10</v>
      </c>
      <c r="M436" s="3"/>
      <c r="N436" s="3" t="s">
        <v>4455</v>
      </c>
      <c r="O436" s="3" t="s">
        <v>2426</v>
      </c>
      <c r="P436" s="3">
        <v>40562</v>
      </c>
      <c r="Q436" s="3" t="s">
        <v>2357</v>
      </c>
      <c r="R436" s="3" t="s">
        <v>2358</v>
      </c>
      <c r="S436" s="3"/>
      <c r="T436" s="3"/>
      <c r="U436" s="3"/>
      <c r="V436" s="3"/>
      <c r="W436" s="3" t="s">
        <v>2359</v>
      </c>
      <c r="X436" s="3"/>
      <c r="Y436" s="3" t="s">
        <v>4956</v>
      </c>
      <c r="Z436" s="3">
        <v>1973</v>
      </c>
      <c r="AA436" s="3" t="s">
        <v>2402</v>
      </c>
      <c r="AB436" s="3" t="s">
        <v>2362</v>
      </c>
      <c r="AC436" s="3" t="s">
        <v>2403</v>
      </c>
      <c r="AD436" s="3">
        <v>3217110509730010</v>
      </c>
      <c r="AE436" s="3" t="s">
        <v>4142</v>
      </c>
      <c r="AF436" s="3">
        <v>1978</v>
      </c>
      <c r="AG436" s="3" t="s">
        <v>2361</v>
      </c>
      <c r="AH436" s="3" t="s">
        <v>2365</v>
      </c>
      <c r="AI436" s="3" t="s">
        <v>2366</v>
      </c>
      <c r="AJ436" s="3">
        <v>3217114805780020</v>
      </c>
      <c r="AK436" s="3"/>
      <c r="AL436" s="3"/>
      <c r="AM436" s="3"/>
      <c r="AN436" s="3"/>
      <c r="AO436" s="3"/>
      <c r="AP436" s="3"/>
      <c r="AQ436" s="3" t="s">
        <v>5148</v>
      </c>
      <c r="AR436" s="3"/>
      <c r="AS436" s="3"/>
      <c r="AT436" s="3" t="s">
        <v>2359</v>
      </c>
      <c r="AU436" s="3"/>
      <c r="AV436" s="3">
        <v>1</v>
      </c>
      <c r="AW436" s="3"/>
      <c r="AX436" s="3" t="s">
        <v>4141</v>
      </c>
      <c r="AY436" s="3"/>
      <c r="AZ436" s="3"/>
      <c r="BA436" s="3"/>
      <c r="BB436" s="3" t="s">
        <v>2369</v>
      </c>
      <c r="BC436" s="3" t="s">
        <v>2370</v>
      </c>
      <c r="BD436" s="3" t="s">
        <v>2371</v>
      </c>
      <c r="BE436" s="3" t="s">
        <v>2669</v>
      </c>
      <c r="BF436" s="3">
        <v>1</v>
      </c>
      <c r="BG436" s="3">
        <v>-6.9625000000000004</v>
      </c>
      <c r="BH436" s="3">
        <v>107.4346</v>
      </c>
      <c r="BI436" s="3">
        <v>3217111810120010</v>
      </c>
      <c r="BJ436" s="3">
        <v>40</v>
      </c>
      <c r="BK436" s="3">
        <v>139</v>
      </c>
      <c r="BL436" s="3">
        <v>48</v>
      </c>
      <c r="BM436" s="3">
        <v>1</v>
      </c>
      <c r="BN436" s="3">
        <v>1</v>
      </c>
    </row>
    <row r="437" spans="1:66" hidden="1" x14ac:dyDescent="0.3">
      <c r="A437" s="3">
        <v>431</v>
      </c>
      <c r="B437" s="3" t="s">
        <v>4957</v>
      </c>
      <c r="C437" s="3" t="s">
        <v>4349</v>
      </c>
      <c r="D437" s="3" t="s">
        <v>53</v>
      </c>
      <c r="E437" s="3">
        <v>115420045</v>
      </c>
      <c r="F437" s="3" t="s">
        <v>2373</v>
      </c>
      <c r="G437" s="157">
        <v>40743</v>
      </c>
      <c r="H437" s="3">
        <v>3217115907110000</v>
      </c>
      <c r="I437" s="3" t="s">
        <v>2353</v>
      </c>
      <c r="J437" s="3" t="s">
        <v>3236</v>
      </c>
      <c r="K437" s="3">
        <v>5</v>
      </c>
      <c r="L437" s="3">
        <v>1</v>
      </c>
      <c r="M437" s="3"/>
      <c r="N437" s="3" t="s">
        <v>4604</v>
      </c>
      <c r="O437" s="3" t="s">
        <v>2426</v>
      </c>
      <c r="P437" s="3">
        <v>40562</v>
      </c>
      <c r="Q437" s="3" t="s">
        <v>2357</v>
      </c>
      <c r="R437" s="3" t="s">
        <v>2358</v>
      </c>
      <c r="S437" s="3"/>
      <c r="T437" s="3"/>
      <c r="U437" s="3"/>
      <c r="V437" s="3"/>
      <c r="W437" s="3" t="s">
        <v>2359</v>
      </c>
      <c r="X437" s="3"/>
      <c r="Y437" s="3" t="s">
        <v>4958</v>
      </c>
      <c r="Z437" s="3">
        <v>1983</v>
      </c>
      <c r="AA437" s="3" t="s">
        <v>2402</v>
      </c>
      <c r="AB437" s="3" t="s">
        <v>2362</v>
      </c>
      <c r="AC437" s="3" t="s">
        <v>2363</v>
      </c>
      <c r="AD437" s="3">
        <v>3217113005830000</v>
      </c>
      <c r="AE437" s="3" t="s">
        <v>4959</v>
      </c>
      <c r="AF437" s="3">
        <v>1986</v>
      </c>
      <c r="AG437" s="3" t="s">
        <v>2361</v>
      </c>
      <c r="AH437" s="3" t="s">
        <v>2365</v>
      </c>
      <c r="AI437" s="3" t="s">
        <v>2366</v>
      </c>
      <c r="AJ437" s="3">
        <v>3217115910830000</v>
      </c>
      <c r="AK437" s="3"/>
      <c r="AL437" s="3"/>
      <c r="AM437" s="3" t="s">
        <v>2367</v>
      </c>
      <c r="AN437" s="3"/>
      <c r="AO437" s="3"/>
      <c r="AP437" s="3"/>
      <c r="AQ437" s="3" t="s">
        <v>5152</v>
      </c>
      <c r="AR437" s="3"/>
      <c r="AS437" s="3" t="s">
        <v>4960</v>
      </c>
      <c r="AT437" s="3" t="s">
        <v>2359</v>
      </c>
      <c r="AU437" s="3"/>
      <c r="AV437" s="3">
        <v>0</v>
      </c>
      <c r="AW437" s="3"/>
      <c r="AX437" s="3" t="s">
        <v>4098</v>
      </c>
      <c r="AY437" s="3"/>
      <c r="AZ437" s="3"/>
      <c r="BA437" s="3"/>
      <c r="BB437" s="3" t="s">
        <v>2369</v>
      </c>
      <c r="BC437" s="3" t="s">
        <v>2370</v>
      </c>
      <c r="BD437" s="3" t="s">
        <v>2371</v>
      </c>
      <c r="BE437" s="3" t="s">
        <v>2691</v>
      </c>
      <c r="BF437" s="3">
        <v>1</v>
      </c>
      <c r="BG437" s="3">
        <v>-6.9743000000000004</v>
      </c>
      <c r="BH437" s="3">
        <v>107.43559999999999</v>
      </c>
      <c r="BI437" s="3">
        <v>3217111605130010</v>
      </c>
      <c r="BJ437" s="3">
        <v>35</v>
      </c>
      <c r="BK437" s="3">
        <v>130</v>
      </c>
      <c r="BL437" s="3">
        <v>0</v>
      </c>
      <c r="BM437" s="3">
        <v>0</v>
      </c>
      <c r="BN437" s="3">
        <v>1</v>
      </c>
    </row>
    <row r="438" spans="1:66" s="219" customFormat="1" hidden="1" x14ac:dyDescent="0.3">
      <c r="A438" s="54">
        <v>432</v>
      </c>
      <c r="B438" s="54" t="s">
        <v>1806</v>
      </c>
      <c r="C438" s="54" t="s">
        <v>1456</v>
      </c>
      <c r="D438" s="54" t="s">
        <v>53</v>
      </c>
      <c r="E438" s="54">
        <v>92889048</v>
      </c>
      <c r="F438" s="54" t="s">
        <v>2373</v>
      </c>
      <c r="G438" s="108">
        <v>40101</v>
      </c>
      <c r="H438" s="54">
        <v>3217125510090000</v>
      </c>
      <c r="I438" s="54" t="s">
        <v>2353</v>
      </c>
      <c r="J438" s="54" t="s">
        <v>3296</v>
      </c>
      <c r="K438" s="54">
        <v>2</v>
      </c>
      <c r="L438" s="54">
        <v>2</v>
      </c>
      <c r="M438" s="54" t="s">
        <v>3297</v>
      </c>
      <c r="N438" s="54" t="s">
        <v>2395</v>
      </c>
      <c r="O438" s="54" t="s">
        <v>2356</v>
      </c>
      <c r="P438" s="54">
        <v>40564</v>
      </c>
      <c r="Q438" s="54" t="s">
        <v>2357</v>
      </c>
      <c r="R438" s="54" t="s">
        <v>2358</v>
      </c>
      <c r="S438" s="54"/>
      <c r="T438" s="54">
        <v>81312080401</v>
      </c>
      <c r="U438" s="54"/>
      <c r="V438" s="54"/>
      <c r="W438" s="54" t="s">
        <v>2369</v>
      </c>
      <c r="X438" s="54" t="s">
        <v>3298</v>
      </c>
      <c r="Y438" s="54" t="s">
        <v>3299</v>
      </c>
      <c r="Z438" s="54">
        <v>1962</v>
      </c>
      <c r="AA438" s="54" t="s">
        <v>2361</v>
      </c>
      <c r="AB438" s="54" t="s">
        <v>2362</v>
      </c>
      <c r="AC438" s="54" t="s">
        <v>2403</v>
      </c>
      <c r="AD438" s="54">
        <v>3217122003620000</v>
      </c>
      <c r="AE438" s="54" t="s">
        <v>2861</v>
      </c>
      <c r="AF438" s="54">
        <v>1964</v>
      </c>
      <c r="AG438" s="54" t="s">
        <v>2361</v>
      </c>
      <c r="AH438" s="54" t="s">
        <v>2362</v>
      </c>
      <c r="AI438" s="54" t="s">
        <v>2403</v>
      </c>
      <c r="AJ438" s="54">
        <v>3217126406640000</v>
      </c>
      <c r="AK438" s="54"/>
      <c r="AL438" s="54"/>
      <c r="AM438" s="54"/>
      <c r="AN438" s="54"/>
      <c r="AO438" s="54"/>
      <c r="AP438" s="54"/>
      <c r="AQ438" s="54" t="s">
        <v>5147</v>
      </c>
      <c r="AR438" s="54"/>
      <c r="AS438" s="54"/>
      <c r="AT438" s="54" t="s">
        <v>2359</v>
      </c>
      <c r="AU438" s="54"/>
      <c r="AV438" s="54">
        <v>0</v>
      </c>
      <c r="AW438" s="54"/>
      <c r="AX438" s="54" t="s">
        <v>3300</v>
      </c>
      <c r="AY438" s="54"/>
      <c r="AZ438" s="54"/>
      <c r="BA438" s="54"/>
      <c r="BB438" s="54" t="s">
        <v>2369</v>
      </c>
      <c r="BC438" s="54" t="s">
        <v>2443</v>
      </c>
      <c r="BD438" s="54" t="s">
        <v>2371</v>
      </c>
      <c r="BE438" s="54"/>
      <c r="BF438" s="54">
        <v>5</v>
      </c>
      <c r="BG438" s="54">
        <v>-6.9661</v>
      </c>
      <c r="BH438" s="54">
        <v>107.4057</v>
      </c>
      <c r="BI438" s="54">
        <v>3217121607120100</v>
      </c>
      <c r="BJ438" s="54">
        <v>35</v>
      </c>
      <c r="BK438" s="54">
        <v>141</v>
      </c>
      <c r="BL438" s="54">
        <v>53</v>
      </c>
      <c r="BM438" s="54">
        <v>2</v>
      </c>
      <c r="BN438" s="54">
        <v>1</v>
      </c>
    </row>
    <row r="439" spans="1:66" s="219" customFormat="1" hidden="1" x14ac:dyDescent="0.3">
      <c r="A439" s="54">
        <v>433</v>
      </c>
      <c r="B439" s="54" t="s">
        <v>1858</v>
      </c>
      <c r="C439" s="54" t="s">
        <v>1510</v>
      </c>
      <c r="D439" s="54" t="s">
        <v>53</v>
      </c>
      <c r="E439" s="54">
        <v>88434992</v>
      </c>
      <c r="F439" s="54" t="s">
        <v>2352</v>
      </c>
      <c r="G439" s="108">
        <v>39771</v>
      </c>
      <c r="H439" s="54">
        <v>3217125911080000</v>
      </c>
      <c r="I439" s="54" t="s">
        <v>2353</v>
      </c>
      <c r="J439" s="54" t="s">
        <v>2831</v>
      </c>
      <c r="K439" s="54">
        <v>2</v>
      </c>
      <c r="L439" s="54">
        <v>4</v>
      </c>
      <c r="M439" s="54"/>
      <c r="N439" s="54" t="s">
        <v>2513</v>
      </c>
      <c r="O439" s="54" t="s">
        <v>2356</v>
      </c>
      <c r="P439" s="54">
        <v>40564</v>
      </c>
      <c r="Q439" s="54" t="s">
        <v>2357</v>
      </c>
      <c r="R439" s="54" t="s">
        <v>2358</v>
      </c>
      <c r="S439" s="54"/>
      <c r="T439" s="54">
        <v>85760010104</v>
      </c>
      <c r="U439" s="54"/>
      <c r="V439" s="54"/>
      <c r="W439" s="54" t="s">
        <v>2359</v>
      </c>
      <c r="X439" s="54"/>
      <c r="Y439" s="54" t="s">
        <v>3544</v>
      </c>
      <c r="Z439" s="54">
        <v>1981</v>
      </c>
      <c r="AA439" s="54" t="s">
        <v>2402</v>
      </c>
      <c r="AB439" s="54" t="s">
        <v>2362</v>
      </c>
      <c r="AC439" s="54" t="s">
        <v>2363</v>
      </c>
      <c r="AD439" s="54"/>
      <c r="AE439" s="54" t="s">
        <v>3545</v>
      </c>
      <c r="AF439" s="54">
        <v>1985</v>
      </c>
      <c r="AG439" s="54" t="s">
        <v>2402</v>
      </c>
      <c r="AH439" s="54" t="s">
        <v>2365</v>
      </c>
      <c r="AI439" s="54" t="s">
        <v>2366</v>
      </c>
      <c r="AJ439" s="54"/>
      <c r="AK439" s="54"/>
      <c r="AL439" s="54"/>
      <c r="AM439" s="54"/>
      <c r="AN439" s="54"/>
      <c r="AO439" s="54"/>
      <c r="AP439" s="54"/>
      <c r="AQ439" s="54" t="s">
        <v>5147</v>
      </c>
      <c r="AR439" s="54"/>
      <c r="AS439" s="54"/>
      <c r="AT439" s="54" t="s">
        <v>2359</v>
      </c>
      <c r="AU439" s="54"/>
      <c r="AV439" s="54">
        <v>0</v>
      </c>
      <c r="AW439" s="54"/>
      <c r="AX439" s="54"/>
      <c r="AY439" s="54"/>
      <c r="AZ439" s="54"/>
      <c r="BA439" s="54"/>
      <c r="BB439" s="54" t="s">
        <v>2369</v>
      </c>
      <c r="BC439" s="54" t="s">
        <v>2370</v>
      </c>
      <c r="BD439" s="54" t="s">
        <v>2371</v>
      </c>
      <c r="BE439" s="54"/>
      <c r="BF439" s="54">
        <v>1</v>
      </c>
      <c r="BG439" s="54">
        <v>-6.9676999999999998</v>
      </c>
      <c r="BH439" s="54">
        <v>107.4117</v>
      </c>
      <c r="BI439" s="54"/>
      <c r="BJ439" s="54">
        <v>21</v>
      </c>
      <c r="BK439" s="54">
        <v>121</v>
      </c>
      <c r="BL439" s="54">
        <v>57</v>
      </c>
      <c r="BM439" s="54">
        <v>2</v>
      </c>
      <c r="BN439" s="54">
        <v>1</v>
      </c>
    </row>
    <row r="440" spans="1:66" s="219" customFormat="1" hidden="1" x14ac:dyDescent="0.3">
      <c r="A440" s="54">
        <v>434</v>
      </c>
      <c r="B440" s="54" t="s">
        <v>1744</v>
      </c>
      <c r="C440" s="54" t="s">
        <v>2240</v>
      </c>
      <c r="D440" s="54" t="s">
        <v>53</v>
      </c>
      <c r="E440" s="54">
        <v>102256211</v>
      </c>
      <c r="F440" s="54" t="s">
        <v>2446</v>
      </c>
      <c r="G440" s="108">
        <v>40358</v>
      </c>
      <c r="H440" s="54">
        <v>3217126906100000</v>
      </c>
      <c r="I440" s="54" t="s">
        <v>2353</v>
      </c>
      <c r="J440" s="54" t="s">
        <v>2961</v>
      </c>
      <c r="K440" s="54"/>
      <c r="L440" s="54"/>
      <c r="M440" s="54"/>
      <c r="N440" s="54" t="s">
        <v>2962</v>
      </c>
      <c r="O440" s="54" t="s">
        <v>2963</v>
      </c>
      <c r="P440" s="54"/>
      <c r="Q440" s="54" t="s">
        <v>2357</v>
      </c>
      <c r="R440" s="54" t="s">
        <v>2374</v>
      </c>
      <c r="S440" s="54"/>
      <c r="T440" s="54"/>
      <c r="U440" s="54"/>
      <c r="V440" s="54"/>
      <c r="W440" s="54" t="s">
        <v>2359</v>
      </c>
      <c r="X440" s="54"/>
      <c r="Y440" s="54"/>
      <c r="Z440" s="54">
        <v>0</v>
      </c>
      <c r="AA440" s="54"/>
      <c r="AB440" s="54"/>
      <c r="AC440" s="54"/>
      <c r="AD440" s="54"/>
      <c r="AE440" s="54" t="s">
        <v>2964</v>
      </c>
      <c r="AF440" s="54">
        <v>0</v>
      </c>
      <c r="AG440" s="54"/>
      <c r="AH440" s="54" t="s">
        <v>2365</v>
      </c>
      <c r="AI440" s="54" t="s">
        <v>2366</v>
      </c>
      <c r="AJ440" s="54"/>
      <c r="AK440" s="54"/>
      <c r="AL440" s="54"/>
      <c r="AM440" s="54"/>
      <c r="AN440" s="54"/>
      <c r="AO440" s="54"/>
      <c r="AP440" s="54"/>
      <c r="AQ440" s="54" t="s">
        <v>8178</v>
      </c>
      <c r="AR440" s="54"/>
      <c r="AS440" s="54"/>
      <c r="AT440" s="54" t="s">
        <v>2359</v>
      </c>
      <c r="AU440" s="54"/>
      <c r="AV440" s="54">
        <v>1</v>
      </c>
      <c r="AW440" s="54"/>
      <c r="AX440" s="54"/>
      <c r="AY440" s="54"/>
      <c r="AZ440" s="54"/>
      <c r="BA440" s="54"/>
      <c r="BB440" s="54" t="s">
        <v>2359</v>
      </c>
      <c r="BC440" s="54"/>
      <c r="BD440" s="54" t="s">
        <v>2371</v>
      </c>
      <c r="BE440" s="54" t="s">
        <v>2965</v>
      </c>
      <c r="BF440" s="54">
        <v>1</v>
      </c>
      <c r="BG440" s="54"/>
      <c r="BH440" s="54"/>
      <c r="BI440" s="54"/>
      <c r="BJ440" s="54">
        <v>40</v>
      </c>
      <c r="BK440" s="54">
        <v>135</v>
      </c>
      <c r="BL440" s="54">
        <v>57</v>
      </c>
      <c r="BM440" s="54">
        <v>1</v>
      </c>
      <c r="BN440" s="54">
        <v>1</v>
      </c>
    </row>
    <row r="441" spans="1:66" s="219" customFormat="1" hidden="1" x14ac:dyDescent="0.3">
      <c r="A441" s="54">
        <v>435</v>
      </c>
      <c r="B441" s="54" t="s">
        <v>1778</v>
      </c>
      <c r="C441" s="54" t="s">
        <v>1417</v>
      </c>
      <c r="D441" s="54" t="s">
        <v>52</v>
      </c>
      <c r="E441" s="54">
        <v>83528020</v>
      </c>
      <c r="F441" s="54" t="s">
        <v>2352</v>
      </c>
      <c r="G441" s="108">
        <v>39745</v>
      </c>
      <c r="H441" s="54">
        <v>3217122410080000</v>
      </c>
      <c r="I441" s="54" t="s">
        <v>2353</v>
      </c>
      <c r="J441" s="54" t="s">
        <v>3188</v>
      </c>
      <c r="K441" s="54">
        <v>4</v>
      </c>
      <c r="L441" s="54">
        <v>4</v>
      </c>
      <c r="M441" s="54"/>
      <c r="N441" s="54" t="s">
        <v>3189</v>
      </c>
      <c r="O441" s="54" t="s">
        <v>2356</v>
      </c>
      <c r="P441" s="54">
        <v>40564</v>
      </c>
      <c r="Q441" s="54" t="s">
        <v>2357</v>
      </c>
      <c r="R441" s="54" t="s">
        <v>2358</v>
      </c>
      <c r="S441" s="54"/>
      <c r="T441" s="54"/>
      <c r="U441" s="54"/>
      <c r="V441" s="54"/>
      <c r="W441" s="54" t="s">
        <v>2369</v>
      </c>
      <c r="X441" s="54" t="s">
        <v>3190</v>
      </c>
      <c r="Y441" s="54" t="s">
        <v>3191</v>
      </c>
      <c r="Z441" s="54">
        <v>1975</v>
      </c>
      <c r="AA441" s="54" t="s">
        <v>2361</v>
      </c>
      <c r="AB441" s="54" t="s">
        <v>2362</v>
      </c>
      <c r="AC441" s="54" t="s">
        <v>2363</v>
      </c>
      <c r="AD441" s="54">
        <v>3217120606750020</v>
      </c>
      <c r="AE441" s="54" t="s">
        <v>3192</v>
      </c>
      <c r="AF441" s="54">
        <v>1983</v>
      </c>
      <c r="AG441" s="54" t="s">
        <v>2361</v>
      </c>
      <c r="AH441" s="54" t="s">
        <v>2365</v>
      </c>
      <c r="AI441" s="54" t="s">
        <v>2366</v>
      </c>
      <c r="AJ441" s="54">
        <v>3217124106830010</v>
      </c>
      <c r="AK441" s="54"/>
      <c r="AL441" s="54"/>
      <c r="AM441" s="54"/>
      <c r="AN441" s="54"/>
      <c r="AO441" s="54"/>
      <c r="AP441" s="54"/>
      <c r="AQ441" s="54" t="s">
        <v>5147</v>
      </c>
      <c r="AR441" s="54"/>
      <c r="AS441" s="54"/>
      <c r="AT441" s="54" t="s">
        <v>2369</v>
      </c>
      <c r="AU441" s="54" t="s">
        <v>3190</v>
      </c>
      <c r="AV441" s="54">
        <v>0</v>
      </c>
      <c r="AW441" s="54"/>
      <c r="AX441" s="54" t="s">
        <v>3193</v>
      </c>
      <c r="AY441" s="54" t="s">
        <v>2460</v>
      </c>
      <c r="AZ441" s="54">
        <v>411601002718501</v>
      </c>
      <c r="BA441" s="54" t="s">
        <v>1778</v>
      </c>
      <c r="BB441" s="54" t="s">
        <v>2359</v>
      </c>
      <c r="BC441" s="54" t="s">
        <v>3194</v>
      </c>
      <c r="BD441" s="54" t="s">
        <v>2371</v>
      </c>
      <c r="BE441" s="54" t="s">
        <v>4961</v>
      </c>
      <c r="BF441" s="54">
        <v>1</v>
      </c>
      <c r="BG441" s="54">
        <v>-6.9736000000000002</v>
      </c>
      <c r="BH441" s="54">
        <v>107.3817</v>
      </c>
      <c r="BI441" s="54"/>
      <c r="BJ441" s="54">
        <v>38</v>
      </c>
      <c r="BK441" s="54">
        <v>139</v>
      </c>
      <c r="BL441" s="54">
        <v>59</v>
      </c>
      <c r="BM441" s="54">
        <v>2</v>
      </c>
      <c r="BN441" s="54">
        <v>1</v>
      </c>
    </row>
    <row r="442" spans="1:66" s="219" customFormat="1" hidden="1" x14ac:dyDescent="0.3">
      <c r="A442" s="54">
        <v>436</v>
      </c>
      <c r="B442" s="54" t="s">
        <v>2966</v>
      </c>
      <c r="C442" s="54" t="s">
        <v>2241</v>
      </c>
      <c r="D442" s="54" t="s">
        <v>52</v>
      </c>
      <c r="E442" s="54">
        <v>95591071</v>
      </c>
      <c r="F442" s="54" t="s">
        <v>2446</v>
      </c>
      <c r="G442" s="108">
        <v>40156</v>
      </c>
      <c r="H442" s="54">
        <v>3217110912090010</v>
      </c>
      <c r="I442" s="54" t="s">
        <v>2353</v>
      </c>
      <c r="J442" s="54" t="s">
        <v>2967</v>
      </c>
      <c r="K442" s="54">
        <v>2</v>
      </c>
      <c r="L442" s="54">
        <v>15</v>
      </c>
      <c r="M442" s="54" t="s">
        <v>2967</v>
      </c>
      <c r="N442" s="54" t="s">
        <v>2425</v>
      </c>
      <c r="O442" s="54" t="s">
        <v>2426</v>
      </c>
      <c r="P442" s="54">
        <v>40562</v>
      </c>
      <c r="Q442" s="54" t="s">
        <v>2357</v>
      </c>
      <c r="R442" s="54" t="s">
        <v>2358</v>
      </c>
      <c r="S442" s="54"/>
      <c r="T442" s="54">
        <v>82217576910</v>
      </c>
      <c r="U442" s="54"/>
      <c r="V442" s="54"/>
      <c r="W442" s="54" t="s">
        <v>2359</v>
      </c>
      <c r="X442" s="54"/>
      <c r="Y442" s="54" t="s">
        <v>2968</v>
      </c>
      <c r="Z442" s="54">
        <v>1976</v>
      </c>
      <c r="AA442" s="54" t="s">
        <v>2361</v>
      </c>
      <c r="AB442" s="54" t="s">
        <v>2362</v>
      </c>
      <c r="AC442" s="54" t="s">
        <v>2403</v>
      </c>
      <c r="AD442" s="54"/>
      <c r="AE442" s="54" t="s">
        <v>2969</v>
      </c>
      <c r="AF442" s="54">
        <v>1979</v>
      </c>
      <c r="AG442" s="54" t="s">
        <v>2367</v>
      </c>
      <c r="AH442" s="54" t="s">
        <v>2365</v>
      </c>
      <c r="AI442" s="54" t="s">
        <v>2366</v>
      </c>
      <c r="AJ442" s="54"/>
      <c r="AK442" s="54"/>
      <c r="AL442" s="54"/>
      <c r="AM442" s="54" t="s">
        <v>2367</v>
      </c>
      <c r="AN442" s="54"/>
      <c r="AO442" s="54"/>
      <c r="AP442" s="54"/>
      <c r="AQ442" s="54" t="s">
        <v>8178</v>
      </c>
      <c r="AR442" s="54"/>
      <c r="AS442" s="54"/>
      <c r="AT442" s="54" t="s">
        <v>2359</v>
      </c>
      <c r="AU442" s="54"/>
      <c r="AV442" s="54">
        <v>0</v>
      </c>
      <c r="AW442" s="54"/>
      <c r="AX442" s="54" t="s">
        <v>2970</v>
      </c>
      <c r="AY442" s="54"/>
      <c r="AZ442" s="54"/>
      <c r="BA442" s="54"/>
      <c r="BB442" s="54" t="s">
        <v>2369</v>
      </c>
      <c r="BC442" s="54" t="s">
        <v>2370</v>
      </c>
      <c r="BD442" s="54" t="s">
        <v>2371</v>
      </c>
      <c r="BE442" s="54" t="s">
        <v>2430</v>
      </c>
      <c r="BF442" s="54">
        <v>5</v>
      </c>
      <c r="BG442" s="54">
        <v>-6.9514541999999997</v>
      </c>
      <c r="BH442" s="54">
        <v>107.4179645</v>
      </c>
      <c r="BI442" s="54"/>
      <c r="BJ442" s="54">
        <v>55</v>
      </c>
      <c r="BK442" s="54">
        <v>143</v>
      </c>
      <c r="BL442" s="54">
        <v>0</v>
      </c>
      <c r="BM442" s="54">
        <v>0</v>
      </c>
      <c r="BN442" s="54">
        <v>0</v>
      </c>
    </row>
    <row r="443" spans="1:66" s="219" customFormat="1" hidden="1" x14ac:dyDescent="0.3">
      <c r="A443" s="54">
        <v>437</v>
      </c>
      <c r="B443" s="54" t="s">
        <v>1382</v>
      </c>
      <c r="C443" s="54" t="s">
        <v>1565</v>
      </c>
      <c r="D443" s="54" t="s">
        <v>52</v>
      </c>
      <c r="E443" s="54">
        <v>92687767</v>
      </c>
      <c r="F443" s="54" t="s">
        <v>2373</v>
      </c>
      <c r="G443" s="108">
        <v>39998</v>
      </c>
      <c r="H443" s="54">
        <v>3217110407090000</v>
      </c>
      <c r="I443" s="54" t="s">
        <v>2353</v>
      </c>
      <c r="J443" s="54" t="s">
        <v>2565</v>
      </c>
      <c r="K443" s="54">
        <v>3</v>
      </c>
      <c r="L443" s="54">
        <v>2</v>
      </c>
      <c r="M443" s="54"/>
      <c r="N443" s="54" t="s">
        <v>2566</v>
      </c>
      <c r="O443" s="54" t="s">
        <v>2426</v>
      </c>
      <c r="P443" s="54">
        <v>40562</v>
      </c>
      <c r="Q443" s="54" t="s">
        <v>2357</v>
      </c>
      <c r="R443" s="54" t="s">
        <v>2358</v>
      </c>
      <c r="S443" s="54"/>
      <c r="T443" s="54">
        <v>83174699291</v>
      </c>
      <c r="U443" s="54"/>
      <c r="V443" s="54"/>
      <c r="W443" s="54" t="s">
        <v>2359</v>
      </c>
      <c r="X443" s="54"/>
      <c r="Y443" s="54" t="s">
        <v>3745</v>
      </c>
      <c r="Z443" s="54">
        <v>1973</v>
      </c>
      <c r="AA443" s="54" t="s">
        <v>2390</v>
      </c>
      <c r="AB443" s="54" t="s">
        <v>2388</v>
      </c>
      <c r="AC443" s="54" t="s">
        <v>2363</v>
      </c>
      <c r="AD443" s="54"/>
      <c r="AE443" s="54" t="s">
        <v>3355</v>
      </c>
      <c r="AF443" s="54">
        <v>1988</v>
      </c>
      <c r="AG443" s="54" t="s">
        <v>2390</v>
      </c>
      <c r="AH443" s="54" t="s">
        <v>2365</v>
      </c>
      <c r="AI443" s="54" t="s">
        <v>2366</v>
      </c>
      <c r="AJ443" s="54"/>
      <c r="AK443" s="54"/>
      <c r="AL443" s="54"/>
      <c r="AM443" s="54"/>
      <c r="AN443" s="54"/>
      <c r="AO443" s="54"/>
      <c r="AP443" s="54"/>
      <c r="AQ443" s="54" t="s">
        <v>5147</v>
      </c>
      <c r="AR443" s="54"/>
      <c r="AS443" s="54"/>
      <c r="AT443" s="54" t="s">
        <v>2359</v>
      </c>
      <c r="AU443" s="54"/>
      <c r="AV443" s="54">
        <v>0</v>
      </c>
      <c r="AW443" s="54"/>
      <c r="AX443" s="54" t="s">
        <v>3746</v>
      </c>
      <c r="AY443" s="54"/>
      <c r="AZ443" s="54"/>
      <c r="BA443" s="54"/>
      <c r="BB443" s="54" t="s">
        <v>2369</v>
      </c>
      <c r="BC443" s="54" t="s">
        <v>2370</v>
      </c>
      <c r="BD443" s="54" t="s">
        <v>2371</v>
      </c>
      <c r="BE443" s="54"/>
      <c r="BF443" s="54">
        <v>1</v>
      </c>
      <c r="BG443" s="54">
        <v>-6.9743000000000004</v>
      </c>
      <c r="BH443" s="54">
        <v>107.43559999999999</v>
      </c>
      <c r="BI443" s="54"/>
      <c r="BJ443" s="54">
        <v>40</v>
      </c>
      <c r="BK443" s="54">
        <v>139</v>
      </c>
      <c r="BL443" s="54">
        <v>55</v>
      </c>
      <c r="BM443" s="54">
        <v>2</v>
      </c>
      <c r="BN443" s="54">
        <v>1</v>
      </c>
    </row>
    <row r="444" spans="1:66" s="219" customFormat="1" hidden="1" x14ac:dyDescent="0.3">
      <c r="A444" s="54">
        <v>438</v>
      </c>
      <c r="B444" s="54" t="s">
        <v>2053</v>
      </c>
      <c r="C444" s="54" t="s">
        <v>2116</v>
      </c>
      <c r="D444" s="54" t="s">
        <v>53</v>
      </c>
      <c r="E444" s="54">
        <v>102281313</v>
      </c>
      <c r="F444" s="54" t="s">
        <v>2446</v>
      </c>
      <c r="G444" s="108">
        <v>40210</v>
      </c>
      <c r="H444" s="54">
        <v>3217160102100000</v>
      </c>
      <c r="I444" s="54" t="s">
        <v>2353</v>
      </c>
      <c r="J444" s="54" t="s">
        <v>4962</v>
      </c>
      <c r="K444" s="54">
        <v>2</v>
      </c>
      <c r="L444" s="54">
        <v>11</v>
      </c>
      <c r="M444" s="54" t="s">
        <v>4963</v>
      </c>
      <c r="N444" s="54" t="s">
        <v>4964</v>
      </c>
      <c r="O444" s="54" t="s">
        <v>4965</v>
      </c>
      <c r="P444" s="54">
        <v>40561</v>
      </c>
      <c r="Q444" s="54" t="s">
        <v>2357</v>
      </c>
      <c r="R444" s="54" t="s">
        <v>2358</v>
      </c>
      <c r="S444" s="54"/>
      <c r="T444" s="54">
        <v>85861131271</v>
      </c>
      <c r="U444" s="54"/>
      <c r="V444" s="54"/>
      <c r="W444" s="54" t="s">
        <v>2359</v>
      </c>
      <c r="X444" s="54"/>
      <c r="Y444" s="54" t="s">
        <v>4966</v>
      </c>
      <c r="Z444" s="54">
        <v>1981</v>
      </c>
      <c r="AA444" s="54" t="s">
        <v>2387</v>
      </c>
      <c r="AB444" s="54" t="s">
        <v>4606</v>
      </c>
      <c r="AC444" s="54" t="s">
        <v>2366</v>
      </c>
      <c r="AD444" s="54"/>
      <c r="AE444" s="54" t="s">
        <v>4967</v>
      </c>
      <c r="AF444" s="54">
        <v>0</v>
      </c>
      <c r="AG444" s="54" t="s">
        <v>2361</v>
      </c>
      <c r="AH444" s="54" t="s">
        <v>2362</v>
      </c>
      <c r="AI444" s="54" t="s">
        <v>2403</v>
      </c>
      <c r="AJ444" s="54"/>
      <c r="AK444" s="54"/>
      <c r="AL444" s="54"/>
      <c r="AM444" s="54"/>
      <c r="AN444" s="54"/>
      <c r="AO444" s="54"/>
      <c r="AP444" s="54"/>
      <c r="AQ444" s="54" t="s">
        <v>8177</v>
      </c>
      <c r="AR444" s="54"/>
      <c r="AS444" s="54" t="s">
        <v>4968</v>
      </c>
      <c r="AT444" s="54" t="s">
        <v>2359</v>
      </c>
      <c r="AU444" s="54"/>
      <c r="AV444" s="54">
        <v>0</v>
      </c>
      <c r="AW444" s="54"/>
      <c r="AX444" s="54" t="s">
        <v>4969</v>
      </c>
      <c r="AY444" s="54"/>
      <c r="AZ444" s="54"/>
      <c r="BA444" s="54"/>
      <c r="BB444" s="54" t="s">
        <v>2369</v>
      </c>
      <c r="BC444" s="54" t="s">
        <v>2370</v>
      </c>
      <c r="BD444" s="54" t="s">
        <v>2371</v>
      </c>
      <c r="BE444" s="54" t="s">
        <v>4970</v>
      </c>
      <c r="BF444" s="54">
        <v>2</v>
      </c>
      <c r="BG444" s="54">
        <v>-7.2252000000000001</v>
      </c>
      <c r="BH444" s="54">
        <v>107.0082</v>
      </c>
      <c r="BI444" s="54"/>
      <c r="BJ444" s="54">
        <v>43</v>
      </c>
      <c r="BK444" s="54">
        <v>138</v>
      </c>
      <c r="BL444" s="54">
        <v>59</v>
      </c>
      <c r="BM444" s="54">
        <v>1</v>
      </c>
      <c r="BN444" s="54">
        <v>2</v>
      </c>
    </row>
    <row r="445" spans="1:66" x14ac:dyDescent="0.3">
      <c r="A445" s="3">
        <v>439</v>
      </c>
      <c r="B445" s="3" t="s">
        <v>3952</v>
      </c>
      <c r="C445" s="3" t="s">
        <v>4412</v>
      </c>
      <c r="D445" s="3" t="s">
        <v>53</v>
      </c>
      <c r="E445" s="3">
        <v>3110478853</v>
      </c>
      <c r="F445" s="3" t="s">
        <v>2377</v>
      </c>
      <c r="G445" s="157">
        <v>40576</v>
      </c>
      <c r="H445" s="3">
        <v>3217124202110000</v>
      </c>
      <c r="I445" s="3" t="s">
        <v>2353</v>
      </c>
      <c r="J445" s="3" t="s">
        <v>2394</v>
      </c>
      <c r="K445" s="3">
        <v>4</v>
      </c>
      <c r="L445" s="3">
        <v>1</v>
      </c>
      <c r="M445" s="3"/>
      <c r="N445" s="3" t="s">
        <v>4475</v>
      </c>
      <c r="O445" s="3" t="s">
        <v>2356</v>
      </c>
      <c r="P445" s="3">
        <v>40764</v>
      </c>
      <c r="Q445" s="3" t="s">
        <v>2357</v>
      </c>
      <c r="R445" s="3" t="s">
        <v>2358</v>
      </c>
      <c r="S445" s="3"/>
      <c r="T445" s="3"/>
      <c r="U445" s="3"/>
      <c r="V445" s="3"/>
      <c r="W445" s="3" t="s">
        <v>2359</v>
      </c>
      <c r="X445" s="3"/>
      <c r="Y445" s="3" t="s">
        <v>4971</v>
      </c>
      <c r="Z445" s="3">
        <v>1971</v>
      </c>
      <c r="AA445" s="3" t="s">
        <v>2390</v>
      </c>
      <c r="AB445" s="3" t="s">
        <v>2388</v>
      </c>
      <c r="AC445" s="3" t="s">
        <v>2666</v>
      </c>
      <c r="AD445" s="3">
        <v>3217120506710020</v>
      </c>
      <c r="AE445" s="3" t="s">
        <v>4022</v>
      </c>
      <c r="AF445" s="3">
        <v>1977</v>
      </c>
      <c r="AG445" s="3" t="s">
        <v>2402</v>
      </c>
      <c r="AH445" s="3" t="s">
        <v>2365</v>
      </c>
      <c r="AI445" s="3" t="s">
        <v>2366</v>
      </c>
      <c r="AJ445" s="3">
        <v>3217124610770000</v>
      </c>
      <c r="AK445" s="3"/>
      <c r="AL445" s="3"/>
      <c r="AM445" s="3"/>
      <c r="AN445" s="3"/>
      <c r="AO445" s="3"/>
      <c r="AP445" s="3"/>
      <c r="AQ445" s="3" t="s">
        <v>5148</v>
      </c>
      <c r="AR445" s="3" t="s">
        <v>4972</v>
      </c>
      <c r="AS445" s="3" t="s">
        <v>4973</v>
      </c>
      <c r="AT445" s="3" t="s">
        <v>2359</v>
      </c>
      <c r="AU445" s="3"/>
      <c r="AV445" s="3">
        <v>1</v>
      </c>
      <c r="AW445" s="3"/>
      <c r="AX445" s="3" t="s">
        <v>4974</v>
      </c>
      <c r="AY445" s="3"/>
      <c r="AZ445" s="3"/>
      <c r="BA445" s="3"/>
      <c r="BB445" s="3" t="s">
        <v>2369</v>
      </c>
      <c r="BC445" s="3" t="s">
        <v>2370</v>
      </c>
      <c r="BD445" s="3" t="s">
        <v>2371</v>
      </c>
      <c r="BE445" s="3" t="s">
        <v>4497</v>
      </c>
      <c r="BF445" s="3">
        <v>1</v>
      </c>
      <c r="BG445" s="3">
        <v>-6.9625000000000004</v>
      </c>
      <c r="BH445" s="3">
        <v>107.4346</v>
      </c>
      <c r="BI445" s="3">
        <v>3217120908120020</v>
      </c>
      <c r="BJ445" s="3">
        <v>42</v>
      </c>
      <c r="BK445" s="3">
        <v>139</v>
      </c>
      <c r="BL445" s="3">
        <v>49</v>
      </c>
      <c r="BM445" s="3">
        <v>1</v>
      </c>
      <c r="BN445" s="3">
        <v>2</v>
      </c>
    </row>
    <row r="446" spans="1:66" hidden="1" x14ac:dyDescent="0.3">
      <c r="A446" s="3">
        <v>440</v>
      </c>
      <c r="B446" s="3" t="s">
        <v>3891</v>
      </c>
      <c r="C446" s="3" t="s">
        <v>4350</v>
      </c>
      <c r="D446" s="3" t="s">
        <v>52</v>
      </c>
      <c r="E446" s="3">
        <v>102570382</v>
      </c>
      <c r="F446" s="3" t="s">
        <v>2377</v>
      </c>
      <c r="G446" s="157">
        <v>40357</v>
      </c>
      <c r="H446" s="3">
        <v>3217122806100000</v>
      </c>
      <c r="I446" s="3" t="s">
        <v>2353</v>
      </c>
      <c r="J446" s="3" t="s">
        <v>3050</v>
      </c>
      <c r="K446" s="3">
        <v>1</v>
      </c>
      <c r="L446" s="3">
        <v>4</v>
      </c>
      <c r="M446" s="3"/>
      <c r="N446" s="3" t="s">
        <v>4475</v>
      </c>
      <c r="O446" s="3" t="s">
        <v>2356</v>
      </c>
      <c r="P446" s="3">
        <v>40763</v>
      </c>
      <c r="Q446" s="3" t="s">
        <v>2357</v>
      </c>
      <c r="R446" s="3" t="s">
        <v>2358</v>
      </c>
      <c r="S446" s="3"/>
      <c r="T446" s="3">
        <v>83827710561</v>
      </c>
      <c r="U446" s="3"/>
      <c r="V446" s="3"/>
      <c r="W446" s="3" t="s">
        <v>2359</v>
      </c>
      <c r="X446" s="3"/>
      <c r="Y446" s="3" t="s">
        <v>4184</v>
      </c>
      <c r="Z446" s="3">
        <v>1986</v>
      </c>
      <c r="AA446" s="3" t="s">
        <v>2361</v>
      </c>
      <c r="AB446" s="3" t="s">
        <v>2362</v>
      </c>
      <c r="AC446" s="3" t="s">
        <v>2363</v>
      </c>
      <c r="AD446" s="3">
        <v>3217121604860000</v>
      </c>
      <c r="AE446" s="3" t="s">
        <v>4185</v>
      </c>
      <c r="AF446" s="3">
        <v>1989</v>
      </c>
      <c r="AG446" s="3" t="s">
        <v>2390</v>
      </c>
      <c r="AH446" s="3" t="s">
        <v>2365</v>
      </c>
      <c r="AI446" s="3" t="s">
        <v>2366</v>
      </c>
      <c r="AJ446" s="3">
        <v>3217125211890010</v>
      </c>
      <c r="AK446" s="3"/>
      <c r="AL446" s="3"/>
      <c r="AM446" s="3" t="s">
        <v>2367</v>
      </c>
      <c r="AN446" s="3"/>
      <c r="AO446" s="3"/>
      <c r="AP446" s="3"/>
      <c r="AQ446" s="3" t="s">
        <v>5152</v>
      </c>
      <c r="AR446" s="3"/>
      <c r="AS446" s="3"/>
      <c r="AT446" s="3" t="s">
        <v>2359</v>
      </c>
      <c r="AU446" s="3"/>
      <c r="AV446" s="3">
        <v>0</v>
      </c>
      <c r="AW446" s="3"/>
      <c r="AX446" s="3" t="s">
        <v>4183</v>
      </c>
      <c r="AY446" s="3"/>
      <c r="AZ446" s="3"/>
      <c r="BA446" s="3"/>
      <c r="BB446" s="3" t="s">
        <v>2369</v>
      </c>
      <c r="BC446" s="3" t="s">
        <v>2370</v>
      </c>
      <c r="BD446" s="3" t="s">
        <v>2371</v>
      </c>
      <c r="BE446" s="3" t="s">
        <v>2372</v>
      </c>
      <c r="BF446" s="3">
        <v>1</v>
      </c>
      <c r="BG446" s="3">
        <v>-6.9917999999999996</v>
      </c>
      <c r="BH446" s="3">
        <v>108.4614</v>
      </c>
      <c r="BI446" s="3">
        <v>3321721607120040</v>
      </c>
      <c r="BJ446" s="3">
        <v>44</v>
      </c>
      <c r="BK446" s="3">
        <v>139</v>
      </c>
      <c r="BL446" s="3">
        <v>52</v>
      </c>
      <c r="BM446" s="3">
        <v>1</v>
      </c>
      <c r="BN446" s="3">
        <v>1</v>
      </c>
    </row>
    <row r="447" spans="1:66" s="219" customFormat="1" hidden="1" x14ac:dyDescent="0.3">
      <c r="A447" s="54">
        <v>441</v>
      </c>
      <c r="B447" s="54" t="s">
        <v>1830</v>
      </c>
      <c r="C447" s="54" t="s">
        <v>1476</v>
      </c>
      <c r="D447" s="54" t="s">
        <v>53</v>
      </c>
      <c r="E447" s="54">
        <v>3095347405</v>
      </c>
      <c r="F447" s="54" t="s">
        <v>2373</v>
      </c>
      <c r="G447" s="108">
        <v>40019</v>
      </c>
      <c r="H447" s="54">
        <v>3217126506090000</v>
      </c>
      <c r="I447" s="54" t="s">
        <v>2353</v>
      </c>
      <c r="J447" s="54" t="s">
        <v>3400</v>
      </c>
      <c r="K447" s="54">
        <v>2</v>
      </c>
      <c r="L447" s="54">
        <v>8</v>
      </c>
      <c r="M447" s="54"/>
      <c r="N447" s="54" t="s">
        <v>2513</v>
      </c>
      <c r="O447" s="54" t="s">
        <v>2356</v>
      </c>
      <c r="P447" s="54"/>
      <c r="Q447" s="54" t="s">
        <v>2357</v>
      </c>
      <c r="R447" s="54" t="s">
        <v>2374</v>
      </c>
      <c r="S447" s="54"/>
      <c r="T447" s="54">
        <v>83817293054</v>
      </c>
      <c r="U447" s="54"/>
      <c r="V447" s="54"/>
      <c r="W447" s="54" t="s">
        <v>2359</v>
      </c>
      <c r="X447" s="54"/>
      <c r="Y447" s="54"/>
      <c r="Z447" s="54">
        <v>1968</v>
      </c>
      <c r="AA447" s="54" t="s">
        <v>2361</v>
      </c>
      <c r="AB447" s="54" t="s">
        <v>2362</v>
      </c>
      <c r="AC447" s="54" t="s">
        <v>2363</v>
      </c>
      <c r="AD447" s="54"/>
      <c r="AE447" s="54" t="s">
        <v>2609</v>
      </c>
      <c r="AF447" s="54">
        <v>1974</v>
      </c>
      <c r="AG447" s="54"/>
      <c r="AH447" s="54" t="s">
        <v>2365</v>
      </c>
      <c r="AI447" s="54" t="s">
        <v>2366</v>
      </c>
      <c r="AJ447" s="54"/>
      <c r="AK447" s="54"/>
      <c r="AL447" s="54"/>
      <c r="AM447" s="54"/>
      <c r="AN447" s="54"/>
      <c r="AO447" s="54"/>
      <c r="AP447" s="54"/>
      <c r="AQ447" s="54" t="s">
        <v>5147</v>
      </c>
      <c r="AR447" s="54"/>
      <c r="AS447" s="54"/>
      <c r="AT447" s="54" t="s">
        <v>2359</v>
      </c>
      <c r="AU447" s="54"/>
      <c r="AV447" s="54">
        <v>0</v>
      </c>
      <c r="AW447" s="54"/>
      <c r="AX447" s="54" t="s">
        <v>3401</v>
      </c>
      <c r="AY447" s="54"/>
      <c r="AZ447" s="54"/>
      <c r="BA447" s="54"/>
      <c r="BB447" s="54" t="s">
        <v>2369</v>
      </c>
      <c r="BC447" s="54" t="s">
        <v>2370</v>
      </c>
      <c r="BD447" s="54" t="s">
        <v>2371</v>
      </c>
      <c r="BE447" s="54" t="s">
        <v>3402</v>
      </c>
      <c r="BF447" s="54">
        <v>1</v>
      </c>
      <c r="BG447" s="54">
        <v>-6.9625000000000004</v>
      </c>
      <c r="BH447" s="54">
        <v>107.4346</v>
      </c>
      <c r="BI447" s="54">
        <v>3217122606120000</v>
      </c>
      <c r="BJ447" s="54">
        <v>45</v>
      </c>
      <c r="BK447" s="54">
        <v>143</v>
      </c>
      <c r="BL447" s="54">
        <v>56</v>
      </c>
      <c r="BM447" s="54">
        <v>1</v>
      </c>
      <c r="BN447" s="54">
        <v>2</v>
      </c>
    </row>
    <row r="448" spans="1:66" s="219" customFormat="1" hidden="1" x14ac:dyDescent="0.3">
      <c r="A448" s="54">
        <v>442</v>
      </c>
      <c r="B448" s="54" t="s">
        <v>2060</v>
      </c>
      <c r="C448" s="54" t="s">
        <v>2115</v>
      </c>
      <c r="D448" s="54" t="s">
        <v>53</v>
      </c>
      <c r="E448" s="54">
        <v>93321587</v>
      </c>
      <c r="F448" s="54" t="s">
        <v>2377</v>
      </c>
      <c r="G448" s="108">
        <v>40128</v>
      </c>
      <c r="H448" s="54">
        <v>3217065111090000</v>
      </c>
      <c r="I448" s="54" t="s">
        <v>2353</v>
      </c>
      <c r="J448" s="54" t="s">
        <v>2484</v>
      </c>
      <c r="K448" s="54">
        <v>3</v>
      </c>
      <c r="L448" s="54">
        <v>4</v>
      </c>
      <c r="M448" s="54"/>
      <c r="N448" s="54" t="s">
        <v>2485</v>
      </c>
      <c r="O448" s="54" t="s">
        <v>2426</v>
      </c>
      <c r="P448" s="54">
        <v>40562</v>
      </c>
      <c r="Q448" s="54" t="s">
        <v>2470</v>
      </c>
      <c r="R448" s="54" t="s">
        <v>2358</v>
      </c>
      <c r="S448" s="54"/>
      <c r="T448" s="54">
        <v>83807128397</v>
      </c>
      <c r="U448" s="54"/>
      <c r="V448" s="54"/>
      <c r="W448" s="54" t="s">
        <v>2359</v>
      </c>
      <c r="X448" s="54"/>
      <c r="Y448" s="54" t="s">
        <v>2496</v>
      </c>
      <c r="Z448" s="54">
        <v>1985</v>
      </c>
      <c r="AA448" s="54" t="s">
        <v>2361</v>
      </c>
      <c r="AB448" s="54" t="s">
        <v>2362</v>
      </c>
      <c r="AC448" s="54" t="s">
        <v>2403</v>
      </c>
      <c r="AD448" s="54"/>
      <c r="AE448" s="54" t="s">
        <v>2497</v>
      </c>
      <c r="AF448" s="54">
        <v>1985</v>
      </c>
      <c r="AG448" s="54" t="s">
        <v>2390</v>
      </c>
      <c r="AH448" s="54" t="s">
        <v>2365</v>
      </c>
      <c r="AI448" s="54" t="s">
        <v>2366</v>
      </c>
      <c r="AJ448" s="54">
        <v>3217065111090000</v>
      </c>
      <c r="AK448" s="54" t="s">
        <v>2498</v>
      </c>
      <c r="AL448" s="54">
        <v>1954</v>
      </c>
      <c r="AM448" s="54" t="s">
        <v>2361</v>
      </c>
      <c r="AN448" s="54" t="s">
        <v>2362</v>
      </c>
      <c r="AO448" s="54" t="s">
        <v>2403</v>
      </c>
      <c r="AP448" s="54">
        <v>3217110405540000</v>
      </c>
      <c r="AQ448" s="54" t="s">
        <v>8177</v>
      </c>
      <c r="AR448" s="54"/>
      <c r="AS448" s="54"/>
      <c r="AT448" s="54" t="s">
        <v>2359</v>
      </c>
      <c r="AU448" s="54"/>
      <c r="AV448" s="54">
        <v>1</v>
      </c>
      <c r="AW448" s="54"/>
      <c r="AX448" s="54" t="s">
        <v>2499</v>
      </c>
      <c r="AY448" s="54"/>
      <c r="AZ448" s="54"/>
      <c r="BA448" s="54"/>
      <c r="BB448" s="54" t="s">
        <v>2369</v>
      </c>
      <c r="BC448" s="54" t="s">
        <v>2370</v>
      </c>
      <c r="BD448" s="54" t="s">
        <v>2371</v>
      </c>
      <c r="BE448" s="54" t="s">
        <v>2489</v>
      </c>
      <c r="BF448" s="54">
        <v>2</v>
      </c>
      <c r="BG448" s="54">
        <v>-6.9450000000000003</v>
      </c>
      <c r="BH448" s="54">
        <v>107.39919999999999</v>
      </c>
      <c r="BI448" s="54">
        <v>3217111604050100</v>
      </c>
      <c r="BJ448" s="54">
        <v>52</v>
      </c>
      <c r="BK448" s="54">
        <v>144</v>
      </c>
      <c r="BL448" s="54">
        <v>0</v>
      </c>
      <c r="BM448" s="54">
        <v>0</v>
      </c>
      <c r="BN448" s="54">
        <v>0</v>
      </c>
    </row>
    <row r="449" spans="1:66" s="219" customFormat="1" hidden="1" x14ac:dyDescent="0.3">
      <c r="A449" s="54">
        <v>443</v>
      </c>
      <c r="B449" s="54" t="s">
        <v>2072</v>
      </c>
      <c r="C449" s="54" t="s">
        <v>2217</v>
      </c>
      <c r="D449" s="54" t="s">
        <v>53</v>
      </c>
      <c r="E449" s="54">
        <v>94689884</v>
      </c>
      <c r="F449" s="54" t="s">
        <v>2352</v>
      </c>
      <c r="G449" s="108">
        <v>40145</v>
      </c>
      <c r="H449" s="54">
        <v>3217126206080000</v>
      </c>
      <c r="I449" s="54" t="s">
        <v>2353</v>
      </c>
      <c r="J449" s="54" t="s">
        <v>2871</v>
      </c>
      <c r="K449" s="54">
        <v>3</v>
      </c>
      <c r="L449" s="54">
        <v>4</v>
      </c>
      <c r="M449" s="54"/>
      <c r="N449" s="54" t="s">
        <v>2872</v>
      </c>
      <c r="O449" s="54" t="s">
        <v>2873</v>
      </c>
      <c r="P449" s="54">
        <v>40214</v>
      </c>
      <c r="Q449" s="54" t="s">
        <v>2357</v>
      </c>
      <c r="R449" s="54" t="s">
        <v>2374</v>
      </c>
      <c r="S449" s="54"/>
      <c r="T449" s="54">
        <v>83838796949</v>
      </c>
      <c r="U449" s="54"/>
      <c r="V449" s="54"/>
      <c r="W449" s="54" t="s">
        <v>2359</v>
      </c>
      <c r="X449" s="54"/>
      <c r="Y449" s="54" t="s">
        <v>4975</v>
      </c>
      <c r="Z449" s="54">
        <v>0</v>
      </c>
      <c r="AA449" s="54" t="s">
        <v>2361</v>
      </c>
      <c r="AB449" s="54" t="s">
        <v>2362</v>
      </c>
      <c r="AC449" s="54" t="s">
        <v>2363</v>
      </c>
      <c r="AD449" s="54"/>
      <c r="AE449" s="54" t="s">
        <v>2874</v>
      </c>
      <c r="AF449" s="54">
        <v>0</v>
      </c>
      <c r="AG449" s="54" t="s">
        <v>2361</v>
      </c>
      <c r="AH449" s="54" t="s">
        <v>2365</v>
      </c>
      <c r="AI449" s="54" t="s">
        <v>2366</v>
      </c>
      <c r="AJ449" s="54"/>
      <c r="AK449" s="54"/>
      <c r="AL449" s="54"/>
      <c r="AM449" s="54" t="s">
        <v>2367</v>
      </c>
      <c r="AN449" s="54"/>
      <c r="AO449" s="54"/>
      <c r="AP449" s="54"/>
      <c r="AQ449" s="54" t="s">
        <v>8179</v>
      </c>
      <c r="AR449" s="54"/>
      <c r="AS449" s="54"/>
      <c r="AT449" s="54" t="s">
        <v>2359</v>
      </c>
      <c r="AU449" s="54"/>
      <c r="AV449" s="54">
        <v>0</v>
      </c>
      <c r="AW449" s="54"/>
      <c r="AX449" s="54"/>
      <c r="AY449" s="54"/>
      <c r="AZ449" s="54"/>
      <c r="BA449" s="54"/>
      <c r="BB449" s="54" t="s">
        <v>2369</v>
      </c>
      <c r="BC449" s="54" t="s">
        <v>2370</v>
      </c>
      <c r="BD449" s="54" t="s">
        <v>2371</v>
      </c>
      <c r="BE449" s="54" t="s">
        <v>2553</v>
      </c>
      <c r="BF449" s="54">
        <v>2</v>
      </c>
      <c r="BG449" s="54">
        <v>-6.9278000000000004</v>
      </c>
      <c r="BH449" s="54">
        <v>107.5809</v>
      </c>
      <c r="BI449" s="54">
        <v>3273151109107140</v>
      </c>
      <c r="BJ449" s="54">
        <v>43</v>
      </c>
      <c r="BK449" s="54">
        <v>138</v>
      </c>
      <c r="BL449" s="54">
        <v>0</v>
      </c>
      <c r="BM449" s="54">
        <v>0</v>
      </c>
      <c r="BN449" s="54">
        <v>0</v>
      </c>
    </row>
    <row r="450" spans="1:66" s="219" customFormat="1" hidden="1" x14ac:dyDescent="0.3">
      <c r="A450" s="54">
        <v>444</v>
      </c>
      <c r="B450" s="54" t="s">
        <v>1859</v>
      </c>
      <c r="C450" s="54" t="s">
        <v>1511</v>
      </c>
      <c r="D450" s="54" t="s">
        <v>53</v>
      </c>
      <c r="E450" s="54">
        <v>98179332</v>
      </c>
      <c r="F450" s="54" t="s">
        <v>2377</v>
      </c>
      <c r="G450" s="108">
        <v>40024</v>
      </c>
      <c r="H450" s="54">
        <v>3217127007090000</v>
      </c>
      <c r="I450" s="54" t="s">
        <v>2353</v>
      </c>
      <c r="J450" s="54" t="s">
        <v>2641</v>
      </c>
      <c r="K450" s="54">
        <v>2</v>
      </c>
      <c r="L450" s="54">
        <v>10</v>
      </c>
      <c r="M450" s="54"/>
      <c r="N450" s="54" t="s">
        <v>2513</v>
      </c>
      <c r="O450" s="54" t="s">
        <v>2356</v>
      </c>
      <c r="P450" s="54">
        <v>40564</v>
      </c>
      <c r="Q450" s="54" t="s">
        <v>2357</v>
      </c>
      <c r="R450" s="54" t="s">
        <v>2358</v>
      </c>
      <c r="S450" s="54"/>
      <c r="T450" s="54">
        <v>82217574687</v>
      </c>
      <c r="U450" s="54"/>
      <c r="V450" s="54"/>
      <c r="W450" s="54" t="s">
        <v>2369</v>
      </c>
      <c r="X450" s="54" t="s">
        <v>3546</v>
      </c>
      <c r="Y450" s="54" t="s">
        <v>3547</v>
      </c>
      <c r="Z450" s="54">
        <v>1985</v>
      </c>
      <c r="AA450" s="54" t="s">
        <v>2402</v>
      </c>
      <c r="AB450" s="54" t="s">
        <v>2362</v>
      </c>
      <c r="AC450" s="54" t="s">
        <v>2363</v>
      </c>
      <c r="AD450" s="54"/>
      <c r="AE450" s="54" t="s">
        <v>3548</v>
      </c>
      <c r="AF450" s="54">
        <v>1984</v>
      </c>
      <c r="AG450" s="54" t="s">
        <v>2361</v>
      </c>
      <c r="AH450" s="54" t="s">
        <v>2365</v>
      </c>
      <c r="AI450" s="54" t="s">
        <v>2366</v>
      </c>
      <c r="AJ450" s="54"/>
      <c r="AK450" s="54"/>
      <c r="AL450" s="54"/>
      <c r="AM450" s="54"/>
      <c r="AN450" s="54"/>
      <c r="AO450" s="54"/>
      <c r="AP450" s="54"/>
      <c r="AQ450" s="54" t="s">
        <v>5147</v>
      </c>
      <c r="AR450" s="54"/>
      <c r="AS450" s="54"/>
      <c r="AT450" s="54" t="s">
        <v>2359</v>
      </c>
      <c r="AU450" s="54"/>
      <c r="AV450" s="54">
        <v>0</v>
      </c>
      <c r="AW450" s="54"/>
      <c r="AX450" s="54"/>
      <c r="AY450" s="54"/>
      <c r="AZ450" s="54"/>
      <c r="BA450" s="54"/>
      <c r="BB450" s="54" t="s">
        <v>2369</v>
      </c>
      <c r="BC450" s="54" t="s">
        <v>2443</v>
      </c>
      <c r="BD450" s="54" t="s">
        <v>2371</v>
      </c>
      <c r="BE450" s="54"/>
      <c r="BF450" s="54">
        <v>1</v>
      </c>
      <c r="BG450" s="54">
        <v>-6.9676999999999998</v>
      </c>
      <c r="BH450" s="54">
        <v>107.4117</v>
      </c>
      <c r="BI450" s="54"/>
      <c r="BJ450" s="54">
        <v>21</v>
      </c>
      <c r="BK450" s="54">
        <v>121</v>
      </c>
      <c r="BL450" s="54">
        <v>55</v>
      </c>
      <c r="BM450" s="54">
        <v>2</v>
      </c>
      <c r="BN450" s="54">
        <v>1</v>
      </c>
    </row>
    <row r="451" spans="1:66" s="219" customFormat="1" hidden="1" x14ac:dyDescent="0.3">
      <c r="A451" s="54">
        <v>445</v>
      </c>
      <c r="B451" s="54" t="s">
        <v>1779</v>
      </c>
      <c r="C451" s="54" t="s">
        <v>1418</v>
      </c>
      <c r="D451" s="54" t="s">
        <v>53</v>
      </c>
      <c r="E451" s="54">
        <v>99325598</v>
      </c>
      <c r="F451" s="54" t="s">
        <v>2352</v>
      </c>
      <c r="G451" s="108">
        <v>40149</v>
      </c>
      <c r="H451" s="54">
        <v>3217124212080000</v>
      </c>
      <c r="I451" s="54" t="s">
        <v>2353</v>
      </c>
      <c r="J451" s="54" t="s">
        <v>3195</v>
      </c>
      <c r="K451" s="54">
        <v>2</v>
      </c>
      <c r="L451" s="54">
        <v>8</v>
      </c>
      <c r="M451" s="54" t="s">
        <v>3196</v>
      </c>
      <c r="N451" s="54" t="s">
        <v>2399</v>
      </c>
      <c r="O451" s="54" t="s">
        <v>2356</v>
      </c>
      <c r="P451" s="54">
        <v>40564</v>
      </c>
      <c r="Q451" s="54" t="s">
        <v>2357</v>
      </c>
      <c r="R451" s="54" t="s">
        <v>2358</v>
      </c>
      <c r="S451" s="54"/>
      <c r="T451" s="54">
        <v>83890353585</v>
      </c>
      <c r="U451" s="54"/>
      <c r="V451" s="54"/>
      <c r="W451" s="54" t="s">
        <v>2359</v>
      </c>
      <c r="X451" s="54"/>
      <c r="Y451" s="54" t="s">
        <v>3197</v>
      </c>
      <c r="Z451" s="54">
        <v>1964</v>
      </c>
      <c r="AA451" s="54" t="s">
        <v>2390</v>
      </c>
      <c r="AB451" s="54" t="s">
        <v>2388</v>
      </c>
      <c r="AC451" s="54" t="s">
        <v>2375</v>
      </c>
      <c r="AD451" s="54"/>
      <c r="AE451" s="54" t="s">
        <v>3198</v>
      </c>
      <c r="AF451" s="54">
        <v>1979</v>
      </c>
      <c r="AG451" s="54" t="s">
        <v>2402</v>
      </c>
      <c r="AH451" s="54" t="s">
        <v>2365</v>
      </c>
      <c r="AI451" s="54" t="s">
        <v>2366</v>
      </c>
      <c r="AJ451" s="54"/>
      <c r="AK451" s="54"/>
      <c r="AL451" s="54"/>
      <c r="AM451" s="54"/>
      <c r="AN451" s="54"/>
      <c r="AO451" s="54"/>
      <c r="AP451" s="54"/>
      <c r="AQ451" s="54" t="s">
        <v>5147</v>
      </c>
      <c r="AR451" s="54"/>
      <c r="AS451" s="54"/>
      <c r="AT451" s="54" t="s">
        <v>2359</v>
      </c>
      <c r="AU451" s="54"/>
      <c r="AV451" s="54">
        <v>0</v>
      </c>
      <c r="AW451" s="54"/>
      <c r="AX451" s="54"/>
      <c r="AY451" s="54"/>
      <c r="AZ451" s="54"/>
      <c r="BA451" s="54"/>
      <c r="BB451" s="54" t="s">
        <v>2369</v>
      </c>
      <c r="BC451" s="54" t="s">
        <v>2370</v>
      </c>
      <c r="BD451" s="54" t="s">
        <v>2371</v>
      </c>
      <c r="BE451" s="54"/>
      <c r="BF451" s="54">
        <v>4</v>
      </c>
      <c r="BG451" s="54">
        <v>-6.9486999999999997</v>
      </c>
      <c r="BH451" s="54">
        <v>107.3831</v>
      </c>
      <c r="BI451" s="54">
        <v>3217122611080060</v>
      </c>
      <c r="BJ451" s="54">
        <v>42</v>
      </c>
      <c r="BK451" s="54">
        <v>142</v>
      </c>
      <c r="BL451" s="54">
        <v>55</v>
      </c>
      <c r="BM451" s="54">
        <v>3</v>
      </c>
      <c r="BN451" s="54">
        <v>1</v>
      </c>
    </row>
    <row r="452" spans="1:66" s="219" customFormat="1" hidden="1" x14ac:dyDescent="0.3">
      <c r="A452" s="54">
        <v>446</v>
      </c>
      <c r="B452" s="54" t="s">
        <v>1780</v>
      </c>
      <c r="C452" s="54" t="s">
        <v>1419</v>
      </c>
      <c r="D452" s="54" t="s">
        <v>53</v>
      </c>
      <c r="E452" s="54">
        <v>3083633927</v>
      </c>
      <c r="F452" s="54" t="s">
        <v>2446</v>
      </c>
      <c r="G452" s="108">
        <v>39734</v>
      </c>
      <c r="H452" s="54">
        <v>3217115310080000</v>
      </c>
      <c r="I452" s="54" t="s">
        <v>2353</v>
      </c>
      <c r="J452" s="54" t="s">
        <v>2616</v>
      </c>
      <c r="K452" s="54">
        <v>2</v>
      </c>
      <c r="L452" s="54">
        <v>5</v>
      </c>
      <c r="M452" s="54"/>
      <c r="N452" s="54" t="s">
        <v>2617</v>
      </c>
      <c r="O452" s="54" t="s">
        <v>2426</v>
      </c>
      <c r="P452" s="54">
        <v>40562</v>
      </c>
      <c r="Q452" s="54" t="s">
        <v>2357</v>
      </c>
      <c r="R452" s="54" t="s">
        <v>2358</v>
      </c>
      <c r="S452" s="54"/>
      <c r="T452" s="54">
        <v>82113716832</v>
      </c>
      <c r="U452" s="54"/>
      <c r="V452" s="54"/>
      <c r="W452" s="54" t="s">
        <v>2359</v>
      </c>
      <c r="X452" s="54"/>
      <c r="Y452" s="54"/>
      <c r="Z452" s="54">
        <v>1965</v>
      </c>
      <c r="AA452" s="54" t="s">
        <v>2402</v>
      </c>
      <c r="AB452" s="54" t="s">
        <v>2362</v>
      </c>
      <c r="AC452" s="54" t="s">
        <v>2363</v>
      </c>
      <c r="AD452" s="54"/>
      <c r="AE452" s="54" t="s">
        <v>4124</v>
      </c>
      <c r="AF452" s="54">
        <v>1977</v>
      </c>
      <c r="AG452" s="54" t="s">
        <v>2361</v>
      </c>
      <c r="AH452" s="54" t="s">
        <v>2365</v>
      </c>
      <c r="AI452" s="54" t="s">
        <v>2366</v>
      </c>
      <c r="AJ452" s="54"/>
      <c r="AK452" s="54"/>
      <c r="AL452" s="54"/>
      <c r="AM452" s="54"/>
      <c r="AN452" s="54"/>
      <c r="AO452" s="54"/>
      <c r="AP452" s="54"/>
      <c r="AQ452" s="54" t="s">
        <v>5147</v>
      </c>
      <c r="AR452" s="54"/>
      <c r="AS452" s="54"/>
      <c r="AT452" s="54" t="s">
        <v>2359</v>
      </c>
      <c r="AU452" s="54"/>
      <c r="AV452" s="54">
        <v>0</v>
      </c>
      <c r="AW452" s="54"/>
      <c r="AX452" s="54" t="s">
        <v>3199</v>
      </c>
      <c r="AY452" s="54"/>
      <c r="AZ452" s="54"/>
      <c r="BA452" s="54"/>
      <c r="BB452" s="54" t="s">
        <v>2369</v>
      </c>
      <c r="BC452" s="54" t="s">
        <v>2370</v>
      </c>
      <c r="BD452" s="54" t="s">
        <v>2371</v>
      </c>
      <c r="BE452" s="54" t="s">
        <v>2669</v>
      </c>
      <c r="BF452" s="54">
        <v>1</v>
      </c>
      <c r="BG452" s="54">
        <v>-6.9625000000000004</v>
      </c>
      <c r="BH452" s="54">
        <v>107.4346</v>
      </c>
      <c r="BI452" s="54">
        <v>3217112105070020</v>
      </c>
      <c r="BJ452" s="54">
        <v>44</v>
      </c>
      <c r="BK452" s="54">
        <v>130</v>
      </c>
      <c r="BL452" s="54">
        <v>54</v>
      </c>
      <c r="BM452" s="54">
        <v>1</v>
      </c>
      <c r="BN452" s="54">
        <v>2</v>
      </c>
    </row>
    <row r="453" spans="1:66" hidden="1" x14ac:dyDescent="0.3">
      <c r="A453" s="3">
        <v>447</v>
      </c>
      <c r="B453" s="3" t="s">
        <v>3838</v>
      </c>
      <c r="C453" s="3" t="s">
        <v>4286</v>
      </c>
      <c r="D453" s="3" t="s">
        <v>53</v>
      </c>
      <c r="E453" s="3">
        <v>103538579</v>
      </c>
      <c r="F453" s="3" t="s">
        <v>4976</v>
      </c>
      <c r="G453" s="157">
        <v>40406</v>
      </c>
      <c r="H453" s="3">
        <v>3202065608100000</v>
      </c>
      <c r="I453" s="3" t="s">
        <v>2353</v>
      </c>
      <c r="J453" s="3" t="s">
        <v>4977</v>
      </c>
      <c r="K453" s="3">
        <v>7</v>
      </c>
      <c r="L453" s="3">
        <v>4</v>
      </c>
      <c r="M453" s="3" t="s">
        <v>4978</v>
      </c>
      <c r="N453" s="3" t="s">
        <v>4979</v>
      </c>
      <c r="O453" s="3" t="s">
        <v>4980</v>
      </c>
      <c r="P453" s="3">
        <v>43367</v>
      </c>
      <c r="Q453" s="3" t="s">
        <v>2357</v>
      </c>
      <c r="R453" s="3" t="s">
        <v>2358</v>
      </c>
      <c r="S453" s="3"/>
      <c r="T453" s="3"/>
      <c r="U453" s="3"/>
      <c r="V453" s="3"/>
      <c r="W453" s="3" t="s">
        <v>2359</v>
      </c>
      <c r="X453" s="3"/>
      <c r="Y453" s="3" t="s">
        <v>4981</v>
      </c>
      <c r="Z453" s="3">
        <v>0</v>
      </c>
      <c r="AA453" s="3" t="s">
        <v>2367</v>
      </c>
      <c r="AB453" s="3" t="s">
        <v>2362</v>
      </c>
      <c r="AC453" s="3" t="s">
        <v>2403</v>
      </c>
      <c r="AD453" s="3"/>
      <c r="AE453" s="3" t="s">
        <v>4982</v>
      </c>
      <c r="AF453" s="3">
        <v>1987</v>
      </c>
      <c r="AG453" s="3" t="s">
        <v>2367</v>
      </c>
      <c r="AH453" s="3" t="s">
        <v>2474</v>
      </c>
      <c r="AI453" s="3" t="s">
        <v>2366</v>
      </c>
      <c r="AJ453" s="3">
        <v>3202066709870000</v>
      </c>
      <c r="AK453" s="3"/>
      <c r="AL453" s="3"/>
      <c r="AM453" s="3" t="s">
        <v>2367</v>
      </c>
      <c r="AN453" s="3"/>
      <c r="AO453" s="3"/>
      <c r="AP453" s="3"/>
      <c r="AQ453" s="3" t="s">
        <v>5149</v>
      </c>
      <c r="AR453" s="3"/>
      <c r="AS453" s="3"/>
      <c r="AT453" s="3" t="s">
        <v>2359</v>
      </c>
      <c r="AU453" s="3"/>
      <c r="AV453" s="3">
        <v>0</v>
      </c>
      <c r="AW453" s="3"/>
      <c r="AX453" s="3" t="s">
        <v>4983</v>
      </c>
      <c r="AY453" s="3"/>
      <c r="AZ453" s="3"/>
      <c r="BA453" s="3"/>
      <c r="BB453" s="3" t="s">
        <v>2369</v>
      </c>
      <c r="BC453" s="3" t="s">
        <v>2370</v>
      </c>
      <c r="BD453" s="3" t="s">
        <v>2371</v>
      </c>
      <c r="BE453" s="3" t="s">
        <v>4593</v>
      </c>
      <c r="BF453" s="3">
        <v>2</v>
      </c>
      <c r="BG453" s="3">
        <v>-6.8876573089999997</v>
      </c>
      <c r="BH453" s="3">
        <v>106.61390299999999</v>
      </c>
      <c r="BI453" s="3"/>
      <c r="BJ453" s="3">
        <v>39</v>
      </c>
      <c r="BK453" s="3">
        <v>138</v>
      </c>
      <c r="BL453" s="3">
        <v>3</v>
      </c>
      <c r="BM453" s="3">
        <v>1</v>
      </c>
      <c r="BN453" s="3">
        <v>3</v>
      </c>
    </row>
    <row r="454" spans="1:66" s="219" customFormat="1" hidden="1" x14ac:dyDescent="0.3">
      <c r="A454" s="54">
        <v>448</v>
      </c>
      <c r="B454" s="54" t="s">
        <v>2078</v>
      </c>
      <c r="C454" s="54" t="s">
        <v>2155</v>
      </c>
      <c r="D454" s="54" t="s">
        <v>52</v>
      </c>
      <c r="E454" s="54">
        <v>3101816602</v>
      </c>
      <c r="F454" s="54" t="s">
        <v>2373</v>
      </c>
      <c r="G454" s="108">
        <v>40397</v>
      </c>
      <c r="H454" s="54">
        <v>3217120708100000</v>
      </c>
      <c r="I454" s="54" t="s">
        <v>2353</v>
      </c>
      <c r="J454" s="54" t="s">
        <v>2585</v>
      </c>
      <c r="K454" s="54">
        <v>2</v>
      </c>
      <c r="L454" s="54">
        <v>7</v>
      </c>
      <c r="M454" s="54"/>
      <c r="N454" s="54" t="s">
        <v>2395</v>
      </c>
      <c r="O454" s="54" t="s">
        <v>2356</v>
      </c>
      <c r="P454" s="54"/>
      <c r="Q454" s="54" t="s">
        <v>2357</v>
      </c>
      <c r="R454" s="54" t="s">
        <v>2358</v>
      </c>
      <c r="S454" s="54"/>
      <c r="T454" s="54"/>
      <c r="U454" s="54"/>
      <c r="V454" s="54"/>
      <c r="W454" s="54" t="s">
        <v>2359</v>
      </c>
      <c r="X454" s="54"/>
      <c r="Y454" s="54"/>
      <c r="Z454" s="54">
        <v>0</v>
      </c>
      <c r="AA454" s="54"/>
      <c r="AB454" s="54" t="s">
        <v>2362</v>
      </c>
      <c r="AC454" s="54" t="s">
        <v>2375</v>
      </c>
      <c r="AD454" s="54"/>
      <c r="AE454" s="54" t="s">
        <v>2586</v>
      </c>
      <c r="AF454" s="54">
        <v>0</v>
      </c>
      <c r="AG454" s="54"/>
      <c r="AH454" s="54" t="s">
        <v>2365</v>
      </c>
      <c r="AI454" s="54" t="s">
        <v>2366</v>
      </c>
      <c r="AJ454" s="54"/>
      <c r="AK454" s="54"/>
      <c r="AL454" s="54"/>
      <c r="AM454" s="54"/>
      <c r="AN454" s="54"/>
      <c r="AO454" s="54"/>
      <c r="AP454" s="54"/>
      <c r="AQ454" s="54" t="s">
        <v>8181</v>
      </c>
      <c r="AR454" s="54"/>
      <c r="AS454" s="54"/>
      <c r="AT454" s="54" t="s">
        <v>2359</v>
      </c>
      <c r="AU454" s="54"/>
      <c r="AV454" s="54">
        <v>1</v>
      </c>
      <c r="AW454" s="54"/>
      <c r="AX454" s="54"/>
      <c r="AY454" s="54"/>
      <c r="AZ454" s="54"/>
      <c r="BA454" s="54"/>
      <c r="BB454" s="54" t="s">
        <v>2359</v>
      </c>
      <c r="BC454" s="54"/>
      <c r="BD454" s="54" t="s">
        <v>2371</v>
      </c>
      <c r="BE454" s="54" t="s">
        <v>4497</v>
      </c>
      <c r="BF454" s="54">
        <v>1</v>
      </c>
      <c r="BG454" s="54">
        <v>-6.9625000000000004</v>
      </c>
      <c r="BH454" s="54">
        <v>107.4346</v>
      </c>
      <c r="BI454" s="54"/>
      <c r="BJ454" s="54">
        <v>46</v>
      </c>
      <c r="BK454" s="54">
        <v>142</v>
      </c>
      <c r="BL454" s="54">
        <v>57</v>
      </c>
      <c r="BM454" s="54">
        <v>1</v>
      </c>
      <c r="BN454" s="54">
        <v>2</v>
      </c>
    </row>
    <row r="455" spans="1:66" x14ac:dyDescent="0.3">
      <c r="A455" s="3">
        <v>449</v>
      </c>
      <c r="B455" s="3" t="s">
        <v>4984</v>
      </c>
      <c r="C455" s="3" t="s">
        <v>4414</v>
      </c>
      <c r="D455" s="3" t="s">
        <v>52</v>
      </c>
      <c r="E455" s="3">
        <v>112688337</v>
      </c>
      <c r="F455" s="3" t="s">
        <v>2377</v>
      </c>
      <c r="G455" s="157">
        <v>40715</v>
      </c>
      <c r="H455" s="3">
        <v>3217112106110000</v>
      </c>
      <c r="I455" s="3" t="s">
        <v>2353</v>
      </c>
      <c r="J455" s="3" t="s">
        <v>4985</v>
      </c>
      <c r="K455" s="3">
        <v>1</v>
      </c>
      <c r="L455" s="3">
        <v>10</v>
      </c>
      <c r="M455" s="3"/>
      <c r="N455" s="3" t="s">
        <v>4986</v>
      </c>
      <c r="O455" s="3" t="s">
        <v>2426</v>
      </c>
      <c r="P455" s="3">
        <v>40562</v>
      </c>
      <c r="Q455" s="3" t="s">
        <v>2357</v>
      </c>
      <c r="R455" s="3" t="s">
        <v>2374</v>
      </c>
      <c r="S455" s="3"/>
      <c r="T455" s="3">
        <v>83829352660</v>
      </c>
      <c r="U455" s="3"/>
      <c r="V455" s="3"/>
      <c r="W455" s="3" t="s">
        <v>2359</v>
      </c>
      <c r="X455" s="3"/>
      <c r="Y455" s="3" t="s">
        <v>4116</v>
      </c>
      <c r="Z455" s="3">
        <v>1983</v>
      </c>
      <c r="AA455" s="3" t="s">
        <v>2390</v>
      </c>
      <c r="AB455" s="3" t="s">
        <v>2362</v>
      </c>
      <c r="AC455" s="3" t="s">
        <v>2363</v>
      </c>
      <c r="AD455" s="3">
        <v>3217111506830010</v>
      </c>
      <c r="AE455" s="3" t="s">
        <v>4117</v>
      </c>
      <c r="AF455" s="3">
        <v>1984</v>
      </c>
      <c r="AG455" s="3" t="s">
        <v>2361</v>
      </c>
      <c r="AH455" s="3" t="s">
        <v>2365</v>
      </c>
      <c r="AI455" s="3" t="s">
        <v>2366</v>
      </c>
      <c r="AJ455" s="3">
        <v>3217111506830010</v>
      </c>
      <c r="AK455" s="3"/>
      <c r="AL455" s="3"/>
      <c r="AM455" s="3" t="s">
        <v>2367</v>
      </c>
      <c r="AN455" s="3"/>
      <c r="AO455" s="3"/>
      <c r="AP455" s="3"/>
      <c r="AQ455" s="3" t="s">
        <v>5148</v>
      </c>
      <c r="AR455" s="3"/>
      <c r="AS455" s="3"/>
      <c r="AT455" s="3" t="s">
        <v>2359</v>
      </c>
      <c r="AU455" s="3"/>
      <c r="AV455" s="3">
        <v>0</v>
      </c>
      <c r="AW455" s="3"/>
      <c r="AX455" s="3" t="s">
        <v>4987</v>
      </c>
      <c r="AY455" s="3"/>
      <c r="AZ455" s="3"/>
      <c r="BA455" s="3"/>
      <c r="BB455" s="3" t="s">
        <v>2359</v>
      </c>
      <c r="BC455" s="3"/>
      <c r="BD455" s="3" t="s">
        <v>2371</v>
      </c>
      <c r="BE455" s="3" t="s">
        <v>2430</v>
      </c>
      <c r="BF455" s="3">
        <v>1</v>
      </c>
      <c r="BG455" s="3">
        <v>-6.9884000000000004</v>
      </c>
      <c r="BH455" s="3">
        <v>107.4457</v>
      </c>
      <c r="BI455" s="3"/>
      <c r="BJ455" s="3">
        <v>45</v>
      </c>
      <c r="BK455" s="3">
        <v>135</v>
      </c>
      <c r="BL455" s="3">
        <v>56</v>
      </c>
      <c r="BM455" s="3">
        <v>1</v>
      </c>
      <c r="BN455" s="3">
        <v>2</v>
      </c>
    </row>
    <row r="456" spans="1:66" hidden="1" x14ac:dyDescent="0.3">
      <c r="A456" s="3">
        <v>450</v>
      </c>
      <c r="B456" s="3" t="s">
        <v>4988</v>
      </c>
      <c r="C456" s="3" t="s">
        <v>4312</v>
      </c>
      <c r="D456" s="3" t="s">
        <v>53</v>
      </c>
      <c r="E456" s="3">
        <v>112055066</v>
      </c>
      <c r="F456" s="3" t="s">
        <v>2373</v>
      </c>
      <c r="G456" s="157">
        <v>40588</v>
      </c>
      <c r="H456" s="3">
        <v>3217125402110000</v>
      </c>
      <c r="I456" s="3" t="s">
        <v>2353</v>
      </c>
      <c r="J456" s="3" t="s">
        <v>2574</v>
      </c>
      <c r="K456" s="3">
        <v>2</v>
      </c>
      <c r="L456" s="3">
        <v>5</v>
      </c>
      <c r="M456" s="3"/>
      <c r="N456" s="3" t="s">
        <v>2395</v>
      </c>
      <c r="O456" s="3" t="s">
        <v>2356</v>
      </c>
      <c r="P456" s="3">
        <v>40764</v>
      </c>
      <c r="Q456" s="3" t="s">
        <v>2357</v>
      </c>
      <c r="R456" s="3" t="s">
        <v>2358</v>
      </c>
      <c r="S456" s="3"/>
      <c r="T456" s="3">
        <v>81572359164</v>
      </c>
      <c r="U456" s="3"/>
      <c r="V456" s="3"/>
      <c r="W456" s="3" t="s">
        <v>2359</v>
      </c>
      <c r="X456" s="3"/>
      <c r="Y456" s="3" t="s">
        <v>4989</v>
      </c>
      <c r="Z456" s="3">
        <v>1989</v>
      </c>
      <c r="AA456" s="3" t="s">
        <v>2390</v>
      </c>
      <c r="AB456" s="3" t="s">
        <v>2362</v>
      </c>
      <c r="AC456" s="3" t="s">
        <v>2363</v>
      </c>
      <c r="AD456" s="3">
        <v>3217120203890020</v>
      </c>
      <c r="AE456" s="3" t="s">
        <v>4990</v>
      </c>
      <c r="AF456" s="3">
        <v>1991</v>
      </c>
      <c r="AG456" s="3" t="s">
        <v>2367</v>
      </c>
      <c r="AH456" s="3" t="s">
        <v>2365</v>
      </c>
      <c r="AI456" s="3" t="s">
        <v>2366</v>
      </c>
      <c r="AJ456" s="3">
        <v>3217126402910000</v>
      </c>
      <c r="AK456" s="3"/>
      <c r="AL456" s="3"/>
      <c r="AM456" s="3" t="s">
        <v>2367</v>
      </c>
      <c r="AN456" s="3"/>
      <c r="AO456" s="3"/>
      <c r="AP456" s="3"/>
      <c r="AQ456" s="3" t="s">
        <v>5150</v>
      </c>
      <c r="AR456" s="3"/>
      <c r="AS456" s="3"/>
      <c r="AT456" s="3" t="s">
        <v>2359</v>
      </c>
      <c r="AU456" s="3"/>
      <c r="AV456" s="3">
        <v>0</v>
      </c>
      <c r="AW456" s="3"/>
      <c r="AX456" s="3"/>
      <c r="AY456" s="3"/>
      <c r="AZ456" s="3"/>
      <c r="BA456" s="3"/>
      <c r="BB456" s="3" t="s">
        <v>2369</v>
      </c>
      <c r="BC456" s="3" t="s">
        <v>2370</v>
      </c>
      <c r="BD456" s="3" t="s">
        <v>2371</v>
      </c>
      <c r="BE456" s="3" t="s">
        <v>2553</v>
      </c>
      <c r="BF456" s="3">
        <v>1</v>
      </c>
      <c r="BG456" s="3">
        <v>-7.0068000000000001</v>
      </c>
      <c r="BH456" s="3">
        <v>107.2349</v>
      </c>
      <c r="BI456" s="3">
        <v>3217121009120050</v>
      </c>
      <c r="BJ456" s="3">
        <v>43</v>
      </c>
      <c r="BK456" s="3">
        <v>141</v>
      </c>
      <c r="BL456" s="3">
        <v>54</v>
      </c>
      <c r="BM456" s="3">
        <v>1</v>
      </c>
      <c r="BN456" s="3">
        <v>1</v>
      </c>
    </row>
    <row r="457" spans="1:66" hidden="1" x14ac:dyDescent="0.3">
      <c r="A457" s="3">
        <v>451</v>
      </c>
      <c r="B457" s="3" t="s">
        <v>3839</v>
      </c>
      <c r="C457" s="3"/>
      <c r="D457" s="3" t="s">
        <v>52</v>
      </c>
      <c r="E457" s="3">
        <v>103602829</v>
      </c>
      <c r="F457" s="3" t="s">
        <v>2377</v>
      </c>
      <c r="G457" s="157">
        <v>40437</v>
      </c>
      <c r="H457" s="3">
        <v>3217121609100000</v>
      </c>
      <c r="I457" s="3" t="s">
        <v>2353</v>
      </c>
      <c r="J457" s="3" t="s">
        <v>2641</v>
      </c>
      <c r="K457" s="3">
        <v>3</v>
      </c>
      <c r="L457" s="3">
        <v>10</v>
      </c>
      <c r="M457" s="3"/>
      <c r="N457" s="3" t="s">
        <v>4475</v>
      </c>
      <c r="O457" s="3" t="s">
        <v>2356</v>
      </c>
      <c r="P457" s="3">
        <v>40564</v>
      </c>
      <c r="Q457" s="3" t="s">
        <v>2357</v>
      </c>
      <c r="R457" s="3" t="s">
        <v>2358</v>
      </c>
      <c r="S457" s="3"/>
      <c r="T457" s="3">
        <v>83816431508</v>
      </c>
      <c r="U457" s="3"/>
      <c r="V457" s="3"/>
      <c r="W457" s="3" t="s">
        <v>2359</v>
      </c>
      <c r="X457" s="3"/>
      <c r="Y457" s="3" t="s">
        <v>4157</v>
      </c>
      <c r="Z457" s="3">
        <v>1984</v>
      </c>
      <c r="AA457" s="3" t="s">
        <v>2361</v>
      </c>
      <c r="AB457" s="3" t="s">
        <v>2362</v>
      </c>
      <c r="AC457" s="3" t="s">
        <v>2363</v>
      </c>
      <c r="AD457" s="3">
        <v>3217120302840010</v>
      </c>
      <c r="AE457" s="3" t="s">
        <v>4991</v>
      </c>
      <c r="AF457" s="3">
        <v>1987</v>
      </c>
      <c r="AG457" s="3" t="s">
        <v>2361</v>
      </c>
      <c r="AH457" s="3" t="s">
        <v>2365</v>
      </c>
      <c r="AI457" s="3" t="s">
        <v>2366</v>
      </c>
      <c r="AJ457" s="3">
        <v>3217125103870000</v>
      </c>
      <c r="AK457" s="3"/>
      <c r="AL457" s="3"/>
      <c r="AM457" s="3" t="s">
        <v>2367</v>
      </c>
      <c r="AN457" s="3"/>
      <c r="AO457" s="3"/>
      <c r="AP457" s="3"/>
      <c r="AQ457" s="3" t="s">
        <v>5149</v>
      </c>
      <c r="AR457" s="3"/>
      <c r="AS457" s="3"/>
      <c r="AT457" s="3" t="s">
        <v>2369</v>
      </c>
      <c r="AU457" s="3" t="s">
        <v>4992</v>
      </c>
      <c r="AV457" s="3">
        <v>0</v>
      </c>
      <c r="AW457" s="3"/>
      <c r="AX457" s="3" t="s">
        <v>4156</v>
      </c>
      <c r="AY457" s="3"/>
      <c r="AZ457" s="3"/>
      <c r="BA457" s="3"/>
      <c r="BB457" s="3" t="s">
        <v>2369</v>
      </c>
      <c r="BC457" s="3"/>
      <c r="BD457" s="3" t="s">
        <v>2371</v>
      </c>
      <c r="BE457" s="3" t="s">
        <v>2372</v>
      </c>
      <c r="BF457" s="3">
        <v>2</v>
      </c>
      <c r="BG457" s="3">
        <v>-6.9676999999999998</v>
      </c>
      <c r="BH457" s="3">
        <v>107.4117</v>
      </c>
      <c r="BI457" s="3">
        <v>3217122204080030</v>
      </c>
      <c r="BJ457" s="3">
        <v>39</v>
      </c>
      <c r="BK457" s="3">
        <v>140</v>
      </c>
      <c r="BL457" s="3">
        <v>2</v>
      </c>
      <c r="BM457" s="3">
        <v>1</v>
      </c>
      <c r="BN457" s="3">
        <v>3</v>
      </c>
    </row>
    <row r="458" spans="1:66" s="219" customFormat="1" hidden="1" x14ac:dyDescent="0.3">
      <c r="A458" s="54">
        <v>452</v>
      </c>
      <c r="B458" s="54" t="s">
        <v>2640</v>
      </c>
      <c r="C458" s="54" t="s">
        <v>2156</v>
      </c>
      <c r="D458" s="54" t="s">
        <v>52</v>
      </c>
      <c r="E458" s="54">
        <v>93909050</v>
      </c>
      <c r="F458" s="54" t="s">
        <v>2377</v>
      </c>
      <c r="G458" s="108">
        <v>40059</v>
      </c>
      <c r="H458" s="54">
        <v>3217120309090000</v>
      </c>
      <c r="I458" s="54" t="s">
        <v>2353</v>
      </c>
      <c r="J458" s="54" t="s">
        <v>2641</v>
      </c>
      <c r="K458" s="54">
        <v>1</v>
      </c>
      <c r="L458" s="54">
        <v>10</v>
      </c>
      <c r="M458" s="54"/>
      <c r="N458" s="54" t="s">
        <v>2642</v>
      </c>
      <c r="O458" s="54" t="s">
        <v>2356</v>
      </c>
      <c r="P458" s="54">
        <v>40564</v>
      </c>
      <c r="Q458" s="54" t="s">
        <v>2357</v>
      </c>
      <c r="R458" s="54" t="s">
        <v>2358</v>
      </c>
      <c r="S458" s="54"/>
      <c r="T458" s="54">
        <v>83100616320</v>
      </c>
      <c r="U458" s="54"/>
      <c r="V458" s="54"/>
      <c r="W458" s="54" t="s">
        <v>2359</v>
      </c>
      <c r="X458" s="54"/>
      <c r="Y458" s="54" t="s">
        <v>2643</v>
      </c>
      <c r="Z458" s="54">
        <v>1967</v>
      </c>
      <c r="AA458" s="54" t="s">
        <v>2361</v>
      </c>
      <c r="AB458" s="54" t="s">
        <v>2362</v>
      </c>
      <c r="AC458" s="54" t="s">
        <v>2363</v>
      </c>
      <c r="AD458" s="54">
        <v>3217121002670010</v>
      </c>
      <c r="AE458" s="54" t="s">
        <v>2644</v>
      </c>
      <c r="AF458" s="54">
        <v>1980</v>
      </c>
      <c r="AG458" s="54" t="s">
        <v>2361</v>
      </c>
      <c r="AH458" s="54" t="s">
        <v>2365</v>
      </c>
      <c r="AI458" s="54" t="s">
        <v>2366</v>
      </c>
      <c r="AJ458" s="54">
        <v>3217125110800010</v>
      </c>
      <c r="AK458" s="54"/>
      <c r="AL458" s="54"/>
      <c r="AM458" s="54" t="s">
        <v>2367</v>
      </c>
      <c r="AN458" s="54"/>
      <c r="AO458" s="54"/>
      <c r="AP458" s="54"/>
      <c r="AQ458" s="54" t="s">
        <v>8181</v>
      </c>
      <c r="AR458" s="54"/>
      <c r="AS458" s="54"/>
      <c r="AT458" s="54" t="s">
        <v>2369</v>
      </c>
      <c r="AU458" s="54" t="s">
        <v>2645</v>
      </c>
      <c r="AV458" s="54">
        <v>0</v>
      </c>
      <c r="AW458" s="54"/>
      <c r="AX458" s="54" t="s">
        <v>2646</v>
      </c>
      <c r="AY458" s="54" t="s">
        <v>2460</v>
      </c>
      <c r="AZ458" s="54">
        <v>411601004283502</v>
      </c>
      <c r="BA458" s="54" t="s">
        <v>2640</v>
      </c>
      <c r="BB458" s="54" t="s">
        <v>2369</v>
      </c>
      <c r="BC458" s="54"/>
      <c r="BD458" s="54" t="s">
        <v>2371</v>
      </c>
      <c r="BE458" s="54" t="s">
        <v>2372</v>
      </c>
      <c r="BF458" s="54">
        <v>1</v>
      </c>
      <c r="BG458" s="54">
        <v>-6.9676999999999998</v>
      </c>
      <c r="BH458" s="54">
        <v>107.4117</v>
      </c>
      <c r="BI458" s="54">
        <v>3217122112090010</v>
      </c>
      <c r="BJ458" s="54">
        <v>50</v>
      </c>
      <c r="BK458" s="54">
        <v>141</v>
      </c>
      <c r="BL458" s="54">
        <v>0</v>
      </c>
      <c r="BM458" s="54">
        <v>0</v>
      </c>
      <c r="BN458" s="54">
        <v>0</v>
      </c>
    </row>
    <row r="459" spans="1:66" s="219" customFormat="1" hidden="1" x14ac:dyDescent="0.3">
      <c r="A459" s="54">
        <v>453</v>
      </c>
      <c r="B459" s="54" t="s">
        <v>2647</v>
      </c>
      <c r="C459" s="54" t="s">
        <v>2157</v>
      </c>
      <c r="D459" s="54" t="s">
        <v>52</v>
      </c>
      <c r="E459" s="54">
        <v>109052430</v>
      </c>
      <c r="F459" s="54" t="s">
        <v>2377</v>
      </c>
      <c r="G459" s="108">
        <v>40427</v>
      </c>
      <c r="H459" s="54">
        <v>3217120609100000</v>
      </c>
      <c r="I459" s="54" t="s">
        <v>2353</v>
      </c>
      <c r="J459" s="54" t="s">
        <v>2648</v>
      </c>
      <c r="K459" s="54">
        <v>3</v>
      </c>
      <c r="L459" s="54">
        <v>10</v>
      </c>
      <c r="M459" s="54"/>
      <c r="N459" s="54" t="s">
        <v>2355</v>
      </c>
      <c r="O459" s="54" t="s">
        <v>2356</v>
      </c>
      <c r="P459" s="54">
        <v>40564</v>
      </c>
      <c r="Q459" s="54" t="s">
        <v>2357</v>
      </c>
      <c r="R459" s="54" t="s">
        <v>2358</v>
      </c>
      <c r="S459" s="54"/>
      <c r="T459" s="54">
        <v>83100497810</v>
      </c>
      <c r="U459" s="54"/>
      <c r="V459" s="54"/>
      <c r="W459" s="54" t="s">
        <v>2359</v>
      </c>
      <c r="X459" s="54"/>
      <c r="Y459" s="54" t="s">
        <v>2649</v>
      </c>
      <c r="Z459" s="54">
        <v>1973</v>
      </c>
      <c r="AA459" s="54" t="s">
        <v>2361</v>
      </c>
      <c r="AB459" s="54" t="s">
        <v>2362</v>
      </c>
      <c r="AC459" s="54" t="s">
        <v>2363</v>
      </c>
      <c r="AD459" s="54">
        <v>3217121110730000</v>
      </c>
      <c r="AE459" s="54" t="s">
        <v>2650</v>
      </c>
      <c r="AF459" s="54">
        <v>1984</v>
      </c>
      <c r="AG459" s="54" t="s">
        <v>2361</v>
      </c>
      <c r="AH459" s="54" t="s">
        <v>2365</v>
      </c>
      <c r="AI459" s="54" t="s">
        <v>2366</v>
      </c>
      <c r="AJ459" s="54">
        <v>3217124708840030</v>
      </c>
      <c r="AK459" s="54"/>
      <c r="AL459" s="54"/>
      <c r="AM459" s="54" t="s">
        <v>2367</v>
      </c>
      <c r="AN459" s="54"/>
      <c r="AO459" s="54"/>
      <c r="AP459" s="54"/>
      <c r="AQ459" s="54" t="s">
        <v>8181</v>
      </c>
      <c r="AR459" s="54"/>
      <c r="AS459" s="54"/>
      <c r="AT459" s="54" t="s">
        <v>2359</v>
      </c>
      <c r="AU459" s="54"/>
      <c r="AV459" s="54">
        <v>0</v>
      </c>
      <c r="AW459" s="54"/>
      <c r="AX459" s="54" t="s">
        <v>2651</v>
      </c>
      <c r="AY459" s="54"/>
      <c r="AZ459" s="54"/>
      <c r="BA459" s="54"/>
      <c r="BB459" s="54" t="s">
        <v>2369</v>
      </c>
      <c r="BC459" s="54" t="s">
        <v>2370</v>
      </c>
      <c r="BD459" s="54" t="s">
        <v>2371</v>
      </c>
      <c r="BE459" s="54" t="s">
        <v>2372</v>
      </c>
      <c r="BF459" s="54">
        <v>1</v>
      </c>
      <c r="BG459" s="54">
        <v>-6.9676999999999998</v>
      </c>
      <c r="BH459" s="54">
        <v>107.4117</v>
      </c>
      <c r="BI459" s="54"/>
      <c r="BJ459" s="54">
        <v>40</v>
      </c>
      <c r="BK459" s="54">
        <v>133</v>
      </c>
      <c r="BL459" s="54">
        <v>55</v>
      </c>
      <c r="BM459" s="54">
        <v>1</v>
      </c>
      <c r="BN459" s="54">
        <v>1</v>
      </c>
    </row>
    <row r="460" spans="1:66" s="219" customFormat="1" hidden="1" x14ac:dyDescent="0.3">
      <c r="A460" s="54">
        <v>454</v>
      </c>
      <c r="B460" s="54" t="s">
        <v>2971</v>
      </c>
      <c r="C460" s="54" t="s">
        <v>2242</v>
      </c>
      <c r="D460" s="54" t="s">
        <v>52</v>
      </c>
      <c r="E460" s="54">
        <v>107124872</v>
      </c>
      <c r="F460" s="54" t="s">
        <v>2446</v>
      </c>
      <c r="G460" s="108">
        <v>40223</v>
      </c>
      <c r="H460" s="54">
        <v>3217121402100000</v>
      </c>
      <c r="I460" s="54" t="s">
        <v>2353</v>
      </c>
      <c r="J460" s="54" t="s">
        <v>2418</v>
      </c>
      <c r="K460" s="54">
        <v>4</v>
      </c>
      <c r="L460" s="54">
        <v>5</v>
      </c>
      <c r="M460" s="54"/>
      <c r="N460" s="54" t="s">
        <v>2409</v>
      </c>
      <c r="O460" s="54" t="s">
        <v>2356</v>
      </c>
      <c r="P460" s="54">
        <v>40564</v>
      </c>
      <c r="Q460" s="54" t="s">
        <v>2357</v>
      </c>
      <c r="R460" s="54" t="s">
        <v>2358</v>
      </c>
      <c r="S460" s="54"/>
      <c r="T460" s="54">
        <v>83137760067</v>
      </c>
      <c r="U460" s="54"/>
      <c r="V460" s="54"/>
      <c r="W460" s="54" t="s">
        <v>2359</v>
      </c>
      <c r="X460" s="54"/>
      <c r="Y460" s="54" t="s">
        <v>2972</v>
      </c>
      <c r="Z460" s="54">
        <v>1982</v>
      </c>
      <c r="AA460" s="54" t="s">
        <v>2361</v>
      </c>
      <c r="AB460" s="54" t="s">
        <v>2362</v>
      </c>
      <c r="AC460" s="54" t="s">
        <v>2363</v>
      </c>
      <c r="AD460" s="54">
        <v>3217120402820020</v>
      </c>
      <c r="AE460" s="54" t="s">
        <v>2973</v>
      </c>
      <c r="AF460" s="54">
        <v>1979</v>
      </c>
      <c r="AG460" s="54" t="s">
        <v>2361</v>
      </c>
      <c r="AH460" s="54" t="s">
        <v>2365</v>
      </c>
      <c r="AI460" s="54" t="s">
        <v>2366</v>
      </c>
      <c r="AJ460" s="54">
        <v>3217124607790020</v>
      </c>
      <c r="AK460" s="54"/>
      <c r="AL460" s="54"/>
      <c r="AM460" s="54" t="s">
        <v>2367</v>
      </c>
      <c r="AN460" s="54"/>
      <c r="AO460" s="54"/>
      <c r="AP460" s="54"/>
      <c r="AQ460" s="54" t="s">
        <v>8178</v>
      </c>
      <c r="AR460" s="54"/>
      <c r="AS460" s="54"/>
      <c r="AT460" s="54" t="s">
        <v>2359</v>
      </c>
      <c r="AU460" s="54"/>
      <c r="AV460" s="54">
        <v>0</v>
      </c>
      <c r="AW460" s="54"/>
      <c r="AX460" s="54"/>
      <c r="AY460" s="54"/>
      <c r="AZ460" s="54"/>
      <c r="BA460" s="54"/>
      <c r="BB460" s="54" t="s">
        <v>2369</v>
      </c>
      <c r="BC460" s="54" t="s">
        <v>2443</v>
      </c>
      <c r="BD460" s="54" t="s">
        <v>2371</v>
      </c>
      <c r="BE460" s="54" t="s">
        <v>2422</v>
      </c>
      <c r="BF460" s="54"/>
      <c r="BG460" s="54">
        <v>-6.9554</v>
      </c>
      <c r="BH460" s="54">
        <v>107.39319999999999</v>
      </c>
      <c r="BI460" s="54"/>
      <c r="BJ460" s="54">
        <v>21</v>
      </c>
      <c r="BK460" s="54">
        <v>127</v>
      </c>
      <c r="BL460" s="54">
        <v>0</v>
      </c>
      <c r="BM460" s="54">
        <v>1</v>
      </c>
      <c r="BN460" s="54">
        <v>1</v>
      </c>
    </row>
    <row r="461" spans="1:66" hidden="1" x14ac:dyDescent="0.3">
      <c r="A461" s="3">
        <v>455</v>
      </c>
      <c r="B461" s="3" t="s">
        <v>3803</v>
      </c>
      <c r="C461" s="3" t="s">
        <v>4249</v>
      </c>
      <c r="D461" s="3" t="s">
        <v>53</v>
      </c>
      <c r="E461" s="3">
        <v>103641223</v>
      </c>
      <c r="F461" s="3" t="s">
        <v>2352</v>
      </c>
      <c r="G461" s="157">
        <v>40534</v>
      </c>
      <c r="H461" s="3">
        <v>3217126212100000</v>
      </c>
      <c r="I461" s="3" t="s">
        <v>2353</v>
      </c>
      <c r="J461" s="3" t="s">
        <v>2707</v>
      </c>
      <c r="K461" s="3">
        <v>2</v>
      </c>
      <c r="L461" s="3">
        <v>5</v>
      </c>
      <c r="M461" s="3"/>
      <c r="N461" s="3" t="s">
        <v>4475</v>
      </c>
      <c r="O461" s="3" t="s">
        <v>2356</v>
      </c>
      <c r="P461" s="3">
        <v>40564</v>
      </c>
      <c r="Q461" s="3" t="s">
        <v>2357</v>
      </c>
      <c r="R461" s="3" t="s">
        <v>2358</v>
      </c>
      <c r="S461" s="3"/>
      <c r="T461" s="3">
        <v>83821087861</v>
      </c>
      <c r="U461" s="3"/>
      <c r="V461" s="3"/>
      <c r="W461" s="3" t="s">
        <v>2359</v>
      </c>
      <c r="X461" s="3"/>
      <c r="Y461" s="3" t="s">
        <v>4154</v>
      </c>
      <c r="Z461" s="3">
        <v>1978</v>
      </c>
      <c r="AA461" s="3" t="s">
        <v>2402</v>
      </c>
      <c r="AB461" s="3" t="s">
        <v>2362</v>
      </c>
      <c r="AC461" s="3" t="s">
        <v>2363</v>
      </c>
      <c r="AD461" s="3">
        <v>3217120608780010</v>
      </c>
      <c r="AE461" s="3" t="s">
        <v>4155</v>
      </c>
      <c r="AF461" s="3">
        <v>1991</v>
      </c>
      <c r="AG461" s="3" t="s">
        <v>2361</v>
      </c>
      <c r="AH461" s="3" t="s">
        <v>2365</v>
      </c>
      <c r="AI461" s="3" t="s">
        <v>2366</v>
      </c>
      <c r="AJ461" s="3">
        <v>3217126104910000</v>
      </c>
      <c r="AK461" s="3"/>
      <c r="AL461" s="3"/>
      <c r="AM461" s="3" t="s">
        <v>2367</v>
      </c>
      <c r="AN461" s="3"/>
      <c r="AO461" s="3"/>
      <c r="AP461" s="3"/>
      <c r="AQ461" s="3" t="s">
        <v>5146</v>
      </c>
      <c r="AR461" s="3"/>
      <c r="AS461" s="3"/>
      <c r="AT461" s="3" t="s">
        <v>2369</v>
      </c>
      <c r="AU461" s="3"/>
      <c r="AV461" s="3">
        <v>0</v>
      </c>
      <c r="AW461" s="3"/>
      <c r="AX461" s="3" t="s">
        <v>4153</v>
      </c>
      <c r="AY461" s="3"/>
      <c r="AZ461" s="3"/>
      <c r="BA461" s="3"/>
      <c r="BB461" s="3" t="s">
        <v>2369</v>
      </c>
      <c r="BC461" s="3"/>
      <c r="BD461" s="3" t="s">
        <v>2371</v>
      </c>
      <c r="BE461" s="3" t="s">
        <v>2372</v>
      </c>
      <c r="BF461" s="3">
        <v>1</v>
      </c>
      <c r="BG461" s="3">
        <v>-6.9676999999999998</v>
      </c>
      <c r="BH461" s="3">
        <v>107.4117</v>
      </c>
      <c r="BI461" s="3">
        <v>3217121609120040</v>
      </c>
      <c r="BJ461" s="3">
        <v>47</v>
      </c>
      <c r="BK461" s="3">
        <v>138</v>
      </c>
      <c r="BL461" s="3">
        <v>57</v>
      </c>
      <c r="BM461" s="3">
        <v>1</v>
      </c>
      <c r="BN461" s="3">
        <v>2</v>
      </c>
    </row>
    <row r="462" spans="1:66" hidden="1" x14ac:dyDescent="0.3">
      <c r="A462" s="3">
        <v>456</v>
      </c>
      <c r="B462" s="3" t="s">
        <v>3859</v>
      </c>
      <c r="C462" s="3" t="s">
        <v>4313</v>
      </c>
      <c r="D462" s="3" t="s">
        <v>53</v>
      </c>
      <c r="E462" s="3">
        <v>111267320</v>
      </c>
      <c r="F462" s="3" t="s">
        <v>2377</v>
      </c>
      <c r="G462" s="157">
        <v>40760</v>
      </c>
      <c r="H462" s="3">
        <v>3217124508110000</v>
      </c>
      <c r="I462" s="3" t="s">
        <v>2353</v>
      </c>
      <c r="J462" s="3" t="s">
        <v>2641</v>
      </c>
      <c r="K462" s="3">
        <v>1</v>
      </c>
      <c r="L462" s="3">
        <v>10</v>
      </c>
      <c r="M462" s="3"/>
      <c r="N462" s="3" t="s">
        <v>4475</v>
      </c>
      <c r="O462" s="3" t="s">
        <v>2356</v>
      </c>
      <c r="P462" s="3">
        <v>40564</v>
      </c>
      <c r="Q462" s="3" t="s">
        <v>2357</v>
      </c>
      <c r="R462" s="3" t="s">
        <v>2358</v>
      </c>
      <c r="S462" s="3"/>
      <c r="T462" s="3">
        <v>82123424849</v>
      </c>
      <c r="U462" s="3"/>
      <c r="V462" s="3"/>
      <c r="W462" s="3" t="s">
        <v>2359</v>
      </c>
      <c r="X462" s="3"/>
      <c r="Y462" s="3" t="s">
        <v>4167</v>
      </c>
      <c r="Z462" s="3">
        <v>1989</v>
      </c>
      <c r="AA462" s="3" t="s">
        <v>2390</v>
      </c>
      <c r="AB462" s="3" t="s">
        <v>2362</v>
      </c>
      <c r="AC462" s="3" t="s">
        <v>2363</v>
      </c>
      <c r="AD462" s="3">
        <v>3217122404890000</v>
      </c>
      <c r="AE462" s="3" t="s">
        <v>4168</v>
      </c>
      <c r="AF462" s="3">
        <v>1991</v>
      </c>
      <c r="AG462" s="3" t="s">
        <v>2361</v>
      </c>
      <c r="AH462" s="3" t="s">
        <v>2365</v>
      </c>
      <c r="AI462" s="3" t="s">
        <v>2366</v>
      </c>
      <c r="AJ462" s="3">
        <v>3217126912910000</v>
      </c>
      <c r="AK462" s="3"/>
      <c r="AL462" s="3"/>
      <c r="AM462" s="3" t="s">
        <v>2367</v>
      </c>
      <c r="AN462" s="3"/>
      <c r="AO462" s="3"/>
      <c r="AP462" s="3"/>
      <c r="AQ462" s="3" t="s">
        <v>5150</v>
      </c>
      <c r="AR462" s="3"/>
      <c r="AS462" s="3"/>
      <c r="AT462" s="3" t="s">
        <v>2369</v>
      </c>
      <c r="AU462" s="3"/>
      <c r="AV462" s="3">
        <v>0</v>
      </c>
      <c r="AW462" s="3"/>
      <c r="AX462" s="3" t="s">
        <v>4166</v>
      </c>
      <c r="AY462" s="3"/>
      <c r="AZ462" s="3"/>
      <c r="BA462" s="3"/>
      <c r="BB462" s="3" t="s">
        <v>2369</v>
      </c>
      <c r="BC462" s="3"/>
      <c r="BD462" s="3" t="s">
        <v>2371</v>
      </c>
      <c r="BE462" s="3" t="s">
        <v>2372</v>
      </c>
      <c r="BF462" s="3">
        <v>1</v>
      </c>
      <c r="BG462" s="3">
        <v>-6.9676999999999998</v>
      </c>
      <c r="BH462" s="3">
        <v>107.4117</v>
      </c>
      <c r="BI462" s="3">
        <v>3217122109110010</v>
      </c>
      <c r="BJ462" s="3">
        <v>43</v>
      </c>
      <c r="BK462" s="3">
        <v>137</v>
      </c>
      <c r="BL462" s="3">
        <v>56</v>
      </c>
      <c r="BM462" s="3">
        <v>2</v>
      </c>
      <c r="BN462" s="3">
        <v>2</v>
      </c>
    </row>
    <row r="463" spans="1:66" s="219" customFormat="1" hidden="1" x14ac:dyDescent="0.3">
      <c r="A463" s="54">
        <v>457</v>
      </c>
      <c r="B463" s="54" t="s">
        <v>2758</v>
      </c>
      <c r="C463" s="54" t="s">
        <v>2185</v>
      </c>
      <c r="D463" s="54" t="s">
        <v>53</v>
      </c>
      <c r="E463" s="54">
        <v>106848778</v>
      </c>
      <c r="F463" s="54" t="s">
        <v>2759</v>
      </c>
      <c r="G463" s="108">
        <v>40293</v>
      </c>
      <c r="H463" s="54">
        <v>3217116504100000</v>
      </c>
      <c r="I463" s="54" t="s">
        <v>2353</v>
      </c>
      <c r="J463" s="54" t="s">
        <v>2565</v>
      </c>
      <c r="K463" s="54">
        <v>4</v>
      </c>
      <c r="L463" s="54">
        <v>1</v>
      </c>
      <c r="M463" s="54"/>
      <c r="N463" s="54" t="s">
        <v>2566</v>
      </c>
      <c r="O463" s="54" t="s">
        <v>2426</v>
      </c>
      <c r="P463" s="54">
        <v>40562</v>
      </c>
      <c r="Q463" s="54" t="s">
        <v>2357</v>
      </c>
      <c r="R463" s="54" t="s">
        <v>2358</v>
      </c>
      <c r="S463" s="54"/>
      <c r="T463" s="54"/>
      <c r="U463" s="54"/>
      <c r="V463" s="54"/>
      <c r="W463" s="54" t="s">
        <v>2359</v>
      </c>
      <c r="X463" s="54"/>
      <c r="Y463" s="54" t="s">
        <v>2760</v>
      </c>
      <c r="Z463" s="54">
        <v>1981</v>
      </c>
      <c r="AA463" s="54" t="s">
        <v>2402</v>
      </c>
      <c r="AB463" s="54" t="s">
        <v>2362</v>
      </c>
      <c r="AC463" s="54" t="s">
        <v>2403</v>
      </c>
      <c r="AD463" s="54">
        <v>3217112406810010</v>
      </c>
      <c r="AE463" s="54" t="s">
        <v>2761</v>
      </c>
      <c r="AF463" s="54">
        <v>1980</v>
      </c>
      <c r="AG463" s="54" t="s">
        <v>2390</v>
      </c>
      <c r="AH463" s="54" t="s">
        <v>2365</v>
      </c>
      <c r="AI463" s="54" t="s">
        <v>2366</v>
      </c>
      <c r="AJ463" s="54">
        <v>3217116412800000</v>
      </c>
      <c r="AK463" s="54"/>
      <c r="AL463" s="54"/>
      <c r="AM463" s="54" t="s">
        <v>2367</v>
      </c>
      <c r="AN463" s="54"/>
      <c r="AO463" s="54"/>
      <c r="AP463" s="54"/>
      <c r="AQ463" s="54" t="s">
        <v>8180</v>
      </c>
      <c r="AR463" s="54"/>
      <c r="AS463" s="54"/>
      <c r="AT463" s="54" t="s">
        <v>2359</v>
      </c>
      <c r="AU463" s="54"/>
      <c r="AV463" s="54">
        <v>0</v>
      </c>
      <c r="AW463" s="54"/>
      <c r="AX463" s="54">
        <v>6390203497</v>
      </c>
      <c r="AY463" s="54"/>
      <c r="AZ463" s="54"/>
      <c r="BA463" s="54"/>
      <c r="BB463" s="54" t="s">
        <v>2369</v>
      </c>
      <c r="BC463" s="54" t="s">
        <v>2370</v>
      </c>
      <c r="BD463" s="54" t="s">
        <v>2371</v>
      </c>
      <c r="BE463" s="54" t="s">
        <v>2691</v>
      </c>
      <c r="BF463" s="54">
        <v>1</v>
      </c>
      <c r="BG463" s="54">
        <v>-6.9743000000000004</v>
      </c>
      <c r="BH463" s="54">
        <v>107.43559999999999</v>
      </c>
      <c r="BI463" s="54"/>
      <c r="BJ463" s="54">
        <v>48</v>
      </c>
      <c r="BK463" s="54">
        <v>139</v>
      </c>
      <c r="BL463" s="54">
        <v>0</v>
      </c>
      <c r="BM463" s="54">
        <v>0</v>
      </c>
      <c r="BN463" s="54">
        <v>0</v>
      </c>
    </row>
    <row r="464" spans="1:66" s="219" customFormat="1" hidden="1" x14ac:dyDescent="0.3">
      <c r="A464" s="54">
        <v>458</v>
      </c>
      <c r="B464" s="54" t="s">
        <v>1913</v>
      </c>
      <c r="C464" s="54" t="s">
        <v>1566</v>
      </c>
      <c r="D464" s="54" t="s">
        <v>53</v>
      </c>
      <c r="E464" s="54">
        <v>3084903997</v>
      </c>
      <c r="F464" s="54" t="s">
        <v>2373</v>
      </c>
      <c r="G464" s="108">
        <v>39637</v>
      </c>
      <c r="H464" s="54">
        <v>3217124807080000</v>
      </c>
      <c r="I464" s="54" t="s">
        <v>2353</v>
      </c>
      <c r="J464" s="54" t="s">
        <v>2656</v>
      </c>
      <c r="K464" s="54">
        <v>4</v>
      </c>
      <c r="L464" s="54">
        <v>6</v>
      </c>
      <c r="M464" s="54"/>
      <c r="N464" s="54" t="s">
        <v>2415</v>
      </c>
      <c r="O464" s="54" t="s">
        <v>2356</v>
      </c>
      <c r="P464" s="54"/>
      <c r="Q464" s="54" t="s">
        <v>2357</v>
      </c>
      <c r="R464" s="54" t="s">
        <v>2374</v>
      </c>
      <c r="S464" s="54"/>
      <c r="T464" s="54"/>
      <c r="U464" s="54"/>
      <c r="V464" s="54"/>
      <c r="W464" s="54" t="s">
        <v>2359</v>
      </c>
      <c r="X464" s="54"/>
      <c r="Y464" s="54"/>
      <c r="Z464" s="54">
        <v>1980</v>
      </c>
      <c r="AA464" s="54" t="s">
        <v>2361</v>
      </c>
      <c r="AB464" s="54" t="s">
        <v>2362</v>
      </c>
      <c r="AC464" s="54" t="s">
        <v>2363</v>
      </c>
      <c r="AD464" s="54"/>
      <c r="AE464" s="54" t="s">
        <v>3747</v>
      </c>
      <c r="AF464" s="54">
        <v>1977</v>
      </c>
      <c r="AG464" s="54" t="s">
        <v>2361</v>
      </c>
      <c r="AH464" s="54" t="s">
        <v>2365</v>
      </c>
      <c r="AI464" s="54" t="s">
        <v>2366</v>
      </c>
      <c r="AJ464" s="54"/>
      <c r="AK464" s="54"/>
      <c r="AL464" s="54"/>
      <c r="AM464" s="54"/>
      <c r="AN464" s="54"/>
      <c r="AO464" s="54"/>
      <c r="AP464" s="54"/>
      <c r="AQ464" s="54" t="s">
        <v>5147</v>
      </c>
      <c r="AR464" s="54"/>
      <c r="AS464" s="54"/>
      <c r="AT464" s="54" t="s">
        <v>2369</v>
      </c>
      <c r="AU464" s="54"/>
      <c r="AV464" s="54">
        <v>0</v>
      </c>
      <c r="AW464" s="54"/>
      <c r="AX464" s="54"/>
      <c r="AY464" s="54"/>
      <c r="AZ464" s="54"/>
      <c r="BA464" s="54"/>
      <c r="BB464" s="54" t="s">
        <v>2369</v>
      </c>
      <c r="BC464" s="54"/>
      <c r="BD464" s="54" t="s">
        <v>2371</v>
      </c>
      <c r="BE464" s="54"/>
      <c r="BF464" s="54">
        <v>1</v>
      </c>
      <c r="BG464" s="54">
        <v>-6.9625000000000004</v>
      </c>
      <c r="BH464" s="54">
        <v>107.4346</v>
      </c>
      <c r="BI464" s="54">
        <v>3217120911120000</v>
      </c>
      <c r="BJ464" s="54">
        <v>44</v>
      </c>
      <c r="BK464" s="54">
        <v>135</v>
      </c>
      <c r="BL464" s="54">
        <v>54</v>
      </c>
      <c r="BM464" s="54">
        <v>1</v>
      </c>
      <c r="BN464" s="54">
        <v>2</v>
      </c>
    </row>
    <row r="465" spans="1:66" s="219" customFormat="1" hidden="1" x14ac:dyDescent="0.3">
      <c r="A465" s="54">
        <v>459</v>
      </c>
      <c r="B465" s="54" t="s">
        <v>1747</v>
      </c>
      <c r="C465" s="54" t="s">
        <v>2267</v>
      </c>
      <c r="D465" s="54" t="s">
        <v>52</v>
      </c>
      <c r="E465" s="54">
        <v>98783429</v>
      </c>
      <c r="F465" s="54" t="s">
        <v>2377</v>
      </c>
      <c r="G465" s="108">
        <v>40050</v>
      </c>
      <c r="H465" s="54">
        <v>3217122508090000</v>
      </c>
      <c r="I465" s="54" t="s">
        <v>2353</v>
      </c>
      <c r="J465" s="54" t="s">
        <v>3053</v>
      </c>
      <c r="K465" s="54">
        <v>2</v>
      </c>
      <c r="L465" s="54">
        <v>11</v>
      </c>
      <c r="M465" s="54"/>
      <c r="N465" s="54" t="s">
        <v>2355</v>
      </c>
      <c r="O465" s="54" t="s">
        <v>2356</v>
      </c>
      <c r="P465" s="54">
        <v>40564</v>
      </c>
      <c r="Q465" s="54" t="s">
        <v>2357</v>
      </c>
      <c r="R465" s="54" t="s">
        <v>2358</v>
      </c>
      <c r="S465" s="54"/>
      <c r="T465" s="54">
        <v>83873412014</v>
      </c>
      <c r="U465" s="54"/>
      <c r="V465" s="54"/>
      <c r="W465" s="54" t="s">
        <v>2359</v>
      </c>
      <c r="X465" s="54"/>
      <c r="Y465" s="54" t="s">
        <v>3054</v>
      </c>
      <c r="Z465" s="54">
        <v>1982</v>
      </c>
      <c r="AA465" s="54" t="s">
        <v>2390</v>
      </c>
      <c r="AB465" s="54" t="s">
        <v>2362</v>
      </c>
      <c r="AC465" s="54" t="s">
        <v>2363</v>
      </c>
      <c r="AD465" s="54">
        <v>3217121512820010</v>
      </c>
      <c r="AE465" s="54" t="s">
        <v>3055</v>
      </c>
      <c r="AF465" s="54">
        <v>1986</v>
      </c>
      <c r="AG465" s="54" t="s">
        <v>2390</v>
      </c>
      <c r="AH465" s="54" t="s">
        <v>2365</v>
      </c>
      <c r="AI465" s="54" t="s">
        <v>2366</v>
      </c>
      <c r="AJ465" s="54">
        <v>3217124519860010</v>
      </c>
      <c r="AK465" s="54"/>
      <c r="AL465" s="54"/>
      <c r="AM465" s="54" t="s">
        <v>2367</v>
      </c>
      <c r="AN465" s="54"/>
      <c r="AO465" s="54"/>
      <c r="AP465" s="54"/>
      <c r="AQ465" s="54" t="s">
        <v>8182</v>
      </c>
      <c r="AR465" s="54"/>
      <c r="AS465" s="54"/>
      <c r="AT465" s="54" t="s">
        <v>2359</v>
      </c>
      <c r="AU465" s="54"/>
      <c r="AV465" s="54">
        <v>0</v>
      </c>
      <c r="AW465" s="54"/>
      <c r="AX465" s="54" t="s">
        <v>3056</v>
      </c>
      <c r="AY465" s="54"/>
      <c r="AZ465" s="54"/>
      <c r="BA465" s="54"/>
      <c r="BB465" s="54" t="s">
        <v>2369</v>
      </c>
      <c r="BC465" s="54" t="s">
        <v>2370</v>
      </c>
      <c r="BD465" s="54" t="s">
        <v>2371</v>
      </c>
      <c r="BE465" s="54" t="s">
        <v>2372</v>
      </c>
      <c r="BF465" s="54"/>
      <c r="BG465" s="54">
        <v>-6.9676999999999998</v>
      </c>
      <c r="BH465" s="54">
        <v>107.4117</v>
      </c>
      <c r="BI465" s="54"/>
      <c r="BJ465" s="54">
        <v>47</v>
      </c>
      <c r="BK465" s="54">
        <v>142</v>
      </c>
      <c r="BL465" s="54">
        <v>0</v>
      </c>
      <c r="BM465" s="54">
        <v>0</v>
      </c>
      <c r="BN465" s="54">
        <v>0</v>
      </c>
    </row>
    <row r="466" spans="1:66" s="219" customFormat="1" hidden="1" x14ac:dyDescent="0.3">
      <c r="A466" s="54">
        <v>460</v>
      </c>
      <c r="B466" s="54" t="s">
        <v>1756</v>
      </c>
      <c r="C466" s="54" t="s">
        <v>2268</v>
      </c>
      <c r="D466" s="54" t="s">
        <v>53</v>
      </c>
      <c r="E466" s="54">
        <v>3107069782</v>
      </c>
      <c r="F466" s="54" t="s">
        <v>2373</v>
      </c>
      <c r="G466" s="108">
        <v>40710</v>
      </c>
      <c r="H466" s="54">
        <v>3217125606110000</v>
      </c>
      <c r="I466" s="54" t="s">
        <v>2353</v>
      </c>
      <c r="J466" s="54" t="s">
        <v>2414</v>
      </c>
      <c r="K466" s="54">
        <v>3</v>
      </c>
      <c r="L466" s="54">
        <v>4</v>
      </c>
      <c r="M466" s="54"/>
      <c r="N466" s="54" t="s">
        <v>2415</v>
      </c>
      <c r="O466" s="54" t="s">
        <v>2356</v>
      </c>
      <c r="P466" s="54"/>
      <c r="Q466" s="54" t="s">
        <v>2357</v>
      </c>
      <c r="R466" s="54" t="s">
        <v>2374</v>
      </c>
      <c r="S466" s="54"/>
      <c r="T466" s="54"/>
      <c r="U466" s="54"/>
      <c r="V466" s="54"/>
      <c r="W466" s="54" t="s">
        <v>2359</v>
      </c>
      <c r="X466" s="54"/>
      <c r="Y466" s="54"/>
      <c r="Z466" s="54">
        <v>0</v>
      </c>
      <c r="AA466" s="54"/>
      <c r="AB466" s="54" t="s">
        <v>2362</v>
      </c>
      <c r="AC466" s="54" t="s">
        <v>2375</v>
      </c>
      <c r="AD466" s="54"/>
      <c r="AE466" s="54" t="s">
        <v>3057</v>
      </c>
      <c r="AF466" s="54">
        <v>0</v>
      </c>
      <c r="AG466" s="54"/>
      <c r="AH466" s="54" t="s">
        <v>2365</v>
      </c>
      <c r="AI466" s="54" t="s">
        <v>2366</v>
      </c>
      <c r="AJ466" s="54"/>
      <c r="AK466" s="54"/>
      <c r="AL466" s="54"/>
      <c r="AM466" s="54"/>
      <c r="AN466" s="54"/>
      <c r="AO466" s="54"/>
      <c r="AP466" s="54"/>
      <c r="AQ466" s="54" t="s">
        <v>8182</v>
      </c>
      <c r="AR466" s="54"/>
      <c r="AS466" s="54"/>
      <c r="AT466" s="54" t="s">
        <v>2359</v>
      </c>
      <c r="AU466" s="54"/>
      <c r="AV466" s="54">
        <v>1</v>
      </c>
      <c r="AW466" s="54"/>
      <c r="AX466" s="54"/>
      <c r="AY466" s="54"/>
      <c r="AZ466" s="54"/>
      <c r="BA466" s="54"/>
      <c r="BB466" s="54" t="s">
        <v>2359</v>
      </c>
      <c r="BC466" s="54"/>
      <c r="BD466" s="54" t="s">
        <v>2371</v>
      </c>
      <c r="BE466" s="54" t="s">
        <v>2376</v>
      </c>
      <c r="BF466" s="54">
        <v>1</v>
      </c>
      <c r="BG466" s="54">
        <v>-6.9625000000000004</v>
      </c>
      <c r="BH466" s="54">
        <v>107.4346</v>
      </c>
      <c r="BI466" s="54"/>
      <c r="BJ466" s="54">
        <v>45</v>
      </c>
      <c r="BK466" s="54">
        <v>143</v>
      </c>
      <c r="BL466" s="54">
        <v>58</v>
      </c>
      <c r="BM466" s="54">
        <v>1</v>
      </c>
      <c r="BN466" s="54">
        <v>3</v>
      </c>
    </row>
    <row r="467" spans="1:66" s="219" customFormat="1" hidden="1" x14ac:dyDescent="0.3">
      <c r="A467" s="54">
        <v>461</v>
      </c>
      <c r="B467" s="54" t="s">
        <v>1374</v>
      </c>
      <c r="C467" s="54" t="s">
        <v>1534</v>
      </c>
      <c r="D467" s="54" t="s">
        <v>53</v>
      </c>
      <c r="E467" s="54">
        <v>91103942</v>
      </c>
      <c r="F467" s="54" t="s">
        <v>2373</v>
      </c>
      <c r="G467" s="108">
        <v>39886</v>
      </c>
      <c r="H467" s="54">
        <v>3217125403090000</v>
      </c>
      <c r="I467" s="54" t="s">
        <v>2353</v>
      </c>
      <c r="J467" s="54" t="s">
        <v>2436</v>
      </c>
      <c r="K467" s="54">
        <v>4</v>
      </c>
      <c r="L467" s="54">
        <v>4</v>
      </c>
      <c r="M467" s="54"/>
      <c r="N467" s="54" t="s">
        <v>2438</v>
      </c>
      <c r="O467" s="54" t="s">
        <v>2356</v>
      </c>
      <c r="P467" s="54">
        <v>40764</v>
      </c>
      <c r="Q467" s="54" t="s">
        <v>2357</v>
      </c>
      <c r="R467" s="54" t="s">
        <v>2358</v>
      </c>
      <c r="S467" s="54"/>
      <c r="T467" s="54">
        <v>881025824804</v>
      </c>
      <c r="U467" s="54"/>
      <c r="V467" s="54"/>
      <c r="W467" s="54" t="s">
        <v>2359</v>
      </c>
      <c r="X467" s="54"/>
      <c r="Y467" s="54" t="s">
        <v>3641</v>
      </c>
      <c r="Z467" s="54">
        <v>1984</v>
      </c>
      <c r="AA467" s="54" t="s">
        <v>2390</v>
      </c>
      <c r="AB467" s="54" t="s">
        <v>2362</v>
      </c>
      <c r="AC467" s="54" t="s">
        <v>2403</v>
      </c>
      <c r="AD467" s="54">
        <v>3217122804840000</v>
      </c>
      <c r="AE467" s="54" t="s">
        <v>3642</v>
      </c>
      <c r="AF467" s="54">
        <v>1988</v>
      </c>
      <c r="AG467" s="54" t="s">
        <v>2402</v>
      </c>
      <c r="AH467" s="54" t="s">
        <v>2365</v>
      </c>
      <c r="AI467" s="54" t="s">
        <v>2366</v>
      </c>
      <c r="AJ467" s="54">
        <v>3217124406880010</v>
      </c>
      <c r="AK467" s="54"/>
      <c r="AL467" s="54"/>
      <c r="AM467" s="54"/>
      <c r="AN467" s="54"/>
      <c r="AO467" s="54"/>
      <c r="AP467" s="54"/>
      <c r="AQ467" s="54" t="s">
        <v>5147</v>
      </c>
      <c r="AR467" s="54"/>
      <c r="AS467" s="54"/>
      <c r="AT467" s="54" t="s">
        <v>2359</v>
      </c>
      <c r="AU467" s="54"/>
      <c r="AV467" s="54">
        <v>0</v>
      </c>
      <c r="AW467" s="54"/>
      <c r="AX467" s="54" t="s">
        <v>3643</v>
      </c>
      <c r="AY467" s="54"/>
      <c r="AZ467" s="54"/>
      <c r="BA467" s="54"/>
      <c r="BB467" s="54" t="s">
        <v>2369</v>
      </c>
      <c r="BC467" s="54" t="s">
        <v>2370</v>
      </c>
      <c r="BD467" s="54" t="s">
        <v>2371</v>
      </c>
      <c r="BE467" s="54"/>
      <c r="BF467" s="54">
        <v>1</v>
      </c>
      <c r="BG467" s="54">
        <v>-6.9532441309999999</v>
      </c>
      <c r="BH467" s="54">
        <v>107.400949</v>
      </c>
      <c r="BI467" s="54"/>
      <c r="BJ467" s="54">
        <v>19</v>
      </c>
      <c r="BK467" s="54">
        <v>109</v>
      </c>
      <c r="BL467" s="54">
        <v>54</v>
      </c>
      <c r="BM467" s="54">
        <v>2</v>
      </c>
      <c r="BN467" s="54">
        <v>1</v>
      </c>
    </row>
    <row r="468" spans="1:66" hidden="1" x14ac:dyDescent="0.3">
      <c r="A468" s="3">
        <v>462</v>
      </c>
      <c r="B468" s="3" t="s">
        <v>3860</v>
      </c>
      <c r="C468" s="3" t="s">
        <v>4314</v>
      </c>
      <c r="D468" s="3" t="s">
        <v>52</v>
      </c>
      <c r="E468" s="3">
        <v>3119986595</v>
      </c>
      <c r="F468" s="3" t="s">
        <v>2377</v>
      </c>
      <c r="G468" s="157">
        <v>40616</v>
      </c>
      <c r="H468" s="3">
        <v>3217111403010000</v>
      </c>
      <c r="I468" s="3" t="s">
        <v>2353</v>
      </c>
      <c r="J468" s="3" t="s">
        <v>2616</v>
      </c>
      <c r="K468" s="3">
        <v>1</v>
      </c>
      <c r="L468" s="3">
        <v>7</v>
      </c>
      <c r="M468" s="3"/>
      <c r="N468" s="3" t="s">
        <v>4455</v>
      </c>
      <c r="O468" s="3" t="s">
        <v>2426</v>
      </c>
      <c r="P468" s="3">
        <v>40560</v>
      </c>
      <c r="Q468" s="3" t="s">
        <v>2357</v>
      </c>
      <c r="R468" s="3" t="s">
        <v>2358</v>
      </c>
      <c r="S468" s="3"/>
      <c r="T468" s="3"/>
      <c r="U468" s="3"/>
      <c r="V468" s="3"/>
      <c r="W468" s="3" t="s">
        <v>2359</v>
      </c>
      <c r="X468" s="3"/>
      <c r="Y468" s="3" t="s">
        <v>4993</v>
      </c>
      <c r="Z468" s="3">
        <v>1979</v>
      </c>
      <c r="AA468" s="3" t="s">
        <v>2402</v>
      </c>
      <c r="AB468" s="3" t="s">
        <v>2362</v>
      </c>
      <c r="AC468" s="3" t="s">
        <v>2403</v>
      </c>
      <c r="AD468" s="3">
        <v>3217110103790010</v>
      </c>
      <c r="AE468" s="3" t="s">
        <v>2696</v>
      </c>
      <c r="AF468" s="3">
        <v>1980</v>
      </c>
      <c r="AG468" s="3" t="s">
        <v>2402</v>
      </c>
      <c r="AH468" s="3" t="s">
        <v>2365</v>
      </c>
      <c r="AI468" s="3" t="s">
        <v>2366</v>
      </c>
      <c r="AJ468" s="3">
        <v>3217114405800010</v>
      </c>
      <c r="AK468" s="3"/>
      <c r="AL468" s="3"/>
      <c r="AM468" s="3"/>
      <c r="AN468" s="3"/>
      <c r="AO468" s="3"/>
      <c r="AP468" s="3"/>
      <c r="AQ468" s="3" t="s">
        <v>5150</v>
      </c>
      <c r="AR468" s="3"/>
      <c r="AS468" s="3"/>
      <c r="AT468" s="3" t="s">
        <v>2369</v>
      </c>
      <c r="AU468" s="3"/>
      <c r="AV468" s="3">
        <v>1</v>
      </c>
      <c r="AW468" s="3"/>
      <c r="AX468" s="3" t="s">
        <v>4148</v>
      </c>
      <c r="AY468" s="3"/>
      <c r="AZ468" s="3"/>
      <c r="BA468" s="3"/>
      <c r="BB468" s="3" t="s">
        <v>2369</v>
      </c>
      <c r="BC468" s="3"/>
      <c r="BD468" s="3" t="s">
        <v>2371</v>
      </c>
      <c r="BE468" s="3" t="s">
        <v>2669</v>
      </c>
      <c r="BF468" s="3">
        <v>2</v>
      </c>
      <c r="BG468" s="3">
        <v>-6.9625000000000004</v>
      </c>
      <c r="BH468" s="3">
        <v>107.4346</v>
      </c>
      <c r="BI468" s="3">
        <v>3217110110120030</v>
      </c>
      <c r="BJ468" s="3">
        <v>46</v>
      </c>
      <c r="BK468" s="3">
        <v>144</v>
      </c>
      <c r="BL468" s="3">
        <v>55</v>
      </c>
      <c r="BM468" s="3">
        <v>2</v>
      </c>
      <c r="BN468" s="3">
        <v>2</v>
      </c>
    </row>
    <row r="469" spans="1:66" hidden="1" x14ac:dyDescent="0.3">
      <c r="A469" s="3">
        <v>463</v>
      </c>
      <c r="B469" s="3" t="s">
        <v>4994</v>
      </c>
      <c r="C469" s="3" t="s">
        <v>4250</v>
      </c>
      <c r="D469" s="3" t="s">
        <v>52</v>
      </c>
      <c r="E469" s="3">
        <v>3102226940</v>
      </c>
      <c r="F469" s="3" t="s">
        <v>2377</v>
      </c>
      <c r="G469" s="157">
        <v>40326</v>
      </c>
      <c r="H469" s="3">
        <v>3217122805100000</v>
      </c>
      <c r="I469" s="3" t="s">
        <v>2353</v>
      </c>
      <c r="J469" s="3" t="s">
        <v>4995</v>
      </c>
      <c r="K469" s="3">
        <v>2</v>
      </c>
      <c r="L469" s="3">
        <v>6</v>
      </c>
      <c r="M469" s="3" t="s">
        <v>3961</v>
      </c>
      <c r="N469" s="3" t="s">
        <v>4466</v>
      </c>
      <c r="O469" s="3" t="s">
        <v>2356</v>
      </c>
      <c r="P469" s="3">
        <v>40764</v>
      </c>
      <c r="Q469" s="3" t="s">
        <v>2357</v>
      </c>
      <c r="R469" s="3" t="s">
        <v>2374</v>
      </c>
      <c r="S469" s="3"/>
      <c r="T469" s="3"/>
      <c r="U469" s="3"/>
      <c r="V469" s="3"/>
      <c r="W469" s="3" t="s">
        <v>2359</v>
      </c>
      <c r="X469" s="3"/>
      <c r="Y469" s="3" t="s">
        <v>4038</v>
      </c>
      <c r="Z469" s="3">
        <v>1980</v>
      </c>
      <c r="AA469" s="3" t="s">
        <v>2390</v>
      </c>
      <c r="AB469" s="3" t="s">
        <v>2362</v>
      </c>
      <c r="AC469" s="3" t="s">
        <v>2363</v>
      </c>
      <c r="AD469" s="3">
        <v>3217121004800030</v>
      </c>
      <c r="AE469" s="3" t="s">
        <v>4039</v>
      </c>
      <c r="AF469" s="3">
        <v>1987</v>
      </c>
      <c r="AG469" s="3" t="s">
        <v>2390</v>
      </c>
      <c r="AH469" s="3" t="s">
        <v>2474</v>
      </c>
      <c r="AI469" s="3" t="s">
        <v>2403</v>
      </c>
      <c r="AJ469" s="3">
        <v>3217124705870020</v>
      </c>
      <c r="AK469" s="3"/>
      <c r="AL469" s="3"/>
      <c r="AM469" s="3" t="s">
        <v>4751</v>
      </c>
      <c r="AN469" s="3"/>
      <c r="AO469" s="3"/>
      <c r="AP469" s="3"/>
      <c r="AQ469" s="3" t="s">
        <v>5146</v>
      </c>
      <c r="AR469" s="3"/>
      <c r="AS469" s="3"/>
      <c r="AT469" s="3" t="s">
        <v>2359</v>
      </c>
      <c r="AU469" s="3"/>
      <c r="AV469" s="3">
        <v>0</v>
      </c>
      <c r="AW469" s="3"/>
      <c r="AX469" s="3" t="s">
        <v>4037</v>
      </c>
      <c r="AY469" s="3"/>
      <c r="AZ469" s="3"/>
      <c r="BA469" s="3"/>
      <c r="BB469" s="3" t="s">
        <v>2369</v>
      </c>
      <c r="BC469" s="3" t="s">
        <v>2370</v>
      </c>
      <c r="BD469" s="3" t="s">
        <v>2371</v>
      </c>
      <c r="BE469" s="3" t="s">
        <v>4459</v>
      </c>
      <c r="BF469" s="3">
        <v>1</v>
      </c>
      <c r="BG469" s="3">
        <v>-6.9625000000000004</v>
      </c>
      <c r="BH469" s="3">
        <v>107.4346</v>
      </c>
      <c r="BI469" s="3">
        <v>3217122805100000</v>
      </c>
      <c r="BJ469" s="3">
        <v>42</v>
      </c>
      <c r="BK469" s="3">
        <v>143</v>
      </c>
      <c r="BL469" s="3">
        <v>49</v>
      </c>
      <c r="BM469" s="3">
        <v>1</v>
      </c>
      <c r="BN469" s="3">
        <v>3</v>
      </c>
    </row>
    <row r="470" spans="1:66" s="219" customFormat="1" hidden="1" x14ac:dyDescent="0.3">
      <c r="A470" s="54">
        <v>464</v>
      </c>
      <c r="B470" s="54" t="s">
        <v>1807</v>
      </c>
      <c r="C470" s="54" t="s">
        <v>1445</v>
      </c>
      <c r="D470" s="54" t="s">
        <v>52</v>
      </c>
      <c r="E470" s="54">
        <v>3099899554</v>
      </c>
      <c r="F470" s="54" t="s">
        <v>2373</v>
      </c>
      <c r="G470" s="108">
        <v>40060</v>
      </c>
      <c r="H470" s="54">
        <v>3217110904090000</v>
      </c>
      <c r="I470" s="54" t="s">
        <v>2353</v>
      </c>
      <c r="J470" s="54" t="s">
        <v>3301</v>
      </c>
      <c r="K470" s="54">
        <v>3</v>
      </c>
      <c r="L470" s="54">
        <v>5</v>
      </c>
      <c r="M470" s="54"/>
      <c r="N470" s="54" t="s">
        <v>2617</v>
      </c>
      <c r="O470" s="54" t="s">
        <v>2426</v>
      </c>
      <c r="P470" s="54">
        <v>40562</v>
      </c>
      <c r="Q470" s="54" t="s">
        <v>2357</v>
      </c>
      <c r="R470" s="54" t="s">
        <v>2358</v>
      </c>
      <c r="S470" s="54"/>
      <c r="T470" s="54">
        <v>82117693379</v>
      </c>
      <c r="U470" s="54"/>
      <c r="V470" s="54"/>
      <c r="W470" s="54" t="s">
        <v>2359</v>
      </c>
      <c r="X470" s="54"/>
      <c r="Y470" s="54"/>
      <c r="Z470" s="54">
        <v>1981</v>
      </c>
      <c r="AA470" s="54" t="s">
        <v>2402</v>
      </c>
      <c r="AB470" s="54" t="s">
        <v>2362</v>
      </c>
      <c r="AC470" s="54" t="s">
        <v>2363</v>
      </c>
      <c r="AD470" s="54"/>
      <c r="AE470" s="54" t="s">
        <v>3302</v>
      </c>
      <c r="AF470" s="54">
        <v>1981</v>
      </c>
      <c r="AG470" s="54" t="s">
        <v>2402</v>
      </c>
      <c r="AH470" s="54" t="s">
        <v>2365</v>
      </c>
      <c r="AI470" s="54" t="s">
        <v>2366</v>
      </c>
      <c r="AJ470" s="54"/>
      <c r="AK470" s="54"/>
      <c r="AL470" s="54"/>
      <c r="AM470" s="54"/>
      <c r="AN470" s="54"/>
      <c r="AO470" s="54"/>
      <c r="AP470" s="54"/>
      <c r="AQ470" s="54" t="s">
        <v>5147</v>
      </c>
      <c r="AR470" s="54"/>
      <c r="AS470" s="54"/>
      <c r="AT470" s="54" t="s">
        <v>2359</v>
      </c>
      <c r="AU470" s="54"/>
      <c r="AV470" s="54">
        <v>0</v>
      </c>
      <c r="AW470" s="54"/>
      <c r="AX470" s="54"/>
      <c r="AY470" s="54"/>
      <c r="AZ470" s="54"/>
      <c r="BA470" s="54"/>
      <c r="BB470" s="54" t="s">
        <v>2369</v>
      </c>
      <c r="BC470" s="54" t="s">
        <v>2370</v>
      </c>
      <c r="BD470" s="54" t="s">
        <v>2371</v>
      </c>
      <c r="BE470" s="54"/>
      <c r="BF470" s="54">
        <v>1</v>
      </c>
      <c r="BG470" s="54">
        <v>-6.9625000000000004</v>
      </c>
      <c r="BH470" s="54">
        <v>107.4346</v>
      </c>
      <c r="BI470" s="54"/>
      <c r="BJ470" s="54">
        <v>48</v>
      </c>
      <c r="BK470" s="54">
        <v>143</v>
      </c>
      <c r="BL470" s="54">
        <v>54</v>
      </c>
      <c r="BM470" s="54">
        <v>3</v>
      </c>
      <c r="BN470" s="54">
        <v>3</v>
      </c>
    </row>
    <row r="471" spans="1:66" x14ac:dyDescent="0.3">
      <c r="A471" s="3">
        <v>465</v>
      </c>
      <c r="B471" s="3" t="s">
        <v>3953</v>
      </c>
      <c r="C471" s="3" t="s">
        <v>4413</v>
      </c>
      <c r="D471" s="3" t="s">
        <v>52</v>
      </c>
      <c r="E471" s="3">
        <v>3119321311</v>
      </c>
      <c r="F471" s="3" t="s">
        <v>2468</v>
      </c>
      <c r="G471" s="157">
        <v>40679</v>
      </c>
      <c r="H471" s="3">
        <v>3175031605111010</v>
      </c>
      <c r="I471" s="3" t="s">
        <v>2353</v>
      </c>
      <c r="J471" s="3" t="s">
        <v>2544</v>
      </c>
      <c r="K471" s="3">
        <v>1</v>
      </c>
      <c r="L471" s="3">
        <v>8</v>
      </c>
      <c r="M471" s="3"/>
      <c r="N471" s="3" t="s">
        <v>4475</v>
      </c>
      <c r="O471" s="3" t="s">
        <v>2356</v>
      </c>
      <c r="P471" s="3">
        <v>40762</v>
      </c>
      <c r="Q471" s="3" t="s">
        <v>2357</v>
      </c>
      <c r="R471" s="3" t="s">
        <v>2358</v>
      </c>
      <c r="S471" s="3"/>
      <c r="T471" s="3"/>
      <c r="U471" s="3"/>
      <c r="V471" s="3"/>
      <c r="W471" s="3" t="s">
        <v>2359</v>
      </c>
      <c r="X471" s="3"/>
      <c r="Y471" s="3" t="s">
        <v>4996</v>
      </c>
      <c r="Z471" s="3">
        <v>1987</v>
      </c>
      <c r="AA471" s="3" t="s">
        <v>2390</v>
      </c>
      <c r="AB471" s="3" t="s">
        <v>2362</v>
      </c>
      <c r="AC471" s="3" t="s">
        <v>2403</v>
      </c>
      <c r="AD471" s="3">
        <v>3175032505871000</v>
      </c>
      <c r="AE471" s="3" t="s">
        <v>4020</v>
      </c>
      <c r="AF471" s="3">
        <v>1989</v>
      </c>
      <c r="AG471" s="3" t="s">
        <v>2361</v>
      </c>
      <c r="AH471" s="3" t="s">
        <v>2365</v>
      </c>
      <c r="AI471" s="3" t="s">
        <v>2366</v>
      </c>
      <c r="AJ471" s="3">
        <v>3523105902890000</v>
      </c>
      <c r="AK471" s="3"/>
      <c r="AL471" s="3"/>
      <c r="AM471" s="3"/>
      <c r="AN471" s="3"/>
      <c r="AO471" s="3"/>
      <c r="AP471" s="3"/>
      <c r="AQ471" s="3" t="s">
        <v>5148</v>
      </c>
      <c r="AR471" s="3"/>
      <c r="AS471" s="3"/>
      <c r="AT471" s="3" t="s">
        <v>2359</v>
      </c>
      <c r="AU471" s="3"/>
      <c r="AV471" s="3">
        <v>1</v>
      </c>
      <c r="AW471" s="3"/>
      <c r="AX471" s="3" t="s">
        <v>4997</v>
      </c>
      <c r="AY471" s="3"/>
      <c r="AZ471" s="3"/>
      <c r="BA471" s="3"/>
      <c r="BB471" s="3" t="s">
        <v>2369</v>
      </c>
      <c r="BC471" s="3" t="s">
        <v>2370</v>
      </c>
      <c r="BD471" s="3" t="s">
        <v>2371</v>
      </c>
      <c r="BE471" s="3" t="s">
        <v>4497</v>
      </c>
      <c r="BF471" s="3">
        <v>1</v>
      </c>
      <c r="BG471" s="3">
        <v>-6.9625000000000004</v>
      </c>
      <c r="BH471" s="3">
        <v>107.4346</v>
      </c>
      <c r="BI471" s="3">
        <v>3217121108160000</v>
      </c>
      <c r="BJ471" s="3">
        <v>39</v>
      </c>
      <c r="BK471" s="3">
        <v>137</v>
      </c>
      <c r="BL471" s="3">
        <v>49</v>
      </c>
      <c r="BM471" s="3">
        <v>1</v>
      </c>
      <c r="BN471" s="3">
        <v>2</v>
      </c>
    </row>
    <row r="472" spans="1:66" s="219" customFormat="1" hidden="1" x14ac:dyDescent="0.3">
      <c r="A472" s="54">
        <v>466</v>
      </c>
      <c r="B472" s="54" t="s">
        <v>1808</v>
      </c>
      <c r="C472" s="54" t="s">
        <v>1446</v>
      </c>
      <c r="D472" s="54" t="s">
        <v>52</v>
      </c>
      <c r="E472" s="54">
        <v>3090492752</v>
      </c>
      <c r="F472" s="54" t="s">
        <v>2373</v>
      </c>
      <c r="G472" s="108">
        <v>40070</v>
      </c>
      <c r="H472" s="54">
        <v>3217111409110000</v>
      </c>
      <c r="I472" s="54" t="s">
        <v>2353</v>
      </c>
      <c r="J472" s="54" t="s">
        <v>2810</v>
      </c>
      <c r="K472" s="54">
        <v>2</v>
      </c>
      <c r="L472" s="54">
        <v>5</v>
      </c>
      <c r="M472" s="54"/>
      <c r="N472" s="54" t="s">
        <v>2425</v>
      </c>
      <c r="O472" s="54" t="s">
        <v>2426</v>
      </c>
      <c r="P472" s="54">
        <v>40562</v>
      </c>
      <c r="Q472" s="54" t="s">
        <v>2357</v>
      </c>
      <c r="R472" s="54" t="s">
        <v>2358</v>
      </c>
      <c r="S472" s="54"/>
      <c r="T472" s="54">
        <v>82129227237</v>
      </c>
      <c r="U472" s="54"/>
      <c r="V472" s="54"/>
      <c r="W472" s="54" t="s">
        <v>2359</v>
      </c>
      <c r="X472" s="54"/>
      <c r="Y472" s="54" t="s">
        <v>3303</v>
      </c>
      <c r="Z472" s="54">
        <v>1980</v>
      </c>
      <c r="AA472" s="54" t="s">
        <v>2361</v>
      </c>
      <c r="AB472" s="54" t="s">
        <v>2362</v>
      </c>
      <c r="AC472" s="54" t="s">
        <v>2363</v>
      </c>
      <c r="AD472" s="54">
        <v>3217110705800020</v>
      </c>
      <c r="AE472" s="54" t="s">
        <v>3304</v>
      </c>
      <c r="AF472" s="54">
        <v>1986</v>
      </c>
      <c r="AG472" s="54" t="s">
        <v>2361</v>
      </c>
      <c r="AH472" s="54" t="s">
        <v>2365</v>
      </c>
      <c r="AI472" s="54" t="s">
        <v>2366</v>
      </c>
      <c r="AJ472" s="54">
        <v>3217115004860000</v>
      </c>
      <c r="AK472" s="54"/>
      <c r="AL472" s="54"/>
      <c r="AM472" s="54"/>
      <c r="AN472" s="54"/>
      <c r="AO472" s="54"/>
      <c r="AP472" s="54"/>
      <c r="AQ472" s="54" t="s">
        <v>5147</v>
      </c>
      <c r="AR472" s="54"/>
      <c r="AS472" s="54"/>
      <c r="AT472" s="54" t="s">
        <v>2359</v>
      </c>
      <c r="AU472" s="54"/>
      <c r="AV472" s="54">
        <v>0</v>
      </c>
      <c r="AW472" s="54"/>
      <c r="AX472" s="54" t="s">
        <v>3305</v>
      </c>
      <c r="AY472" s="54"/>
      <c r="AZ472" s="54"/>
      <c r="BA472" s="54"/>
      <c r="BB472" s="54" t="s">
        <v>2369</v>
      </c>
      <c r="BC472" s="54" t="s">
        <v>2370</v>
      </c>
      <c r="BD472" s="54" t="s">
        <v>2371</v>
      </c>
      <c r="BE472" s="54"/>
      <c r="BF472" s="54">
        <v>1</v>
      </c>
      <c r="BG472" s="54">
        <v>-6.9625000000000004</v>
      </c>
      <c r="BH472" s="54">
        <v>107.4346</v>
      </c>
      <c r="BI472" s="54">
        <v>3217110911070000</v>
      </c>
      <c r="BJ472" s="54">
        <v>41</v>
      </c>
      <c r="BK472" s="54">
        <v>145</v>
      </c>
      <c r="BL472" s="54">
        <v>58</v>
      </c>
      <c r="BM472" s="54">
        <v>1</v>
      </c>
      <c r="BN472" s="54">
        <v>1</v>
      </c>
    </row>
    <row r="473" spans="1:66" s="219" customFormat="1" hidden="1" x14ac:dyDescent="0.3">
      <c r="A473" s="54">
        <v>467</v>
      </c>
      <c r="B473" s="54" t="s">
        <v>1809</v>
      </c>
      <c r="C473" s="54" t="s">
        <v>1447</v>
      </c>
      <c r="D473" s="54" t="s">
        <v>53</v>
      </c>
      <c r="E473" s="54">
        <v>3097041752</v>
      </c>
      <c r="F473" s="54" t="s">
        <v>2446</v>
      </c>
      <c r="G473" s="108">
        <v>40086</v>
      </c>
      <c r="H473" s="54">
        <v>3217127010090000</v>
      </c>
      <c r="I473" s="54" t="s">
        <v>2353</v>
      </c>
      <c r="J473" s="54" t="s">
        <v>2565</v>
      </c>
      <c r="K473" s="54">
        <v>3</v>
      </c>
      <c r="L473" s="54">
        <v>2</v>
      </c>
      <c r="M473" s="54"/>
      <c r="N473" s="54" t="s">
        <v>2907</v>
      </c>
      <c r="O473" s="54" t="s">
        <v>2356</v>
      </c>
      <c r="P473" s="54"/>
      <c r="Q473" s="54" t="s">
        <v>2357</v>
      </c>
      <c r="R473" s="54" t="s">
        <v>2374</v>
      </c>
      <c r="S473" s="54"/>
      <c r="T473" s="54"/>
      <c r="U473" s="54"/>
      <c r="V473" s="54"/>
      <c r="W473" s="54" t="s">
        <v>2359</v>
      </c>
      <c r="X473" s="54"/>
      <c r="Y473" s="54"/>
      <c r="Z473" s="54">
        <v>0</v>
      </c>
      <c r="AA473" s="54"/>
      <c r="AB473" s="54"/>
      <c r="AC473" s="54"/>
      <c r="AD473" s="54"/>
      <c r="AE473" s="54" t="s">
        <v>2768</v>
      </c>
      <c r="AF473" s="54">
        <v>0</v>
      </c>
      <c r="AG473" s="54"/>
      <c r="AH473" s="54" t="s">
        <v>2365</v>
      </c>
      <c r="AI473" s="54" t="s">
        <v>2366</v>
      </c>
      <c r="AJ473" s="54"/>
      <c r="AK473" s="54"/>
      <c r="AL473" s="54"/>
      <c r="AM473" s="54"/>
      <c r="AN473" s="54"/>
      <c r="AO473" s="54"/>
      <c r="AP473" s="54"/>
      <c r="AQ473" s="54" t="s">
        <v>5147</v>
      </c>
      <c r="AR473" s="54"/>
      <c r="AS473" s="54"/>
      <c r="AT473" s="54" t="s">
        <v>2359</v>
      </c>
      <c r="AU473" s="54"/>
      <c r="AV473" s="54">
        <v>0</v>
      </c>
      <c r="AW473" s="54"/>
      <c r="AX473" s="54"/>
      <c r="AY473" s="54"/>
      <c r="AZ473" s="54"/>
      <c r="BA473" s="54"/>
      <c r="BB473" s="54" t="s">
        <v>2359</v>
      </c>
      <c r="BC473" s="54"/>
      <c r="BD473" s="54" t="s">
        <v>2371</v>
      </c>
      <c r="BE473" s="54"/>
      <c r="BF473" s="54">
        <v>1</v>
      </c>
      <c r="BG473" s="54">
        <v>-6.9625000000000004</v>
      </c>
      <c r="BH473" s="54">
        <v>107.4346</v>
      </c>
      <c r="BI473" s="54"/>
      <c r="BJ473" s="54">
        <v>37</v>
      </c>
      <c r="BK473" s="54">
        <v>135</v>
      </c>
      <c r="BL473" s="54">
        <v>49</v>
      </c>
      <c r="BM473" s="54">
        <v>1</v>
      </c>
      <c r="BN473" s="54">
        <v>2</v>
      </c>
    </row>
    <row r="474" spans="1:66" s="219" customFormat="1" hidden="1" x14ac:dyDescent="0.3">
      <c r="A474" s="54">
        <v>468</v>
      </c>
      <c r="B474" s="54" t="s">
        <v>1884</v>
      </c>
      <c r="C474" s="54" t="s">
        <v>1535</v>
      </c>
      <c r="D474" s="54" t="s">
        <v>53</v>
      </c>
      <c r="E474" s="54">
        <v>93458699</v>
      </c>
      <c r="F474" s="54" t="s">
        <v>2352</v>
      </c>
      <c r="G474" s="108">
        <v>40088</v>
      </c>
      <c r="H474" s="54">
        <v>3217124210090000</v>
      </c>
      <c r="I474" s="54" t="s">
        <v>2353</v>
      </c>
      <c r="J474" s="54" t="s">
        <v>3278</v>
      </c>
      <c r="K474" s="54">
        <v>2</v>
      </c>
      <c r="L474" s="54">
        <v>5</v>
      </c>
      <c r="M474" s="54"/>
      <c r="N474" s="54" t="s">
        <v>2513</v>
      </c>
      <c r="O474" s="54" t="s">
        <v>2356</v>
      </c>
      <c r="P474" s="54">
        <v>40564</v>
      </c>
      <c r="Q474" s="54" t="s">
        <v>2357</v>
      </c>
      <c r="R474" s="54" t="s">
        <v>2358</v>
      </c>
      <c r="S474" s="54"/>
      <c r="T474" s="54">
        <v>82315374556</v>
      </c>
      <c r="U474" s="54"/>
      <c r="V474" s="54"/>
      <c r="W474" s="54" t="s">
        <v>2359</v>
      </c>
      <c r="X474" s="54"/>
      <c r="Y474" s="54" t="s">
        <v>3644</v>
      </c>
      <c r="Z474" s="54">
        <v>1982</v>
      </c>
      <c r="AA474" s="54" t="s">
        <v>2361</v>
      </c>
      <c r="AB474" s="54" t="s">
        <v>2362</v>
      </c>
      <c r="AC474" s="54" t="s">
        <v>2363</v>
      </c>
      <c r="AD474" s="54"/>
      <c r="AE474" s="54" t="s">
        <v>3645</v>
      </c>
      <c r="AF474" s="54">
        <v>0</v>
      </c>
      <c r="AG474" s="54" t="s">
        <v>2361</v>
      </c>
      <c r="AH474" s="54" t="s">
        <v>2365</v>
      </c>
      <c r="AI474" s="54" t="s">
        <v>2366</v>
      </c>
      <c r="AJ474" s="54"/>
      <c r="AK474" s="54"/>
      <c r="AL474" s="54"/>
      <c r="AM474" s="54"/>
      <c r="AN474" s="54"/>
      <c r="AO474" s="54"/>
      <c r="AP474" s="54"/>
      <c r="AQ474" s="54" t="s">
        <v>5147</v>
      </c>
      <c r="AR474" s="54"/>
      <c r="AS474" s="54"/>
      <c r="AT474" s="54" t="s">
        <v>2359</v>
      </c>
      <c r="AU474" s="54"/>
      <c r="AV474" s="54">
        <v>0</v>
      </c>
      <c r="AW474" s="54"/>
      <c r="AX474" s="54"/>
      <c r="AY474" s="54"/>
      <c r="AZ474" s="54"/>
      <c r="BA474" s="54"/>
      <c r="BB474" s="54" t="s">
        <v>2369</v>
      </c>
      <c r="BC474" s="54" t="s">
        <v>2370</v>
      </c>
      <c r="BD474" s="54" t="s">
        <v>2371</v>
      </c>
      <c r="BE474" s="54"/>
      <c r="BF474" s="54">
        <v>2</v>
      </c>
      <c r="BG474" s="54">
        <v>-6.9676999999999998</v>
      </c>
      <c r="BH474" s="54">
        <v>107.4117</v>
      </c>
      <c r="BI474" s="54"/>
      <c r="BJ474" s="54">
        <v>48</v>
      </c>
      <c r="BK474" s="54">
        <v>142</v>
      </c>
      <c r="BL474" s="54">
        <v>56</v>
      </c>
      <c r="BM474" s="54">
        <v>1</v>
      </c>
      <c r="BN474" s="54">
        <v>1</v>
      </c>
    </row>
    <row r="475" spans="1:66" s="219" customFormat="1" hidden="1" x14ac:dyDescent="0.3">
      <c r="A475" s="54">
        <v>469</v>
      </c>
      <c r="B475" s="54" t="s">
        <v>2875</v>
      </c>
      <c r="C475" s="54" t="s">
        <v>2218</v>
      </c>
      <c r="D475" s="54" t="s">
        <v>53</v>
      </c>
      <c r="E475" s="54">
        <v>105678489</v>
      </c>
      <c r="F475" s="54" t="s">
        <v>2446</v>
      </c>
      <c r="G475" s="108">
        <v>40416</v>
      </c>
      <c r="H475" s="54">
        <v>3217126608100000</v>
      </c>
      <c r="I475" s="54" t="s">
        <v>2353</v>
      </c>
      <c r="J475" s="54" t="s">
        <v>2876</v>
      </c>
      <c r="K475" s="54">
        <v>1</v>
      </c>
      <c r="L475" s="54">
        <v>7</v>
      </c>
      <c r="M475" s="54"/>
      <c r="N475" s="54" t="s">
        <v>2438</v>
      </c>
      <c r="O475" s="54" t="s">
        <v>2356</v>
      </c>
      <c r="P475" s="54">
        <v>40564</v>
      </c>
      <c r="Q475" s="54" t="s">
        <v>2357</v>
      </c>
      <c r="R475" s="54" t="s">
        <v>2358</v>
      </c>
      <c r="S475" s="54"/>
      <c r="T475" s="54">
        <v>8382217631</v>
      </c>
      <c r="U475" s="54"/>
      <c r="V475" s="54"/>
      <c r="W475" s="54" t="s">
        <v>2369</v>
      </c>
      <c r="X475" s="54" t="s">
        <v>2877</v>
      </c>
      <c r="Y475" s="54" t="s">
        <v>2878</v>
      </c>
      <c r="Z475" s="54">
        <v>1980</v>
      </c>
      <c r="AA475" s="54" t="s">
        <v>2361</v>
      </c>
      <c r="AB475" s="54" t="s">
        <v>2362</v>
      </c>
      <c r="AC475" s="54" t="s">
        <v>2403</v>
      </c>
      <c r="AD475" s="54">
        <v>3217120306800040</v>
      </c>
      <c r="AE475" s="54" t="s">
        <v>2879</v>
      </c>
      <c r="AF475" s="54">
        <v>1982</v>
      </c>
      <c r="AG475" s="54" t="s">
        <v>2361</v>
      </c>
      <c r="AH475" s="54" t="s">
        <v>2365</v>
      </c>
      <c r="AI475" s="54" t="s">
        <v>2366</v>
      </c>
      <c r="AJ475" s="54">
        <v>3217124107820430</v>
      </c>
      <c r="AK475" s="54"/>
      <c r="AL475" s="54"/>
      <c r="AM475" s="54" t="s">
        <v>2367</v>
      </c>
      <c r="AN475" s="54"/>
      <c r="AO475" s="54"/>
      <c r="AP475" s="54"/>
      <c r="AQ475" s="54" t="s">
        <v>8179</v>
      </c>
      <c r="AR475" s="54"/>
      <c r="AS475" s="54"/>
      <c r="AT475" s="54" t="s">
        <v>2359</v>
      </c>
      <c r="AU475" s="54"/>
      <c r="AV475" s="54">
        <v>0</v>
      </c>
      <c r="AW475" s="54"/>
      <c r="AX475" s="54"/>
      <c r="AY475" s="54"/>
      <c r="AZ475" s="54"/>
      <c r="BA475" s="54"/>
      <c r="BB475" s="54" t="s">
        <v>2369</v>
      </c>
      <c r="BC475" s="54" t="s">
        <v>2443</v>
      </c>
      <c r="BD475" s="54" t="s">
        <v>2371</v>
      </c>
      <c r="BE475" s="54" t="s">
        <v>2880</v>
      </c>
      <c r="BF475" s="54">
        <v>1</v>
      </c>
      <c r="BG475" s="54">
        <v>-6.955714908</v>
      </c>
      <c r="BH475" s="54">
        <v>107.39966149999999</v>
      </c>
      <c r="BI475" s="54"/>
      <c r="BJ475" s="54">
        <v>40</v>
      </c>
      <c r="BK475" s="54">
        <v>139</v>
      </c>
      <c r="BL475" s="54">
        <v>0</v>
      </c>
      <c r="BM475" s="54">
        <v>0</v>
      </c>
      <c r="BN475" s="54">
        <v>0</v>
      </c>
    </row>
    <row r="476" spans="1:66" s="219" customFormat="1" hidden="1" x14ac:dyDescent="0.3">
      <c r="A476" s="54">
        <v>470</v>
      </c>
      <c r="B476" s="54" t="s">
        <v>1718</v>
      </c>
      <c r="C476" s="54" t="s">
        <v>1567</v>
      </c>
      <c r="D476" s="54" t="s">
        <v>53</v>
      </c>
      <c r="E476" s="54">
        <v>85390655</v>
      </c>
      <c r="F476" s="54" t="s">
        <v>2352</v>
      </c>
      <c r="G476" s="108">
        <v>39568</v>
      </c>
      <c r="H476" s="54">
        <v>3217127004080000</v>
      </c>
      <c r="I476" s="54" t="s">
        <v>2353</v>
      </c>
      <c r="J476" s="54" t="s">
        <v>2831</v>
      </c>
      <c r="K476" s="54">
        <v>3</v>
      </c>
      <c r="L476" s="54">
        <v>4</v>
      </c>
      <c r="M476" s="54"/>
      <c r="N476" s="54" t="s">
        <v>2513</v>
      </c>
      <c r="O476" s="54" t="s">
        <v>2356</v>
      </c>
      <c r="P476" s="54">
        <v>40564</v>
      </c>
      <c r="Q476" s="54" t="s">
        <v>2357</v>
      </c>
      <c r="R476" s="54" t="s">
        <v>2358</v>
      </c>
      <c r="S476" s="54"/>
      <c r="T476" s="54">
        <v>83825195089</v>
      </c>
      <c r="U476" s="54"/>
      <c r="V476" s="54"/>
      <c r="W476" s="54" t="s">
        <v>2369</v>
      </c>
      <c r="X476" s="54" t="s">
        <v>3748</v>
      </c>
      <c r="Y476" s="54" t="s">
        <v>3749</v>
      </c>
      <c r="Z476" s="54">
        <v>1976</v>
      </c>
      <c r="AA476" s="54" t="s">
        <v>2361</v>
      </c>
      <c r="AB476" s="54" t="s">
        <v>2362</v>
      </c>
      <c r="AC476" s="54" t="s">
        <v>2363</v>
      </c>
      <c r="AD476" s="54"/>
      <c r="AE476" s="54" t="s">
        <v>3127</v>
      </c>
      <c r="AF476" s="54">
        <v>1980</v>
      </c>
      <c r="AG476" s="54" t="s">
        <v>2361</v>
      </c>
      <c r="AH476" s="54" t="s">
        <v>2365</v>
      </c>
      <c r="AI476" s="54" t="s">
        <v>2366</v>
      </c>
      <c r="AJ476" s="54"/>
      <c r="AK476" s="54"/>
      <c r="AL476" s="54"/>
      <c r="AM476" s="54"/>
      <c r="AN476" s="54"/>
      <c r="AO476" s="54"/>
      <c r="AP476" s="54"/>
      <c r="AQ476" s="54" t="s">
        <v>5147</v>
      </c>
      <c r="AR476" s="54"/>
      <c r="AS476" s="54"/>
      <c r="AT476" s="54" t="s">
        <v>2369</v>
      </c>
      <c r="AU476" s="54" t="s">
        <v>3748</v>
      </c>
      <c r="AV476" s="54">
        <v>0</v>
      </c>
      <c r="AW476" s="54"/>
      <c r="AX476" s="54"/>
      <c r="AY476" s="54" t="s">
        <v>2460</v>
      </c>
      <c r="AZ476" s="54">
        <v>411601003502505</v>
      </c>
      <c r="BA476" s="54" t="s">
        <v>1718</v>
      </c>
      <c r="BB476" s="54" t="s">
        <v>2369</v>
      </c>
      <c r="BC476" s="54" t="s">
        <v>2443</v>
      </c>
      <c r="BD476" s="54" t="s">
        <v>2371</v>
      </c>
      <c r="BE476" s="54"/>
      <c r="BF476" s="54">
        <v>2</v>
      </c>
      <c r="BG476" s="54">
        <v>-6.9676999999999998</v>
      </c>
      <c r="BH476" s="54">
        <v>107.4117</v>
      </c>
      <c r="BI476" s="54"/>
      <c r="BJ476" s="54">
        <v>21</v>
      </c>
      <c r="BK476" s="54">
        <v>121</v>
      </c>
      <c r="BL476" s="54">
        <v>53</v>
      </c>
      <c r="BM476" s="54">
        <v>2</v>
      </c>
      <c r="BN476" s="54">
        <v>1</v>
      </c>
    </row>
    <row r="477" spans="1:66" s="219" customFormat="1" hidden="1" x14ac:dyDescent="0.3">
      <c r="A477" s="54">
        <v>471</v>
      </c>
      <c r="B477" s="54" t="s">
        <v>2762</v>
      </c>
      <c r="C477" s="54" t="s">
        <v>2186</v>
      </c>
      <c r="D477" s="54" t="s">
        <v>53</v>
      </c>
      <c r="E477" s="54">
        <v>104350656</v>
      </c>
      <c r="F477" s="54" t="s">
        <v>2763</v>
      </c>
      <c r="G477" s="108">
        <v>40288</v>
      </c>
      <c r="H477" s="54">
        <v>3217116004100000</v>
      </c>
      <c r="I477" s="54" t="s">
        <v>2353</v>
      </c>
      <c r="J477" s="54" t="s">
        <v>2673</v>
      </c>
      <c r="K477" s="54">
        <v>4</v>
      </c>
      <c r="L477" s="54">
        <v>1</v>
      </c>
      <c r="M477" s="54"/>
      <c r="N477" s="54" t="s">
        <v>2566</v>
      </c>
      <c r="O477" s="54" t="s">
        <v>2426</v>
      </c>
      <c r="P477" s="54">
        <v>40562</v>
      </c>
      <c r="Q477" s="54" t="s">
        <v>2357</v>
      </c>
      <c r="R477" s="54" t="s">
        <v>2358</v>
      </c>
      <c r="S477" s="54"/>
      <c r="T477" s="54">
        <v>87824522382</v>
      </c>
      <c r="U477" s="54"/>
      <c r="V477" s="54"/>
      <c r="W477" s="54" t="s">
        <v>2359</v>
      </c>
      <c r="X477" s="54"/>
      <c r="Y477" s="54" t="s">
        <v>2764</v>
      </c>
      <c r="Z477" s="54">
        <v>1977</v>
      </c>
      <c r="AA477" s="54" t="s">
        <v>2402</v>
      </c>
      <c r="AB477" s="54" t="s">
        <v>2362</v>
      </c>
      <c r="AC477" s="54" t="s">
        <v>2403</v>
      </c>
      <c r="AD477" s="54"/>
      <c r="AE477" s="54" t="s">
        <v>2765</v>
      </c>
      <c r="AF477" s="54">
        <v>1988</v>
      </c>
      <c r="AG477" s="54" t="s">
        <v>2402</v>
      </c>
      <c r="AH477" s="54" t="s">
        <v>2365</v>
      </c>
      <c r="AI477" s="54" t="s">
        <v>2366</v>
      </c>
      <c r="AJ477" s="54"/>
      <c r="AK477" s="54"/>
      <c r="AL477" s="54"/>
      <c r="AM477" s="54" t="s">
        <v>2367</v>
      </c>
      <c r="AN477" s="54"/>
      <c r="AO477" s="54"/>
      <c r="AP477" s="54"/>
      <c r="AQ477" s="54" t="s">
        <v>8180</v>
      </c>
      <c r="AR477" s="54"/>
      <c r="AS477" s="54"/>
      <c r="AT477" s="54" t="s">
        <v>2359</v>
      </c>
      <c r="AU477" s="54"/>
      <c r="AV477" s="54">
        <v>0</v>
      </c>
      <c r="AW477" s="54"/>
      <c r="AX477" s="54">
        <v>6310143678</v>
      </c>
      <c r="AY477" s="54"/>
      <c r="AZ477" s="54"/>
      <c r="BA477" s="54"/>
      <c r="BB477" s="54" t="s">
        <v>2369</v>
      </c>
      <c r="BC477" s="54" t="s">
        <v>2370</v>
      </c>
      <c r="BD477" s="54" t="s">
        <v>2371</v>
      </c>
      <c r="BE477" s="54" t="s">
        <v>2691</v>
      </c>
      <c r="BF477" s="54">
        <v>1</v>
      </c>
      <c r="BG477" s="54">
        <v>-6.9743000000000004</v>
      </c>
      <c r="BH477" s="54">
        <v>107.43559999999999</v>
      </c>
      <c r="BI477" s="54"/>
      <c r="BJ477" s="54">
        <v>41</v>
      </c>
      <c r="BK477" s="54">
        <v>136</v>
      </c>
      <c r="BL477" s="54">
        <v>0</v>
      </c>
      <c r="BM477" s="54">
        <v>0</v>
      </c>
      <c r="BN477" s="54">
        <v>0</v>
      </c>
    </row>
    <row r="478" spans="1:66" s="219" customFormat="1" hidden="1" x14ac:dyDescent="0.3">
      <c r="A478" s="54">
        <v>472</v>
      </c>
      <c r="B478" s="54" t="s">
        <v>1652</v>
      </c>
      <c r="C478" s="54" t="s">
        <v>2117</v>
      </c>
      <c r="D478" s="54" t="s">
        <v>53</v>
      </c>
      <c r="E478" s="54">
        <v>103443213</v>
      </c>
      <c r="F478" s="54" t="s">
        <v>2373</v>
      </c>
      <c r="G478" s="108">
        <v>40296</v>
      </c>
      <c r="H478" s="54">
        <v>3217126804100000</v>
      </c>
      <c r="I478" s="54" t="s">
        <v>2353</v>
      </c>
      <c r="J478" s="54" t="s">
        <v>2500</v>
      </c>
      <c r="K478" s="54">
        <v>1</v>
      </c>
      <c r="L478" s="54">
        <v>5</v>
      </c>
      <c r="M478" s="54" t="s">
        <v>2463</v>
      </c>
      <c r="N478" s="54" t="s">
        <v>2438</v>
      </c>
      <c r="O478" s="54" t="s">
        <v>2356</v>
      </c>
      <c r="P478" s="54">
        <v>40764</v>
      </c>
      <c r="Q478" s="54" t="s">
        <v>2357</v>
      </c>
      <c r="R478" s="54" t="s">
        <v>2358</v>
      </c>
      <c r="S478" s="54"/>
      <c r="T478" s="54">
        <v>83822196729</v>
      </c>
      <c r="U478" s="54"/>
      <c r="V478" s="54"/>
      <c r="W478" s="54" t="s">
        <v>2359</v>
      </c>
      <c r="X478" s="54"/>
      <c r="Y478" s="54" t="s">
        <v>2501</v>
      </c>
      <c r="Z478" s="54">
        <v>1970</v>
      </c>
      <c r="AA478" s="54" t="s">
        <v>2361</v>
      </c>
      <c r="AB478" s="54" t="s">
        <v>2362</v>
      </c>
      <c r="AC478" s="54" t="s">
        <v>2403</v>
      </c>
      <c r="AD478" s="54">
        <v>3217120112700010</v>
      </c>
      <c r="AE478" s="54" t="s">
        <v>2502</v>
      </c>
      <c r="AF478" s="54">
        <v>1981</v>
      </c>
      <c r="AG478" s="54" t="s">
        <v>2361</v>
      </c>
      <c r="AH478" s="54" t="s">
        <v>2365</v>
      </c>
      <c r="AI478" s="54" t="s">
        <v>2366</v>
      </c>
      <c r="AJ478" s="54">
        <v>3217124508810010</v>
      </c>
      <c r="AK478" s="54"/>
      <c r="AL478" s="54"/>
      <c r="AM478" s="54" t="s">
        <v>2367</v>
      </c>
      <c r="AN478" s="54"/>
      <c r="AO478" s="54"/>
      <c r="AP478" s="54"/>
      <c r="AQ478" s="54" t="s">
        <v>8177</v>
      </c>
      <c r="AR478" s="54"/>
      <c r="AS478" s="54"/>
      <c r="AT478" s="54" t="s">
        <v>2359</v>
      </c>
      <c r="AU478" s="54"/>
      <c r="AV478" s="54">
        <v>0</v>
      </c>
      <c r="AW478" s="54"/>
      <c r="AX478" s="54" t="s">
        <v>2503</v>
      </c>
      <c r="AY478" s="54"/>
      <c r="AZ478" s="54"/>
      <c r="BA478" s="54"/>
      <c r="BB478" s="54" t="s">
        <v>2369</v>
      </c>
      <c r="BC478" s="54" t="s">
        <v>2370</v>
      </c>
      <c r="BD478" s="54" t="s">
        <v>2371</v>
      </c>
      <c r="BE478" s="54" t="s">
        <v>2444</v>
      </c>
      <c r="BF478" s="54">
        <v>3</v>
      </c>
      <c r="BG478" s="54">
        <v>-6.9530000000000003</v>
      </c>
      <c r="BH478" s="54">
        <v>107.4034</v>
      </c>
      <c r="BI478" s="54">
        <v>3217121712080000</v>
      </c>
      <c r="BJ478" s="54">
        <v>41</v>
      </c>
      <c r="BK478" s="54">
        <v>138</v>
      </c>
      <c r="BL478" s="54">
        <v>0</v>
      </c>
      <c r="BM478" s="54">
        <v>0</v>
      </c>
      <c r="BN478" s="54">
        <v>0</v>
      </c>
    </row>
    <row r="479" spans="1:66" s="219" customFormat="1" hidden="1" x14ac:dyDescent="0.3">
      <c r="A479" s="54">
        <v>473</v>
      </c>
      <c r="B479" s="54" t="s">
        <v>1810</v>
      </c>
      <c r="C479" s="54" t="s">
        <v>1448</v>
      </c>
      <c r="D479" s="54" t="s">
        <v>52</v>
      </c>
      <c r="E479" s="54">
        <v>83655955</v>
      </c>
      <c r="F479" s="54" t="s">
        <v>2352</v>
      </c>
      <c r="G479" s="108">
        <v>39718</v>
      </c>
      <c r="H479" s="54">
        <v>3217122709080000</v>
      </c>
      <c r="I479" s="54" t="s">
        <v>2353</v>
      </c>
      <c r="J479" s="54" t="s">
        <v>2831</v>
      </c>
      <c r="K479" s="54">
        <v>1</v>
      </c>
      <c r="L479" s="54">
        <v>4</v>
      </c>
      <c r="M479" s="54"/>
      <c r="N479" s="54" t="s">
        <v>2513</v>
      </c>
      <c r="O479" s="54" t="s">
        <v>2356</v>
      </c>
      <c r="P479" s="54">
        <v>40564</v>
      </c>
      <c r="Q479" s="54" t="s">
        <v>2357</v>
      </c>
      <c r="R479" s="54" t="s">
        <v>2358</v>
      </c>
      <c r="S479" s="54"/>
      <c r="T479" s="54">
        <v>83820744112</v>
      </c>
      <c r="U479" s="54"/>
      <c r="V479" s="54"/>
      <c r="W479" s="54" t="s">
        <v>2369</v>
      </c>
      <c r="X479" s="54" t="s">
        <v>3306</v>
      </c>
      <c r="Y479" s="54" t="s">
        <v>3307</v>
      </c>
      <c r="Z479" s="54">
        <v>1980</v>
      </c>
      <c r="AA479" s="54" t="s">
        <v>2361</v>
      </c>
      <c r="AB479" s="54" t="s">
        <v>2362</v>
      </c>
      <c r="AC479" s="54" t="s">
        <v>2375</v>
      </c>
      <c r="AD479" s="54"/>
      <c r="AE479" s="54" t="s">
        <v>3308</v>
      </c>
      <c r="AF479" s="54">
        <v>1975</v>
      </c>
      <c r="AG479" s="54" t="s">
        <v>2361</v>
      </c>
      <c r="AH479" s="54" t="s">
        <v>2365</v>
      </c>
      <c r="AI479" s="54" t="s">
        <v>2366</v>
      </c>
      <c r="AJ479" s="54"/>
      <c r="AK479" s="54"/>
      <c r="AL479" s="54"/>
      <c r="AM479" s="54"/>
      <c r="AN479" s="54"/>
      <c r="AO479" s="54"/>
      <c r="AP479" s="54"/>
      <c r="AQ479" s="54" t="s">
        <v>5147</v>
      </c>
      <c r="AR479" s="54"/>
      <c r="AS479" s="54"/>
      <c r="AT479" s="54" t="s">
        <v>2359</v>
      </c>
      <c r="AU479" s="54"/>
      <c r="AV479" s="54">
        <v>0</v>
      </c>
      <c r="AW479" s="54"/>
      <c r="AX479" s="54"/>
      <c r="AY479" s="54"/>
      <c r="AZ479" s="54"/>
      <c r="BA479" s="54"/>
      <c r="BB479" s="54" t="s">
        <v>2369</v>
      </c>
      <c r="BC479" s="54" t="s">
        <v>2443</v>
      </c>
      <c r="BD479" s="54" t="s">
        <v>2371</v>
      </c>
      <c r="BE479" s="54"/>
      <c r="BF479" s="54">
        <v>4</v>
      </c>
      <c r="BG479" s="54">
        <v>-6.9676999999999998</v>
      </c>
      <c r="BH479" s="54">
        <v>107.4117</v>
      </c>
      <c r="BI479" s="54"/>
      <c r="BJ479" s="54">
        <v>37</v>
      </c>
      <c r="BK479" s="54">
        <v>138</v>
      </c>
      <c r="BL479" s="54">
        <v>54</v>
      </c>
      <c r="BM479" s="54">
        <v>3</v>
      </c>
      <c r="BN479" s="54">
        <v>1</v>
      </c>
    </row>
    <row r="480" spans="1:66" s="219" customFormat="1" hidden="1" x14ac:dyDescent="0.3">
      <c r="A480" s="54">
        <v>474</v>
      </c>
      <c r="B480" s="54" t="s">
        <v>1860</v>
      </c>
      <c r="C480" s="54" t="s">
        <v>1512</v>
      </c>
      <c r="D480" s="54" t="s">
        <v>53</v>
      </c>
      <c r="E480" s="54">
        <v>92491192</v>
      </c>
      <c r="F480" s="54" t="s">
        <v>2377</v>
      </c>
      <c r="G480" s="108">
        <v>39948</v>
      </c>
      <c r="H480" s="54">
        <v>3217125509040000</v>
      </c>
      <c r="I480" s="54" t="s">
        <v>2353</v>
      </c>
      <c r="J480" s="54" t="s">
        <v>2732</v>
      </c>
      <c r="K480" s="54">
        <v>3</v>
      </c>
      <c r="L480" s="54">
        <v>1</v>
      </c>
      <c r="M480" s="54" t="s">
        <v>2733</v>
      </c>
      <c r="N480" s="54" t="s">
        <v>2399</v>
      </c>
      <c r="O480" s="54" t="s">
        <v>2356</v>
      </c>
      <c r="P480" s="54">
        <v>40564</v>
      </c>
      <c r="Q480" s="54" t="s">
        <v>2357</v>
      </c>
      <c r="R480" s="54" t="s">
        <v>2374</v>
      </c>
      <c r="S480" s="54"/>
      <c r="T480" s="54">
        <v>83829270167</v>
      </c>
      <c r="U480" s="54"/>
      <c r="V480" s="54"/>
      <c r="W480" s="54" t="s">
        <v>2359</v>
      </c>
      <c r="X480" s="54"/>
      <c r="Y480" s="54" t="s">
        <v>3549</v>
      </c>
      <c r="Z480" s="54">
        <v>1981</v>
      </c>
      <c r="AA480" s="54" t="s">
        <v>2361</v>
      </c>
      <c r="AB480" s="54" t="s">
        <v>2362</v>
      </c>
      <c r="AC480" s="54" t="s">
        <v>2363</v>
      </c>
      <c r="AD480" s="54">
        <v>3217120402810010</v>
      </c>
      <c r="AE480" s="54" t="s">
        <v>3550</v>
      </c>
      <c r="AF480" s="54">
        <v>1986</v>
      </c>
      <c r="AG480" s="54" t="s">
        <v>2361</v>
      </c>
      <c r="AH480" s="54" t="s">
        <v>3551</v>
      </c>
      <c r="AI480" s="54" t="s">
        <v>2363</v>
      </c>
      <c r="AJ480" s="54">
        <v>3217124908880000</v>
      </c>
      <c r="AK480" s="54"/>
      <c r="AL480" s="54"/>
      <c r="AM480" s="54"/>
      <c r="AN480" s="54"/>
      <c r="AO480" s="54"/>
      <c r="AP480" s="54"/>
      <c r="AQ480" s="54" t="s">
        <v>5147</v>
      </c>
      <c r="AR480" s="54"/>
      <c r="AS480" s="54"/>
      <c r="AT480" s="54" t="s">
        <v>2359</v>
      </c>
      <c r="AU480" s="54"/>
      <c r="AV480" s="54">
        <v>0</v>
      </c>
      <c r="AW480" s="54"/>
      <c r="AX480" s="54" t="s">
        <v>2622</v>
      </c>
      <c r="AY480" s="54"/>
      <c r="AZ480" s="54"/>
      <c r="BA480" s="54"/>
      <c r="BB480" s="54" t="s">
        <v>2369</v>
      </c>
      <c r="BC480" s="54" t="s">
        <v>2370</v>
      </c>
      <c r="BD480" s="54" t="s">
        <v>2371</v>
      </c>
      <c r="BE480" s="54" t="s">
        <v>3552</v>
      </c>
      <c r="BF480" s="54">
        <v>2</v>
      </c>
      <c r="BG480" s="54">
        <v>-6.9546999999999999</v>
      </c>
      <c r="BH480" s="54">
        <v>107.39</v>
      </c>
      <c r="BI480" s="54">
        <v>3217120302090040</v>
      </c>
      <c r="BJ480" s="54">
        <v>44</v>
      </c>
      <c r="BK480" s="54">
        <v>138</v>
      </c>
      <c r="BL480" s="54">
        <v>59</v>
      </c>
      <c r="BM480" s="54">
        <v>1</v>
      </c>
      <c r="BN480" s="54">
        <v>3</v>
      </c>
    </row>
    <row r="481" spans="1:66" hidden="1" x14ac:dyDescent="0.3">
      <c r="A481" s="3">
        <v>475</v>
      </c>
      <c r="B481" s="3" t="s">
        <v>3892</v>
      </c>
      <c r="C481" s="3" t="s">
        <v>4351</v>
      </c>
      <c r="D481" s="3" t="s">
        <v>53</v>
      </c>
      <c r="E481" s="3">
        <v>3117268104</v>
      </c>
      <c r="F481" s="3" t="s">
        <v>2377</v>
      </c>
      <c r="G481" s="157">
        <v>40712</v>
      </c>
      <c r="H481" s="3">
        <v>3217125806110000</v>
      </c>
      <c r="I481" s="3" t="s">
        <v>2353</v>
      </c>
      <c r="J481" s="3" t="s">
        <v>2825</v>
      </c>
      <c r="K481" s="3">
        <v>4</v>
      </c>
      <c r="L481" s="3">
        <v>5</v>
      </c>
      <c r="M481" s="3" t="s">
        <v>3087</v>
      </c>
      <c r="N481" s="3" t="s">
        <v>4466</v>
      </c>
      <c r="O481" s="3" t="s">
        <v>2356</v>
      </c>
      <c r="P481" s="3">
        <v>40764</v>
      </c>
      <c r="Q481" s="3" t="s">
        <v>2357</v>
      </c>
      <c r="R481" s="3" t="s">
        <v>2374</v>
      </c>
      <c r="S481" s="3"/>
      <c r="T481" s="3"/>
      <c r="U481" s="3"/>
      <c r="V481" s="3"/>
      <c r="W481" s="3" t="s">
        <v>2369</v>
      </c>
      <c r="X481" s="3">
        <v>122000111001092</v>
      </c>
      <c r="Y481" s="3" t="s">
        <v>4035</v>
      </c>
      <c r="Z481" s="3">
        <v>1982</v>
      </c>
      <c r="AA481" s="3" t="s">
        <v>2390</v>
      </c>
      <c r="AB481" s="3" t="s">
        <v>2362</v>
      </c>
      <c r="AC481" s="3" t="s">
        <v>2403</v>
      </c>
      <c r="AD481" s="3">
        <v>3217122507820010</v>
      </c>
      <c r="AE481" s="3" t="s">
        <v>4036</v>
      </c>
      <c r="AF481" s="3">
        <v>1990</v>
      </c>
      <c r="AG481" s="3" t="s">
        <v>2390</v>
      </c>
      <c r="AH481" s="3" t="s">
        <v>2474</v>
      </c>
      <c r="AI481" s="3" t="s">
        <v>2403</v>
      </c>
      <c r="AJ481" s="3">
        <v>3217124212900000</v>
      </c>
      <c r="AK481" s="3"/>
      <c r="AL481" s="3"/>
      <c r="AM481" s="3" t="s">
        <v>4751</v>
      </c>
      <c r="AN481" s="3"/>
      <c r="AO481" s="3"/>
      <c r="AP481" s="3"/>
      <c r="AQ481" s="3" t="s">
        <v>5152</v>
      </c>
      <c r="AR481" s="3"/>
      <c r="AS481" s="3"/>
      <c r="AT481" s="3" t="s">
        <v>2359</v>
      </c>
      <c r="AU481" s="3"/>
      <c r="AV481" s="3">
        <v>0</v>
      </c>
      <c r="AW481" s="3"/>
      <c r="AX481" s="3"/>
      <c r="AY481" s="3"/>
      <c r="AZ481" s="3"/>
      <c r="BA481" s="3"/>
      <c r="BB481" s="3" t="s">
        <v>2369</v>
      </c>
      <c r="BC481" s="3" t="s">
        <v>2370</v>
      </c>
      <c r="BD481" s="3" t="s">
        <v>2371</v>
      </c>
      <c r="BE481" s="3" t="s">
        <v>4459</v>
      </c>
      <c r="BF481" s="3">
        <v>1</v>
      </c>
      <c r="BG481" s="3">
        <v>-6.9625000000000004</v>
      </c>
      <c r="BH481" s="3">
        <v>107.4346</v>
      </c>
      <c r="BI481" s="3">
        <v>3217125806110000</v>
      </c>
      <c r="BJ481" s="3">
        <v>41</v>
      </c>
      <c r="BK481" s="3">
        <v>139</v>
      </c>
      <c r="BL481" s="3">
        <v>47</v>
      </c>
      <c r="BM481" s="3">
        <v>1</v>
      </c>
      <c r="BN481" s="3">
        <v>3</v>
      </c>
    </row>
    <row r="482" spans="1:66" hidden="1" x14ac:dyDescent="0.3">
      <c r="A482" s="3">
        <v>476</v>
      </c>
      <c r="B482" s="3" t="s">
        <v>4998</v>
      </c>
      <c r="C482" s="3"/>
      <c r="D482" s="3" t="s">
        <v>53</v>
      </c>
      <c r="E482" s="3">
        <v>113560037</v>
      </c>
      <c r="F482" s="3" t="s">
        <v>2446</v>
      </c>
      <c r="G482" s="157">
        <v>40636</v>
      </c>
      <c r="H482" s="3">
        <v>3217154304110000</v>
      </c>
      <c r="I482" s="3" t="s">
        <v>2353</v>
      </c>
      <c r="J482" s="3" t="s">
        <v>2424</v>
      </c>
      <c r="K482" s="3">
        <v>4</v>
      </c>
      <c r="L482" s="3">
        <v>8</v>
      </c>
      <c r="M482" s="3"/>
      <c r="N482" s="3" t="s">
        <v>2425</v>
      </c>
      <c r="O482" s="3" t="s">
        <v>2426</v>
      </c>
      <c r="P482" s="3">
        <v>40562</v>
      </c>
      <c r="Q482" s="3" t="s">
        <v>2357</v>
      </c>
      <c r="R482" s="3" t="s">
        <v>2358</v>
      </c>
      <c r="S482" s="3"/>
      <c r="T482" s="3">
        <v>881023461133</v>
      </c>
      <c r="U482" s="3"/>
      <c r="V482" s="3"/>
      <c r="W482" s="3" t="s">
        <v>2359</v>
      </c>
      <c r="X482" s="3"/>
      <c r="Y482" s="3" t="s">
        <v>4999</v>
      </c>
      <c r="Z482" s="3">
        <v>1970</v>
      </c>
      <c r="AA482" s="3" t="s">
        <v>2402</v>
      </c>
      <c r="AB482" s="3" t="s">
        <v>2362</v>
      </c>
      <c r="AC482" s="3" t="s">
        <v>2403</v>
      </c>
      <c r="AD482" s="3"/>
      <c r="AE482" s="3" t="s">
        <v>5000</v>
      </c>
      <c r="AF482" s="3">
        <v>1973</v>
      </c>
      <c r="AG482" s="3" t="s">
        <v>2402</v>
      </c>
      <c r="AH482" s="3" t="s">
        <v>2365</v>
      </c>
      <c r="AI482" s="3" t="s">
        <v>2366</v>
      </c>
      <c r="AJ482" s="3"/>
      <c r="AK482" s="3"/>
      <c r="AL482" s="3"/>
      <c r="AM482" s="3" t="s">
        <v>2367</v>
      </c>
      <c r="AN482" s="3"/>
      <c r="AO482" s="3"/>
      <c r="AP482" s="3"/>
      <c r="AQ482" s="3" t="s">
        <v>5150</v>
      </c>
      <c r="AR482" s="3"/>
      <c r="AS482" s="3"/>
      <c r="AT482" s="3" t="s">
        <v>2359</v>
      </c>
      <c r="AU482" s="3"/>
      <c r="AV482" s="3">
        <v>0</v>
      </c>
      <c r="AW482" s="3"/>
      <c r="AX482" s="3"/>
      <c r="AY482" s="3"/>
      <c r="AZ482" s="3"/>
      <c r="BA482" s="3"/>
      <c r="BB482" s="3" t="s">
        <v>2369</v>
      </c>
      <c r="BC482" s="3" t="s">
        <v>2370</v>
      </c>
      <c r="BD482" s="3" t="s">
        <v>2371</v>
      </c>
      <c r="BE482" s="3" t="s">
        <v>2430</v>
      </c>
      <c r="BF482" s="3">
        <v>4</v>
      </c>
      <c r="BG482" s="3">
        <v>-6.9945282000000004</v>
      </c>
      <c r="BH482" s="3">
        <v>107.3968854</v>
      </c>
      <c r="BI482" s="3"/>
      <c r="BJ482" s="3">
        <v>43</v>
      </c>
      <c r="BK482" s="3">
        <v>138</v>
      </c>
      <c r="BL482" s="3">
        <v>54</v>
      </c>
      <c r="BM482" s="3">
        <v>2</v>
      </c>
      <c r="BN482" s="3">
        <v>2</v>
      </c>
    </row>
    <row r="483" spans="1:66" s="219" customFormat="1" hidden="1" x14ac:dyDescent="0.3">
      <c r="A483" s="54">
        <v>477</v>
      </c>
      <c r="B483" s="54" t="s">
        <v>1781</v>
      </c>
      <c r="C483" s="54" t="s">
        <v>1420</v>
      </c>
      <c r="D483" s="54" t="s">
        <v>53</v>
      </c>
      <c r="E483" s="54">
        <v>3099066862</v>
      </c>
      <c r="F483" s="54" t="s">
        <v>2446</v>
      </c>
      <c r="G483" s="108">
        <v>39975</v>
      </c>
      <c r="H483" s="54">
        <v>3217115106090000</v>
      </c>
      <c r="I483" s="54" t="s">
        <v>2353</v>
      </c>
      <c r="J483" s="54" t="s">
        <v>2616</v>
      </c>
      <c r="K483" s="54">
        <v>1</v>
      </c>
      <c r="L483" s="54">
        <v>11</v>
      </c>
      <c r="M483" s="54"/>
      <c r="N483" s="54" t="s">
        <v>2425</v>
      </c>
      <c r="O483" s="54" t="s">
        <v>2426</v>
      </c>
      <c r="P483" s="54">
        <v>40561</v>
      </c>
      <c r="Q483" s="54" t="s">
        <v>2357</v>
      </c>
      <c r="R483" s="54" t="s">
        <v>2358</v>
      </c>
      <c r="S483" s="54"/>
      <c r="T483" s="54">
        <v>87827717940</v>
      </c>
      <c r="U483" s="54"/>
      <c r="V483" s="54"/>
      <c r="W483" s="54" t="s">
        <v>2359</v>
      </c>
      <c r="X483" s="54"/>
      <c r="Y483" s="54"/>
      <c r="Z483" s="54">
        <v>1976</v>
      </c>
      <c r="AA483" s="54" t="s">
        <v>2361</v>
      </c>
      <c r="AB483" s="54" t="s">
        <v>2362</v>
      </c>
      <c r="AC483" s="54" t="s">
        <v>2363</v>
      </c>
      <c r="AD483" s="54"/>
      <c r="AE483" s="54" t="s">
        <v>3553</v>
      </c>
      <c r="AF483" s="54">
        <v>1980</v>
      </c>
      <c r="AG483" s="54" t="s">
        <v>2361</v>
      </c>
      <c r="AH483" s="54" t="s">
        <v>2365</v>
      </c>
      <c r="AI483" s="54" t="s">
        <v>2366</v>
      </c>
      <c r="AJ483" s="54"/>
      <c r="AK483" s="54"/>
      <c r="AL483" s="54"/>
      <c r="AM483" s="54"/>
      <c r="AN483" s="54"/>
      <c r="AO483" s="54"/>
      <c r="AP483" s="54"/>
      <c r="AQ483" s="54" t="s">
        <v>5147</v>
      </c>
      <c r="AR483" s="54"/>
      <c r="AS483" s="54"/>
      <c r="AT483" s="54" t="s">
        <v>2359</v>
      </c>
      <c r="AU483" s="54"/>
      <c r="AV483" s="54">
        <v>0</v>
      </c>
      <c r="AW483" s="54"/>
      <c r="AX483" s="54"/>
      <c r="AY483" s="54"/>
      <c r="AZ483" s="54"/>
      <c r="BA483" s="54"/>
      <c r="BB483" s="54" t="s">
        <v>2369</v>
      </c>
      <c r="BC483" s="54" t="s">
        <v>2370</v>
      </c>
      <c r="BD483" s="54" t="s">
        <v>2371</v>
      </c>
      <c r="BE483" s="54" t="s">
        <v>2669</v>
      </c>
      <c r="BF483" s="54">
        <v>1</v>
      </c>
      <c r="BG483" s="54">
        <v>-6.9625000000000004</v>
      </c>
      <c r="BH483" s="54">
        <v>107.4346</v>
      </c>
      <c r="BI483" s="54"/>
      <c r="BJ483" s="54">
        <v>46</v>
      </c>
      <c r="BK483" s="54">
        <v>130</v>
      </c>
      <c r="BL483" s="54">
        <v>58</v>
      </c>
      <c r="BM483" s="54">
        <v>1</v>
      </c>
      <c r="BN483" s="54">
        <v>2</v>
      </c>
    </row>
    <row r="484" spans="1:66" s="219" customFormat="1" hidden="1" x14ac:dyDescent="0.3">
      <c r="A484" s="54">
        <v>478</v>
      </c>
      <c r="B484" s="54" t="s">
        <v>1831</v>
      </c>
      <c r="C484" s="54" t="s">
        <v>1477</v>
      </c>
      <c r="D484" s="54" t="s">
        <v>52</v>
      </c>
      <c r="E484" s="54">
        <v>97507003</v>
      </c>
      <c r="F484" s="54" t="s">
        <v>2377</v>
      </c>
      <c r="G484" s="108">
        <v>39817</v>
      </c>
      <c r="H484" s="54">
        <v>3217120401090000</v>
      </c>
      <c r="I484" s="54" t="s">
        <v>2353</v>
      </c>
      <c r="J484" s="54" t="s">
        <v>3171</v>
      </c>
      <c r="K484" s="54">
        <v>2</v>
      </c>
      <c r="L484" s="54">
        <v>13</v>
      </c>
      <c r="M484" s="54"/>
      <c r="N484" s="54" t="s">
        <v>2513</v>
      </c>
      <c r="O484" s="54" t="s">
        <v>2356</v>
      </c>
      <c r="P484" s="54">
        <v>40564</v>
      </c>
      <c r="Q484" s="54" t="s">
        <v>2357</v>
      </c>
      <c r="R484" s="54" t="s">
        <v>2358</v>
      </c>
      <c r="S484" s="54"/>
      <c r="T484" s="54">
        <v>83829272270</v>
      </c>
      <c r="U484" s="54"/>
      <c r="V484" s="54"/>
      <c r="W484" s="54" t="s">
        <v>2359</v>
      </c>
      <c r="X484" s="54"/>
      <c r="Y484" s="54" t="s">
        <v>3404</v>
      </c>
      <c r="Z484" s="54">
        <v>1969</v>
      </c>
      <c r="AA484" s="54" t="s">
        <v>2361</v>
      </c>
      <c r="AB484" s="54" t="s">
        <v>2362</v>
      </c>
      <c r="AC484" s="54" t="s">
        <v>2375</v>
      </c>
      <c r="AD484" s="54"/>
      <c r="AE484" s="54" t="s">
        <v>3405</v>
      </c>
      <c r="AF484" s="54">
        <v>1975</v>
      </c>
      <c r="AG484" s="54" t="s">
        <v>2361</v>
      </c>
      <c r="AH484" s="54" t="s">
        <v>2365</v>
      </c>
      <c r="AI484" s="54" t="s">
        <v>2366</v>
      </c>
      <c r="AJ484" s="54"/>
      <c r="AK484" s="54"/>
      <c r="AL484" s="54"/>
      <c r="AM484" s="54"/>
      <c r="AN484" s="54"/>
      <c r="AO484" s="54"/>
      <c r="AP484" s="54"/>
      <c r="AQ484" s="54" t="s">
        <v>5147</v>
      </c>
      <c r="AR484" s="54"/>
      <c r="AS484" s="54"/>
      <c r="AT484" s="54" t="s">
        <v>2359</v>
      </c>
      <c r="AU484" s="54"/>
      <c r="AV484" s="54">
        <v>0</v>
      </c>
      <c r="AW484" s="54"/>
      <c r="AX484" s="54"/>
      <c r="AY484" s="54"/>
      <c r="AZ484" s="54"/>
      <c r="BA484" s="54"/>
      <c r="BB484" s="54" t="s">
        <v>2369</v>
      </c>
      <c r="BC484" s="54" t="s">
        <v>2370</v>
      </c>
      <c r="BD484" s="54" t="s">
        <v>2371</v>
      </c>
      <c r="BE484" s="54"/>
      <c r="BF484" s="54">
        <v>4</v>
      </c>
      <c r="BG484" s="54">
        <v>-6.9676999999999998</v>
      </c>
      <c r="BH484" s="54">
        <v>107.4117</v>
      </c>
      <c r="BI484" s="54"/>
      <c r="BJ484" s="54">
        <v>42</v>
      </c>
      <c r="BK484" s="54">
        <v>143</v>
      </c>
      <c r="BL484" s="54">
        <v>58</v>
      </c>
      <c r="BM484" s="54">
        <v>3</v>
      </c>
      <c r="BN484" s="54">
        <v>1</v>
      </c>
    </row>
    <row r="485" spans="1:66" s="219" customFormat="1" hidden="1" x14ac:dyDescent="0.3">
      <c r="A485" s="54">
        <v>479</v>
      </c>
      <c r="B485" s="54" t="s">
        <v>1914</v>
      </c>
      <c r="C485" s="54" t="s">
        <v>1568</v>
      </c>
      <c r="D485" s="54" t="s">
        <v>52</v>
      </c>
      <c r="E485" s="54">
        <v>3090644763</v>
      </c>
      <c r="F485" s="54" t="s">
        <v>2373</v>
      </c>
      <c r="G485" s="108">
        <v>39881</v>
      </c>
      <c r="H485" s="54">
        <v>3217110903090000</v>
      </c>
      <c r="I485" s="54" t="s">
        <v>2353</v>
      </c>
      <c r="J485" s="54" t="s">
        <v>2810</v>
      </c>
      <c r="K485" s="54">
        <v>2</v>
      </c>
      <c r="L485" s="54">
        <v>5</v>
      </c>
      <c r="M485" s="54"/>
      <c r="N485" s="54" t="s">
        <v>4508</v>
      </c>
      <c r="O485" s="54" t="s">
        <v>2426</v>
      </c>
      <c r="P485" s="54">
        <v>40562</v>
      </c>
      <c r="Q485" s="54" t="s">
        <v>2357</v>
      </c>
      <c r="R485" s="54" t="s">
        <v>2358</v>
      </c>
      <c r="S485" s="54"/>
      <c r="T485" s="54"/>
      <c r="U485" s="54"/>
      <c r="V485" s="54"/>
      <c r="W485" s="54" t="s">
        <v>2359</v>
      </c>
      <c r="X485" s="54"/>
      <c r="Y485" s="54" t="s">
        <v>5001</v>
      </c>
      <c r="Z485" s="54">
        <v>1960</v>
      </c>
      <c r="AA485" s="54" t="s">
        <v>2361</v>
      </c>
      <c r="AB485" s="54" t="s">
        <v>2362</v>
      </c>
      <c r="AC485" s="54" t="s">
        <v>2363</v>
      </c>
      <c r="AD485" s="54">
        <v>3217111503600010</v>
      </c>
      <c r="AE485" s="54" t="s">
        <v>3750</v>
      </c>
      <c r="AF485" s="54">
        <v>1970</v>
      </c>
      <c r="AG485" s="54" t="s">
        <v>2361</v>
      </c>
      <c r="AH485" s="54" t="s">
        <v>2365</v>
      </c>
      <c r="AI485" s="54" t="s">
        <v>2366</v>
      </c>
      <c r="AJ485" s="54">
        <v>3217114610700000</v>
      </c>
      <c r="AK485" s="54"/>
      <c r="AL485" s="54"/>
      <c r="AM485" s="54"/>
      <c r="AN485" s="54"/>
      <c r="AO485" s="54"/>
      <c r="AP485" s="54"/>
      <c r="AQ485" s="54" t="s">
        <v>5147</v>
      </c>
      <c r="AR485" s="54" t="s">
        <v>5002</v>
      </c>
      <c r="AS485" s="54" t="s">
        <v>5003</v>
      </c>
      <c r="AT485" s="54" t="s">
        <v>2369</v>
      </c>
      <c r="AU485" s="54"/>
      <c r="AV485" s="54">
        <v>0</v>
      </c>
      <c r="AW485" s="54"/>
      <c r="AX485" s="54" t="s">
        <v>3751</v>
      </c>
      <c r="AY485" s="54"/>
      <c r="AZ485" s="54"/>
      <c r="BA485" s="54"/>
      <c r="BB485" s="54" t="s">
        <v>2369</v>
      </c>
      <c r="BC485" s="54"/>
      <c r="BD485" s="54" t="s">
        <v>2371</v>
      </c>
      <c r="BE485" s="54" t="s">
        <v>5004</v>
      </c>
      <c r="BF485" s="54">
        <v>1</v>
      </c>
      <c r="BG485" s="54">
        <v>-6.9625000000000004</v>
      </c>
      <c r="BH485" s="54">
        <v>107.4346</v>
      </c>
      <c r="BI485" s="54">
        <v>3217110402080030</v>
      </c>
      <c r="BJ485" s="54">
        <v>47</v>
      </c>
      <c r="BK485" s="54">
        <v>139</v>
      </c>
      <c r="BL485" s="54">
        <v>54</v>
      </c>
      <c r="BM485" s="54">
        <v>1</v>
      </c>
      <c r="BN485" s="54">
        <v>1</v>
      </c>
    </row>
    <row r="486" spans="1:66" hidden="1" x14ac:dyDescent="0.3">
      <c r="A486" s="3">
        <v>480</v>
      </c>
      <c r="B486" s="3" t="s">
        <v>3862</v>
      </c>
      <c r="C486" s="3" t="s">
        <v>4315</v>
      </c>
      <c r="D486" s="3" t="s">
        <v>52</v>
      </c>
      <c r="E486" s="3">
        <v>108819489</v>
      </c>
      <c r="F486" s="3" t="s">
        <v>2352</v>
      </c>
      <c r="G486" s="157">
        <v>40211</v>
      </c>
      <c r="H486" s="3">
        <v>3217110202100000</v>
      </c>
      <c r="I486" s="3" t="s">
        <v>2353</v>
      </c>
      <c r="J486" s="3" t="s">
        <v>5005</v>
      </c>
      <c r="K486" s="3">
        <v>2</v>
      </c>
      <c r="L486" s="3">
        <v>9</v>
      </c>
      <c r="M486" s="3"/>
      <c r="N486" s="3" t="s">
        <v>3581</v>
      </c>
      <c r="O486" s="3" t="s">
        <v>2426</v>
      </c>
      <c r="P486" s="3">
        <v>40562</v>
      </c>
      <c r="Q486" s="3" t="s">
        <v>2357</v>
      </c>
      <c r="R486" s="3" t="s">
        <v>2374</v>
      </c>
      <c r="S486" s="3"/>
      <c r="T486" s="3">
        <v>83829288027</v>
      </c>
      <c r="U486" s="3"/>
      <c r="V486" s="3"/>
      <c r="W486" s="3" t="s">
        <v>2359</v>
      </c>
      <c r="X486" s="3"/>
      <c r="Y486" s="3" t="s">
        <v>4099</v>
      </c>
      <c r="Z486" s="3">
        <v>1969</v>
      </c>
      <c r="AA486" s="3" t="s">
        <v>2390</v>
      </c>
      <c r="AB486" s="3" t="s">
        <v>2493</v>
      </c>
      <c r="AC486" s="3" t="s">
        <v>2375</v>
      </c>
      <c r="AD486" s="3">
        <v>3217111608690000</v>
      </c>
      <c r="AE486" s="3" t="s">
        <v>4100</v>
      </c>
      <c r="AF486" s="3">
        <v>1974</v>
      </c>
      <c r="AG486" s="3" t="s">
        <v>2367</v>
      </c>
      <c r="AH486" s="3" t="s">
        <v>2365</v>
      </c>
      <c r="AI486" s="3" t="s">
        <v>2366</v>
      </c>
      <c r="AJ486" s="3">
        <v>3217116207740000</v>
      </c>
      <c r="AK486" s="3"/>
      <c r="AL486" s="3"/>
      <c r="AM486" s="3" t="s">
        <v>2367</v>
      </c>
      <c r="AN486" s="3"/>
      <c r="AO486" s="3"/>
      <c r="AP486" s="3"/>
      <c r="AQ486" s="3" t="s">
        <v>5150</v>
      </c>
      <c r="AR486" s="3"/>
      <c r="AS486" s="3"/>
      <c r="AT486" s="3" t="s">
        <v>2359</v>
      </c>
      <c r="AU486" s="3"/>
      <c r="AV486" s="3">
        <v>0</v>
      </c>
      <c r="AW486" s="3"/>
      <c r="AX486" s="3">
        <v>9530010777</v>
      </c>
      <c r="AY486" s="3"/>
      <c r="AZ486" s="3"/>
      <c r="BA486" s="3"/>
      <c r="BB486" s="3" t="s">
        <v>2369</v>
      </c>
      <c r="BC486" s="3" t="s">
        <v>2370</v>
      </c>
      <c r="BD486" s="3" t="s">
        <v>2371</v>
      </c>
      <c r="BE486" s="3" t="s">
        <v>2691</v>
      </c>
      <c r="BF486" s="3">
        <v>3</v>
      </c>
      <c r="BG486" s="3">
        <v>-6.9743000000000004</v>
      </c>
      <c r="BH486" s="3">
        <v>107.43559999999999</v>
      </c>
      <c r="BI486" s="3"/>
      <c r="BJ486" s="3">
        <v>30</v>
      </c>
      <c r="BK486" s="3">
        <v>130</v>
      </c>
      <c r="BL486" s="3">
        <v>0</v>
      </c>
      <c r="BM486" s="3">
        <v>0</v>
      </c>
      <c r="BN486" s="3">
        <v>1</v>
      </c>
    </row>
    <row r="487" spans="1:66" s="219" customFormat="1" hidden="1" x14ac:dyDescent="0.3">
      <c r="A487" s="54">
        <v>481</v>
      </c>
      <c r="B487" s="54" t="s">
        <v>1811</v>
      </c>
      <c r="C487" s="54" t="s">
        <v>1449</v>
      </c>
      <c r="D487" s="54" t="s">
        <v>53</v>
      </c>
      <c r="E487" s="54">
        <v>3097185922</v>
      </c>
      <c r="F487" s="54" t="s">
        <v>2373</v>
      </c>
      <c r="G487" s="108">
        <v>39848</v>
      </c>
      <c r="H487" s="54">
        <v>3217114204090000</v>
      </c>
      <c r="I487" s="54" t="s">
        <v>2353</v>
      </c>
      <c r="J487" s="54" t="s">
        <v>2616</v>
      </c>
      <c r="K487" s="54">
        <v>2</v>
      </c>
      <c r="L487" s="54">
        <v>6</v>
      </c>
      <c r="M487" s="54"/>
      <c r="N487" s="54" t="s">
        <v>2617</v>
      </c>
      <c r="O487" s="54" t="s">
        <v>2426</v>
      </c>
      <c r="P487" s="54">
        <v>40562</v>
      </c>
      <c r="Q487" s="54" t="s">
        <v>2357</v>
      </c>
      <c r="R487" s="54" t="s">
        <v>2358</v>
      </c>
      <c r="S487" s="54"/>
      <c r="T487" s="54"/>
      <c r="U487" s="54"/>
      <c r="V487" s="54"/>
      <c r="W487" s="54" t="s">
        <v>2359</v>
      </c>
      <c r="X487" s="54"/>
      <c r="Y487" s="54"/>
      <c r="Z487" s="54">
        <v>1988</v>
      </c>
      <c r="AA487" s="54" t="s">
        <v>2402</v>
      </c>
      <c r="AB487" s="54" t="s">
        <v>2362</v>
      </c>
      <c r="AC487" s="54" t="s">
        <v>2375</v>
      </c>
      <c r="AD487" s="54"/>
      <c r="AE487" s="54" t="s">
        <v>3309</v>
      </c>
      <c r="AF487" s="54">
        <v>1992</v>
      </c>
      <c r="AG487" s="54" t="s">
        <v>2361</v>
      </c>
      <c r="AH487" s="54" t="s">
        <v>2365</v>
      </c>
      <c r="AI487" s="54" t="s">
        <v>2366</v>
      </c>
      <c r="AJ487" s="54"/>
      <c r="AK487" s="54"/>
      <c r="AL487" s="54"/>
      <c r="AM487" s="54"/>
      <c r="AN487" s="54"/>
      <c r="AO487" s="54"/>
      <c r="AP487" s="54"/>
      <c r="AQ487" s="54" t="s">
        <v>5147</v>
      </c>
      <c r="AR487" s="54"/>
      <c r="AS487" s="54"/>
      <c r="AT487" s="54" t="s">
        <v>2359</v>
      </c>
      <c r="AU487" s="54"/>
      <c r="AV487" s="54">
        <v>0</v>
      </c>
      <c r="AW487" s="54"/>
      <c r="AX487" s="54"/>
      <c r="AY487" s="54"/>
      <c r="AZ487" s="54"/>
      <c r="BA487" s="54"/>
      <c r="BB487" s="54" t="s">
        <v>2369</v>
      </c>
      <c r="BC487" s="54" t="s">
        <v>2370</v>
      </c>
      <c r="BD487" s="54" t="s">
        <v>2371</v>
      </c>
      <c r="BE487" s="54"/>
      <c r="BF487" s="54">
        <v>1</v>
      </c>
      <c r="BG487" s="54">
        <v>-6.9625000000000004</v>
      </c>
      <c r="BH487" s="54">
        <v>107.4346</v>
      </c>
      <c r="BI487" s="54"/>
      <c r="BJ487" s="54">
        <v>45</v>
      </c>
      <c r="BK487" s="54">
        <v>137</v>
      </c>
      <c r="BL487" s="54">
        <v>55</v>
      </c>
      <c r="BM487" s="54">
        <v>1</v>
      </c>
      <c r="BN487" s="54">
        <v>0</v>
      </c>
    </row>
    <row r="488" spans="1:66" s="219" customFormat="1" hidden="1" x14ac:dyDescent="0.3">
      <c r="A488" s="54">
        <v>482</v>
      </c>
      <c r="B488" s="54" t="s">
        <v>1832</v>
      </c>
      <c r="C488" s="54" t="s">
        <v>1478</v>
      </c>
      <c r="D488" s="54" t="s">
        <v>52</v>
      </c>
      <c r="E488" s="54">
        <v>96082573</v>
      </c>
      <c r="F488" s="54" t="s">
        <v>2352</v>
      </c>
      <c r="G488" s="108">
        <v>39901</v>
      </c>
      <c r="H488" s="54">
        <v>3217122903090000</v>
      </c>
      <c r="I488" s="54" t="s">
        <v>2353</v>
      </c>
      <c r="J488" s="54" t="s">
        <v>3171</v>
      </c>
      <c r="K488" s="54">
        <v>2</v>
      </c>
      <c r="L488" s="54">
        <v>13</v>
      </c>
      <c r="M488" s="54"/>
      <c r="N488" s="54" t="s">
        <v>3406</v>
      </c>
      <c r="O488" s="54" t="s">
        <v>2356</v>
      </c>
      <c r="P488" s="54">
        <v>40564</v>
      </c>
      <c r="Q488" s="54" t="s">
        <v>2357</v>
      </c>
      <c r="R488" s="54" t="s">
        <v>2358</v>
      </c>
      <c r="S488" s="54"/>
      <c r="T488" s="54">
        <v>83105014520</v>
      </c>
      <c r="U488" s="54"/>
      <c r="V488" s="54"/>
      <c r="W488" s="54" t="s">
        <v>2369</v>
      </c>
      <c r="X488" s="54" t="s">
        <v>3407</v>
      </c>
      <c r="Y488" s="54" t="s">
        <v>3408</v>
      </c>
      <c r="Z488" s="54">
        <v>1962</v>
      </c>
      <c r="AA488" s="54" t="s">
        <v>2361</v>
      </c>
      <c r="AB488" s="54" t="s">
        <v>2362</v>
      </c>
      <c r="AC488" s="54" t="s">
        <v>2363</v>
      </c>
      <c r="AD488" s="54"/>
      <c r="AE488" s="54" t="s">
        <v>3409</v>
      </c>
      <c r="AF488" s="54">
        <v>1969</v>
      </c>
      <c r="AG488" s="54" t="s">
        <v>2361</v>
      </c>
      <c r="AH488" s="54" t="s">
        <v>2365</v>
      </c>
      <c r="AI488" s="54" t="s">
        <v>2366</v>
      </c>
      <c r="AJ488" s="54"/>
      <c r="AK488" s="54"/>
      <c r="AL488" s="54"/>
      <c r="AM488" s="54"/>
      <c r="AN488" s="54"/>
      <c r="AO488" s="54"/>
      <c r="AP488" s="54"/>
      <c r="AQ488" s="54" t="s">
        <v>5147</v>
      </c>
      <c r="AR488" s="54"/>
      <c r="AS488" s="54"/>
      <c r="AT488" s="54" t="s">
        <v>2359</v>
      </c>
      <c r="AU488" s="54"/>
      <c r="AV488" s="54">
        <v>0</v>
      </c>
      <c r="AW488" s="54"/>
      <c r="AX488" s="54"/>
      <c r="AY488" s="54"/>
      <c r="AZ488" s="54"/>
      <c r="BA488" s="54"/>
      <c r="BB488" s="54" t="s">
        <v>2369</v>
      </c>
      <c r="BC488" s="54" t="s">
        <v>2443</v>
      </c>
      <c r="BD488" s="54" t="s">
        <v>2371</v>
      </c>
      <c r="BE488" s="54"/>
      <c r="BF488" s="54">
        <v>4</v>
      </c>
      <c r="BG488" s="54">
        <v>-6.9676999999999998</v>
      </c>
      <c r="BH488" s="54">
        <v>107.4117</v>
      </c>
      <c r="BI488" s="54"/>
      <c r="BJ488" s="54">
        <v>21</v>
      </c>
      <c r="BK488" s="54">
        <v>123</v>
      </c>
      <c r="BL488" s="54">
        <v>53</v>
      </c>
      <c r="BM488" s="54">
        <v>2</v>
      </c>
      <c r="BN488" s="54">
        <v>1</v>
      </c>
    </row>
    <row r="489" spans="1:66" hidden="1" x14ac:dyDescent="0.3">
      <c r="A489" s="3">
        <v>483</v>
      </c>
      <c r="B489" s="3" t="s">
        <v>3805</v>
      </c>
      <c r="C489" s="3" t="s">
        <v>4252</v>
      </c>
      <c r="D489" s="3" t="s">
        <v>53</v>
      </c>
      <c r="E489" s="3">
        <v>105725209</v>
      </c>
      <c r="F489" s="3" t="s">
        <v>2352</v>
      </c>
      <c r="G489" s="157">
        <v>40264</v>
      </c>
      <c r="H489" s="3">
        <v>3217116703100000</v>
      </c>
      <c r="I489" s="3" t="s">
        <v>2353</v>
      </c>
      <c r="J489" s="3" t="s">
        <v>4692</v>
      </c>
      <c r="K489" s="3">
        <v>1</v>
      </c>
      <c r="L489" s="3">
        <v>1</v>
      </c>
      <c r="M489" s="3"/>
      <c r="N489" s="3" t="s">
        <v>3105</v>
      </c>
      <c r="O489" s="3" t="s">
        <v>2426</v>
      </c>
      <c r="P489" s="3">
        <v>40562</v>
      </c>
      <c r="Q489" s="3" t="s">
        <v>2357</v>
      </c>
      <c r="R489" s="3" t="s">
        <v>2358</v>
      </c>
      <c r="S489" s="3"/>
      <c r="T489" s="3">
        <v>83114085370</v>
      </c>
      <c r="U489" s="3"/>
      <c r="V489" s="3"/>
      <c r="W489" s="3" t="s">
        <v>2359</v>
      </c>
      <c r="X489" s="3"/>
      <c r="Y489" s="3" t="s">
        <v>4066</v>
      </c>
      <c r="Z489" s="3">
        <v>1967</v>
      </c>
      <c r="AA489" s="3" t="s">
        <v>2361</v>
      </c>
      <c r="AB489" s="3" t="s">
        <v>2362</v>
      </c>
      <c r="AC489" s="3" t="s">
        <v>2363</v>
      </c>
      <c r="AD489" s="3">
        <v>3217112011670000</v>
      </c>
      <c r="AE489" s="3" t="s">
        <v>4067</v>
      </c>
      <c r="AF489" s="3">
        <v>1973</v>
      </c>
      <c r="AG489" s="3" t="s">
        <v>2361</v>
      </c>
      <c r="AH489" s="3" t="s">
        <v>2365</v>
      </c>
      <c r="AI489" s="3" t="s">
        <v>2366</v>
      </c>
      <c r="AJ489" s="3">
        <v>3217115406730000</v>
      </c>
      <c r="AK489" s="3"/>
      <c r="AL489" s="3"/>
      <c r="AM489" s="3" t="s">
        <v>2367</v>
      </c>
      <c r="AN489" s="3"/>
      <c r="AO489" s="3"/>
      <c r="AP489" s="3"/>
      <c r="AQ489" s="3" t="s">
        <v>5146</v>
      </c>
      <c r="AR489" s="3"/>
      <c r="AS489" s="3"/>
      <c r="AT489" s="3" t="s">
        <v>2359</v>
      </c>
      <c r="AU489" s="3"/>
      <c r="AV489" s="3">
        <v>0</v>
      </c>
      <c r="AW489" s="3"/>
      <c r="AX489" s="3"/>
      <c r="AY489" s="3"/>
      <c r="AZ489" s="3"/>
      <c r="BA489" s="3"/>
      <c r="BB489" s="3" t="s">
        <v>2369</v>
      </c>
      <c r="BC489" s="3" t="s">
        <v>2370</v>
      </c>
      <c r="BD489" s="3" t="s">
        <v>2371</v>
      </c>
      <c r="BE489" s="3" t="s">
        <v>2691</v>
      </c>
      <c r="BF489" s="3">
        <v>7</v>
      </c>
      <c r="BG489" s="3">
        <v>-6.9743000000000004</v>
      </c>
      <c r="BH489" s="3">
        <v>107.43559999999999</v>
      </c>
      <c r="BI489" s="3"/>
      <c r="BJ489" s="3">
        <v>30</v>
      </c>
      <c r="BK489" s="3">
        <v>130</v>
      </c>
      <c r="BL489" s="3">
        <v>54</v>
      </c>
      <c r="BM489" s="3">
        <v>1</v>
      </c>
      <c r="BN489" s="3">
        <v>1</v>
      </c>
    </row>
    <row r="490" spans="1:66" s="219" customFormat="1" hidden="1" x14ac:dyDescent="0.3">
      <c r="A490" s="54">
        <v>484</v>
      </c>
      <c r="B490" s="54" t="s">
        <v>1735</v>
      </c>
      <c r="C490" s="54" t="s">
        <v>2243</v>
      </c>
      <c r="D490" s="54" t="s">
        <v>53</v>
      </c>
      <c r="E490" s="54">
        <v>96162684</v>
      </c>
      <c r="F490" s="54" t="s">
        <v>2352</v>
      </c>
      <c r="G490" s="108">
        <v>40115</v>
      </c>
      <c r="H490" s="54">
        <v>3217125910090000</v>
      </c>
      <c r="I490" s="54" t="s">
        <v>2353</v>
      </c>
      <c r="J490" s="54" t="s">
        <v>2974</v>
      </c>
      <c r="K490" s="54">
        <v>2</v>
      </c>
      <c r="L490" s="54">
        <v>5</v>
      </c>
      <c r="M490" s="54" t="s">
        <v>2975</v>
      </c>
      <c r="N490" s="54" t="s">
        <v>2399</v>
      </c>
      <c r="O490" s="54" t="s">
        <v>2356</v>
      </c>
      <c r="P490" s="54">
        <v>40564</v>
      </c>
      <c r="Q490" s="54" t="s">
        <v>2357</v>
      </c>
      <c r="R490" s="54" t="s">
        <v>2358</v>
      </c>
      <c r="S490" s="54"/>
      <c r="T490" s="54">
        <v>83875759682</v>
      </c>
      <c r="U490" s="54"/>
      <c r="V490" s="54"/>
      <c r="W490" s="54" t="s">
        <v>2359</v>
      </c>
      <c r="X490" s="54"/>
      <c r="Y490" s="54" t="s">
        <v>2976</v>
      </c>
      <c r="Z490" s="54">
        <v>1982</v>
      </c>
      <c r="AA490" s="54" t="s">
        <v>2402</v>
      </c>
      <c r="AB490" s="54" t="s">
        <v>2493</v>
      </c>
      <c r="AC490" s="54" t="s">
        <v>2375</v>
      </c>
      <c r="AD490" s="54">
        <v>3217120502820020</v>
      </c>
      <c r="AE490" s="54" t="s">
        <v>2977</v>
      </c>
      <c r="AF490" s="54">
        <v>1987</v>
      </c>
      <c r="AG490" s="54" t="s">
        <v>2402</v>
      </c>
      <c r="AH490" s="54" t="s">
        <v>2365</v>
      </c>
      <c r="AI490" s="54" t="s">
        <v>2366</v>
      </c>
      <c r="AJ490" s="54">
        <v>3217124211870000</v>
      </c>
      <c r="AK490" s="54"/>
      <c r="AL490" s="54"/>
      <c r="AM490" s="54" t="s">
        <v>2367</v>
      </c>
      <c r="AN490" s="54"/>
      <c r="AO490" s="54"/>
      <c r="AP490" s="54"/>
      <c r="AQ490" s="54" t="s">
        <v>8178</v>
      </c>
      <c r="AR490" s="54"/>
      <c r="AS490" s="54"/>
      <c r="AT490" s="54" t="s">
        <v>2359</v>
      </c>
      <c r="AU490" s="54"/>
      <c r="AV490" s="54">
        <v>0</v>
      </c>
      <c r="AW490" s="54"/>
      <c r="AX490" s="54"/>
      <c r="AY490" s="54"/>
      <c r="AZ490" s="54"/>
      <c r="BA490" s="54"/>
      <c r="BB490" s="54" t="s">
        <v>2369</v>
      </c>
      <c r="BC490" s="54" t="s">
        <v>2370</v>
      </c>
      <c r="BD490" s="54" t="s">
        <v>2371</v>
      </c>
      <c r="BE490" s="54" t="s">
        <v>2406</v>
      </c>
      <c r="BF490" s="54">
        <v>3</v>
      </c>
      <c r="BG490" s="54">
        <v>-6.9553847620000004</v>
      </c>
      <c r="BH490" s="54">
        <v>107.38850360000001</v>
      </c>
      <c r="BI490" s="54"/>
      <c r="BJ490" s="54">
        <v>49</v>
      </c>
      <c r="BK490" s="54">
        <v>145</v>
      </c>
      <c r="BL490" s="54">
        <v>0</v>
      </c>
      <c r="BM490" s="54">
        <v>0</v>
      </c>
      <c r="BN490" s="54">
        <v>0</v>
      </c>
    </row>
    <row r="491" spans="1:66" s="219" customFormat="1" hidden="1" x14ac:dyDescent="0.3">
      <c r="A491" s="54">
        <v>485</v>
      </c>
      <c r="B491" s="54" t="s">
        <v>1383</v>
      </c>
      <c r="C491" s="54" t="s">
        <v>1569</v>
      </c>
      <c r="D491" s="54" t="s">
        <v>53</v>
      </c>
      <c r="E491" s="54">
        <v>73982694</v>
      </c>
      <c r="F491" s="54" t="s">
        <v>2446</v>
      </c>
      <c r="G491" s="108">
        <v>39392</v>
      </c>
      <c r="H491" s="54">
        <v>3217114611070000</v>
      </c>
      <c r="I491" s="54" t="s">
        <v>2353</v>
      </c>
      <c r="J491" s="54" t="s">
        <v>3165</v>
      </c>
      <c r="K491" s="54">
        <v>1</v>
      </c>
      <c r="L491" s="54">
        <v>9</v>
      </c>
      <c r="M491" s="54"/>
      <c r="N491" s="54" t="s">
        <v>2425</v>
      </c>
      <c r="O491" s="54" t="s">
        <v>2426</v>
      </c>
      <c r="P491" s="54">
        <v>40562</v>
      </c>
      <c r="Q491" s="54" t="s">
        <v>2357</v>
      </c>
      <c r="R491" s="54" t="s">
        <v>2358</v>
      </c>
      <c r="S491" s="54"/>
      <c r="T491" s="54">
        <v>8386162711</v>
      </c>
      <c r="U491" s="54"/>
      <c r="V491" s="54"/>
      <c r="W491" s="54" t="s">
        <v>2369</v>
      </c>
      <c r="X491" s="54" t="s">
        <v>3752</v>
      </c>
      <c r="Y491" s="54" t="s">
        <v>3753</v>
      </c>
      <c r="Z491" s="54">
        <v>1975</v>
      </c>
      <c r="AA491" s="54" t="s">
        <v>2361</v>
      </c>
      <c r="AB491" s="54" t="s">
        <v>2362</v>
      </c>
      <c r="AC491" s="54" t="s">
        <v>2403</v>
      </c>
      <c r="AD491" s="54">
        <v>3217111103750000</v>
      </c>
      <c r="AE491" s="54" t="s">
        <v>3754</v>
      </c>
      <c r="AF491" s="54">
        <v>1977</v>
      </c>
      <c r="AG491" s="54" t="s">
        <v>2361</v>
      </c>
      <c r="AH491" s="54" t="s">
        <v>2365</v>
      </c>
      <c r="AI491" s="54" t="s">
        <v>2366</v>
      </c>
      <c r="AJ491" s="54">
        <v>3217114707770030</v>
      </c>
      <c r="AK491" s="54"/>
      <c r="AL491" s="54"/>
      <c r="AM491" s="54"/>
      <c r="AN491" s="54"/>
      <c r="AO491" s="54"/>
      <c r="AP491" s="54"/>
      <c r="AQ491" s="54" t="s">
        <v>5147</v>
      </c>
      <c r="AR491" s="54"/>
      <c r="AS491" s="54"/>
      <c r="AT491" s="54" t="s">
        <v>2369</v>
      </c>
      <c r="AU491" s="54" t="s">
        <v>3755</v>
      </c>
      <c r="AV491" s="54">
        <v>0</v>
      </c>
      <c r="AW491" s="54" t="s">
        <v>3756</v>
      </c>
      <c r="AX491" s="54" t="s">
        <v>3757</v>
      </c>
      <c r="AY491" s="54"/>
      <c r="AZ491" s="54"/>
      <c r="BA491" s="54"/>
      <c r="BB491" s="54" t="s">
        <v>2369</v>
      </c>
      <c r="BC491" s="54"/>
      <c r="BD491" s="54" t="s">
        <v>2371</v>
      </c>
      <c r="BE491" s="54"/>
      <c r="BF491" s="54">
        <v>3</v>
      </c>
      <c r="BG491" s="54">
        <v>-6.9743000000000004</v>
      </c>
      <c r="BH491" s="54">
        <v>107.43559999999999</v>
      </c>
      <c r="BI491" s="54">
        <v>3217110307070020</v>
      </c>
      <c r="BJ491" s="54">
        <v>35</v>
      </c>
      <c r="BK491" s="54">
        <v>131</v>
      </c>
      <c r="BL491" s="54">
        <v>0</v>
      </c>
      <c r="BM491" s="54">
        <v>3</v>
      </c>
      <c r="BN491" s="54">
        <v>1</v>
      </c>
    </row>
    <row r="492" spans="1:66" s="219" customFormat="1" hidden="1" x14ac:dyDescent="0.3">
      <c r="A492" s="54">
        <v>486</v>
      </c>
      <c r="B492" s="54" t="s">
        <v>1885</v>
      </c>
      <c r="C492" s="54" t="s">
        <v>1598</v>
      </c>
      <c r="D492" s="54" t="s">
        <v>53</v>
      </c>
      <c r="E492" s="54">
        <v>3088768845</v>
      </c>
      <c r="F492" s="54" t="s">
        <v>2446</v>
      </c>
      <c r="G492" s="108">
        <v>39802</v>
      </c>
      <c r="H492" s="54">
        <v>3217116012080000</v>
      </c>
      <c r="I492" s="54" t="s">
        <v>2353</v>
      </c>
      <c r="J492" s="54" t="s">
        <v>2593</v>
      </c>
      <c r="K492" s="54">
        <v>1</v>
      </c>
      <c r="L492" s="54">
        <v>3</v>
      </c>
      <c r="M492" s="54"/>
      <c r="N492" s="54" t="s">
        <v>2425</v>
      </c>
      <c r="O492" s="54" t="s">
        <v>2426</v>
      </c>
      <c r="P492" s="54">
        <v>40562</v>
      </c>
      <c r="Q492" s="54" t="s">
        <v>2357</v>
      </c>
      <c r="R492" s="54" t="s">
        <v>2358</v>
      </c>
      <c r="S492" s="54"/>
      <c r="T492" s="54">
        <v>87821303395</v>
      </c>
      <c r="U492" s="54"/>
      <c r="V492" s="54"/>
      <c r="W492" s="54" t="s">
        <v>2359</v>
      </c>
      <c r="X492" s="54"/>
      <c r="Y492" s="54" t="s">
        <v>3646</v>
      </c>
      <c r="Z492" s="54">
        <v>1984</v>
      </c>
      <c r="AA492" s="54" t="s">
        <v>2402</v>
      </c>
      <c r="AB492" s="54" t="s">
        <v>2474</v>
      </c>
      <c r="AC492" s="54" t="s">
        <v>2375</v>
      </c>
      <c r="AD492" s="54">
        <v>3205372511840000</v>
      </c>
      <c r="AE492" s="54" t="s">
        <v>3647</v>
      </c>
      <c r="AF492" s="54">
        <v>1988</v>
      </c>
      <c r="AG492" s="54"/>
      <c r="AH492" s="54" t="s">
        <v>2365</v>
      </c>
      <c r="AI492" s="54" t="s">
        <v>2366</v>
      </c>
      <c r="AJ492" s="54">
        <v>3217116311880000</v>
      </c>
      <c r="AK492" s="54"/>
      <c r="AL492" s="54"/>
      <c r="AM492" s="54"/>
      <c r="AN492" s="54"/>
      <c r="AO492" s="54"/>
      <c r="AP492" s="54"/>
      <c r="AQ492" s="54" t="s">
        <v>5147</v>
      </c>
      <c r="AR492" s="54"/>
      <c r="AS492" s="54"/>
      <c r="AT492" s="54" t="s">
        <v>2359</v>
      </c>
      <c r="AU492" s="54"/>
      <c r="AV492" s="54">
        <v>1</v>
      </c>
      <c r="AW492" s="54"/>
      <c r="AX492" s="54"/>
      <c r="AY492" s="54"/>
      <c r="AZ492" s="54"/>
      <c r="BA492" s="54"/>
      <c r="BB492" s="54" t="s">
        <v>2369</v>
      </c>
      <c r="BC492" s="54" t="s">
        <v>2370</v>
      </c>
      <c r="BD492" s="54" t="s">
        <v>2371</v>
      </c>
      <c r="BE492" s="54" t="s">
        <v>2905</v>
      </c>
      <c r="BF492" s="54">
        <v>1</v>
      </c>
      <c r="BG492" s="54">
        <v>-6.9625000000000004</v>
      </c>
      <c r="BH492" s="54">
        <v>107.4346</v>
      </c>
      <c r="BI492" s="54">
        <v>3217112608150000</v>
      </c>
      <c r="BJ492" s="54">
        <v>41</v>
      </c>
      <c r="BK492" s="54">
        <v>138</v>
      </c>
      <c r="BL492" s="54">
        <v>58</v>
      </c>
      <c r="BM492" s="54">
        <v>1</v>
      </c>
      <c r="BN492" s="54">
        <v>1</v>
      </c>
    </row>
    <row r="493" spans="1:66" hidden="1" x14ac:dyDescent="0.3">
      <c r="A493" s="3">
        <v>487</v>
      </c>
      <c r="B493" s="3" t="s">
        <v>3893</v>
      </c>
      <c r="C493" s="3" t="s">
        <v>4352</v>
      </c>
      <c r="D493" s="3" t="s">
        <v>52</v>
      </c>
      <c r="E493" s="3">
        <v>102263325</v>
      </c>
      <c r="F493" s="3" t="s">
        <v>2377</v>
      </c>
      <c r="G493" s="157">
        <v>40426</v>
      </c>
      <c r="H493" s="3">
        <v>3217120509100000</v>
      </c>
      <c r="I493" s="3" t="s">
        <v>2353</v>
      </c>
      <c r="J493" s="3" t="s">
        <v>5006</v>
      </c>
      <c r="K493" s="3">
        <v>1</v>
      </c>
      <c r="L493" s="3">
        <v>7</v>
      </c>
      <c r="M493" s="3" t="s">
        <v>5006</v>
      </c>
      <c r="N493" s="3" t="s">
        <v>4527</v>
      </c>
      <c r="O493" s="3" t="s">
        <v>2356</v>
      </c>
      <c r="P493" s="3">
        <v>40764</v>
      </c>
      <c r="Q493" s="3" t="s">
        <v>2357</v>
      </c>
      <c r="R493" s="3" t="s">
        <v>2374</v>
      </c>
      <c r="S493" s="3"/>
      <c r="T493" s="3">
        <v>83174559179</v>
      </c>
      <c r="U493" s="3"/>
      <c r="V493" s="3"/>
      <c r="W493" s="3" t="s">
        <v>2359</v>
      </c>
      <c r="X493" s="3"/>
      <c r="Y493" s="3" t="s">
        <v>5007</v>
      </c>
      <c r="Z493" s="3">
        <v>1981</v>
      </c>
      <c r="AA493" s="3" t="s">
        <v>2390</v>
      </c>
      <c r="AB493" s="3" t="s">
        <v>2493</v>
      </c>
      <c r="AC493" s="3" t="s">
        <v>2363</v>
      </c>
      <c r="AD493" s="3">
        <v>3217121807810010</v>
      </c>
      <c r="AE493" s="3" t="s">
        <v>3983</v>
      </c>
      <c r="AF493" s="3">
        <v>1989</v>
      </c>
      <c r="AG493" s="3" t="s">
        <v>2390</v>
      </c>
      <c r="AH493" s="3" t="s">
        <v>2365</v>
      </c>
      <c r="AI493" s="3" t="s">
        <v>2366</v>
      </c>
      <c r="AJ493" s="3">
        <v>3217125906890000</v>
      </c>
      <c r="AK493" s="3"/>
      <c r="AL493" s="3"/>
      <c r="AM493" s="3" t="s">
        <v>2367</v>
      </c>
      <c r="AN493" s="3"/>
      <c r="AO493" s="3"/>
      <c r="AP493" s="3"/>
      <c r="AQ493" s="3" t="s">
        <v>5152</v>
      </c>
      <c r="AR493" s="3"/>
      <c r="AS493" s="3" t="s">
        <v>5008</v>
      </c>
      <c r="AT493" s="3" t="s">
        <v>2359</v>
      </c>
      <c r="AU493" s="3"/>
      <c r="AV493" s="3">
        <v>0</v>
      </c>
      <c r="AW493" s="3"/>
      <c r="AX493" s="3" t="s">
        <v>3982</v>
      </c>
      <c r="AY493" s="3"/>
      <c r="AZ493" s="3"/>
      <c r="BA493" s="3"/>
      <c r="BB493" s="3" t="s">
        <v>2369</v>
      </c>
      <c r="BC493" s="3" t="s">
        <v>2370</v>
      </c>
      <c r="BD493" s="3" t="s">
        <v>2371</v>
      </c>
      <c r="BE493" s="3" t="s">
        <v>2937</v>
      </c>
      <c r="BF493" s="3">
        <v>1</v>
      </c>
      <c r="BG493" s="3">
        <v>-6.9486999999999997</v>
      </c>
      <c r="BH493" s="3">
        <v>107.3831</v>
      </c>
      <c r="BI493" s="3">
        <v>3217120203100020</v>
      </c>
      <c r="BJ493" s="3">
        <v>45</v>
      </c>
      <c r="BK493" s="3">
        <v>141</v>
      </c>
      <c r="BL493" s="3">
        <v>49</v>
      </c>
      <c r="BM493" s="3">
        <v>1</v>
      </c>
      <c r="BN493" s="3">
        <v>1</v>
      </c>
    </row>
    <row r="494" spans="1:66" hidden="1" x14ac:dyDescent="0.3">
      <c r="A494" s="3">
        <v>488</v>
      </c>
      <c r="B494" s="3" t="s">
        <v>3863</v>
      </c>
      <c r="C494" s="3" t="s">
        <v>4316</v>
      </c>
      <c r="D494" s="3" t="s">
        <v>52</v>
      </c>
      <c r="E494" s="3">
        <v>101713502</v>
      </c>
      <c r="F494" s="3" t="s">
        <v>2377</v>
      </c>
      <c r="G494" s="157">
        <v>40431</v>
      </c>
      <c r="H494" s="3">
        <v>3217121009100000</v>
      </c>
      <c r="I494" s="3" t="s">
        <v>2353</v>
      </c>
      <c r="J494" s="3" t="s">
        <v>2394</v>
      </c>
      <c r="K494" s="3">
        <v>2</v>
      </c>
      <c r="L494" s="3">
        <v>9</v>
      </c>
      <c r="M494" s="3"/>
      <c r="N494" s="3" t="s">
        <v>4475</v>
      </c>
      <c r="O494" s="3" t="s">
        <v>2356</v>
      </c>
      <c r="P494" s="3">
        <v>40763</v>
      </c>
      <c r="Q494" s="3" t="s">
        <v>2357</v>
      </c>
      <c r="R494" s="3" t="s">
        <v>2358</v>
      </c>
      <c r="S494" s="3"/>
      <c r="T494" s="3"/>
      <c r="U494" s="3"/>
      <c r="V494" s="3"/>
      <c r="W494" s="3" t="s">
        <v>2359</v>
      </c>
      <c r="X494" s="3"/>
      <c r="Y494" s="3" t="s">
        <v>5009</v>
      </c>
      <c r="Z494" s="3">
        <v>1980</v>
      </c>
      <c r="AA494" s="3" t="s">
        <v>2402</v>
      </c>
      <c r="AB494" s="3" t="s">
        <v>2362</v>
      </c>
      <c r="AC494" s="3" t="s">
        <v>2403</v>
      </c>
      <c r="AD494" s="3">
        <v>3217120605800010</v>
      </c>
      <c r="AE494" s="3" t="s">
        <v>5010</v>
      </c>
      <c r="AF494" s="3">
        <v>1984</v>
      </c>
      <c r="AG494" s="3" t="s">
        <v>2402</v>
      </c>
      <c r="AH494" s="3" t="s">
        <v>2365</v>
      </c>
      <c r="AI494" s="3" t="s">
        <v>2366</v>
      </c>
      <c r="AJ494" s="3">
        <v>3217124611840000</v>
      </c>
      <c r="AK494" s="3"/>
      <c r="AL494" s="3"/>
      <c r="AM494" s="3"/>
      <c r="AN494" s="3"/>
      <c r="AO494" s="3"/>
      <c r="AP494" s="3"/>
      <c r="AQ494" s="3" t="s">
        <v>5150</v>
      </c>
      <c r="AR494" s="3"/>
      <c r="AS494" s="3"/>
      <c r="AT494" s="3" t="s">
        <v>2359</v>
      </c>
      <c r="AU494" s="3"/>
      <c r="AV494" s="3">
        <v>1</v>
      </c>
      <c r="AW494" s="3"/>
      <c r="AX494" s="3" t="s">
        <v>5011</v>
      </c>
      <c r="AY494" s="3"/>
      <c r="AZ494" s="3"/>
      <c r="BA494" s="3"/>
      <c r="BB494" s="3" t="s">
        <v>2369</v>
      </c>
      <c r="BC494" s="3" t="s">
        <v>2370</v>
      </c>
      <c r="BD494" s="3" t="s">
        <v>2371</v>
      </c>
      <c r="BE494" s="3" t="s">
        <v>4497</v>
      </c>
      <c r="BF494" s="3">
        <v>2</v>
      </c>
      <c r="BG494" s="3">
        <v>-6.9625000000000004</v>
      </c>
      <c r="BH494" s="3">
        <v>107.4346</v>
      </c>
      <c r="BI494" s="3">
        <v>3217121004080080</v>
      </c>
      <c r="BJ494" s="3">
        <v>39</v>
      </c>
      <c r="BK494" s="3">
        <v>139</v>
      </c>
      <c r="BL494" s="3">
        <v>48</v>
      </c>
      <c r="BM494" s="3">
        <v>4</v>
      </c>
      <c r="BN494" s="3">
        <v>2</v>
      </c>
    </row>
    <row r="495" spans="1:66" hidden="1" x14ac:dyDescent="0.3">
      <c r="A495" s="3">
        <v>489</v>
      </c>
      <c r="B495" s="3" t="s">
        <v>3925</v>
      </c>
      <c r="C495" s="3" t="s">
        <v>4383</v>
      </c>
      <c r="D495" s="3" t="s">
        <v>52</v>
      </c>
      <c r="E495" s="3">
        <v>3100859531</v>
      </c>
      <c r="F495" s="3" t="s">
        <v>2377</v>
      </c>
      <c r="G495" s="157">
        <v>40519</v>
      </c>
      <c r="H495" s="3">
        <v>3217120712100000</v>
      </c>
      <c r="I495" s="3" t="s">
        <v>2353</v>
      </c>
      <c r="J495" s="3" t="s">
        <v>2544</v>
      </c>
      <c r="K495" s="3">
        <v>1</v>
      </c>
      <c r="L495" s="3">
        <v>8</v>
      </c>
      <c r="M495" s="3"/>
      <c r="N495" s="3" t="s">
        <v>4475</v>
      </c>
      <c r="O495" s="3" t="s">
        <v>2356</v>
      </c>
      <c r="P495" s="3">
        <v>40763</v>
      </c>
      <c r="Q495" s="3" t="s">
        <v>2357</v>
      </c>
      <c r="R495" s="3" t="s">
        <v>2358</v>
      </c>
      <c r="S495" s="3"/>
      <c r="T495" s="3"/>
      <c r="U495" s="3"/>
      <c r="V495" s="3"/>
      <c r="W495" s="3" t="s">
        <v>2359</v>
      </c>
      <c r="X495" s="3"/>
      <c r="Y495" s="3" t="s">
        <v>5012</v>
      </c>
      <c r="Z495" s="3">
        <v>1961</v>
      </c>
      <c r="AA495" s="3" t="s">
        <v>2402</v>
      </c>
      <c r="AB495" s="3" t="s">
        <v>2362</v>
      </c>
      <c r="AC495" s="3" t="s">
        <v>2403</v>
      </c>
      <c r="AD495" s="3">
        <v>3217120112610000</v>
      </c>
      <c r="AE495" s="3" t="s">
        <v>2982</v>
      </c>
      <c r="AF495" s="3">
        <v>1975</v>
      </c>
      <c r="AG495" s="3" t="s">
        <v>2361</v>
      </c>
      <c r="AH495" s="3" t="s">
        <v>2365</v>
      </c>
      <c r="AI495" s="3" t="s">
        <v>2366</v>
      </c>
      <c r="AJ495" s="3">
        <v>3217124609750000</v>
      </c>
      <c r="AK495" s="3"/>
      <c r="AL495" s="3"/>
      <c r="AM495" s="3"/>
      <c r="AN495" s="3"/>
      <c r="AO495" s="3"/>
      <c r="AP495" s="3"/>
      <c r="AQ495" s="3" t="s">
        <v>5151</v>
      </c>
      <c r="AR495" s="3"/>
      <c r="AS495" s="3"/>
      <c r="AT495" s="3" t="s">
        <v>2359</v>
      </c>
      <c r="AU495" s="3"/>
      <c r="AV495" s="3">
        <v>1</v>
      </c>
      <c r="AW495" s="3"/>
      <c r="AX495" s="3" t="s">
        <v>5013</v>
      </c>
      <c r="AY495" s="3"/>
      <c r="AZ495" s="3"/>
      <c r="BA495" s="3"/>
      <c r="BB495" s="3" t="s">
        <v>2369</v>
      </c>
      <c r="BC495" s="3" t="s">
        <v>2370</v>
      </c>
      <c r="BD495" s="3" t="s">
        <v>2371</v>
      </c>
      <c r="BE495" s="3" t="s">
        <v>4497</v>
      </c>
      <c r="BF495" s="3">
        <v>3</v>
      </c>
      <c r="BG495" s="3">
        <v>-6.9625000000000004</v>
      </c>
      <c r="BH495" s="3">
        <v>107.4346</v>
      </c>
      <c r="BI495" s="3">
        <v>3217120908120030</v>
      </c>
      <c r="BJ495" s="3">
        <v>48</v>
      </c>
      <c r="BK495" s="3">
        <v>140</v>
      </c>
      <c r="BL495" s="3">
        <v>54</v>
      </c>
      <c r="BM495" s="3">
        <v>2</v>
      </c>
      <c r="BN495" s="3">
        <v>2</v>
      </c>
    </row>
    <row r="496" spans="1:66" s="219" customFormat="1" hidden="1" x14ac:dyDescent="0.3">
      <c r="A496" s="54">
        <v>490</v>
      </c>
      <c r="B496" s="54" t="s">
        <v>1656</v>
      </c>
      <c r="C496" s="54" t="s">
        <v>2118</v>
      </c>
      <c r="D496" s="54" t="s">
        <v>52</v>
      </c>
      <c r="E496" s="54">
        <v>93135958</v>
      </c>
      <c r="F496" s="54" t="s">
        <v>2373</v>
      </c>
      <c r="G496" s="108">
        <v>40114</v>
      </c>
      <c r="H496" s="54">
        <v>3217112809090000</v>
      </c>
      <c r="I496" s="54" t="s">
        <v>2353</v>
      </c>
      <c r="J496" s="54" t="s">
        <v>2504</v>
      </c>
      <c r="K496" s="54">
        <v>2</v>
      </c>
      <c r="L496" s="54">
        <v>13</v>
      </c>
      <c r="M496" s="54"/>
      <c r="N496" s="54" t="s">
        <v>2425</v>
      </c>
      <c r="O496" s="54" t="s">
        <v>2426</v>
      </c>
      <c r="P496" s="54">
        <v>40561</v>
      </c>
      <c r="Q496" s="54" t="s">
        <v>2357</v>
      </c>
      <c r="R496" s="54" t="s">
        <v>2358</v>
      </c>
      <c r="S496" s="54"/>
      <c r="T496" s="54"/>
      <c r="U496" s="54"/>
      <c r="V496" s="54"/>
      <c r="W496" s="54" t="s">
        <v>2369</v>
      </c>
      <c r="X496" s="54"/>
      <c r="Y496" s="54" t="s">
        <v>5014</v>
      </c>
      <c r="Z496" s="54">
        <v>1979</v>
      </c>
      <c r="AA496" s="54" t="s">
        <v>2402</v>
      </c>
      <c r="AB496" s="54" t="s">
        <v>2362</v>
      </c>
      <c r="AC496" s="54" t="s">
        <v>2363</v>
      </c>
      <c r="AD496" s="54">
        <v>3217110603790010</v>
      </c>
      <c r="AE496" s="54" t="s">
        <v>2505</v>
      </c>
      <c r="AF496" s="54">
        <v>1980</v>
      </c>
      <c r="AG496" s="54" t="s">
        <v>2361</v>
      </c>
      <c r="AH496" s="54" t="s">
        <v>2365</v>
      </c>
      <c r="AI496" s="54" t="s">
        <v>2366</v>
      </c>
      <c r="AJ496" s="54">
        <v>3217115303800000</v>
      </c>
      <c r="AK496" s="54"/>
      <c r="AL496" s="54"/>
      <c r="AM496" s="54"/>
      <c r="AN496" s="54"/>
      <c r="AO496" s="54"/>
      <c r="AP496" s="54"/>
      <c r="AQ496" s="54" t="s">
        <v>8178</v>
      </c>
      <c r="AR496" s="54"/>
      <c r="AS496" s="54"/>
      <c r="AT496" s="54" t="s">
        <v>2359</v>
      </c>
      <c r="AU496" s="54"/>
      <c r="AV496" s="54">
        <v>1</v>
      </c>
      <c r="AW496" s="54"/>
      <c r="AX496" s="54" t="s">
        <v>5015</v>
      </c>
      <c r="AY496" s="54"/>
      <c r="AZ496" s="54"/>
      <c r="BA496" s="54"/>
      <c r="BB496" s="54" t="s">
        <v>2369</v>
      </c>
      <c r="BC496" s="54" t="s">
        <v>2370</v>
      </c>
      <c r="BD496" s="54" t="s">
        <v>2371</v>
      </c>
      <c r="BE496" s="54" t="s">
        <v>2905</v>
      </c>
      <c r="BF496" s="54">
        <v>2</v>
      </c>
      <c r="BG496" s="54">
        <v>-6.9625000000000004</v>
      </c>
      <c r="BH496" s="54">
        <v>107.4346</v>
      </c>
      <c r="BI496" s="54">
        <v>3217110204090000</v>
      </c>
      <c r="BJ496" s="54">
        <v>51</v>
      </c>
      <c r="BK496" s="54">
        <v>141</v>
      </c>
      <c r="BL496" s="54">
        <v>57</v>
      </c>
      <c r="BM496" s="54">
        <v>1</v>
      </c>
      <c r="BN496" s="54">
        <v>1</v>
      </c>
    </row>
    <row r="497" spans="1:66" s="219" customFormat="1" hidden="1" x14ac:dyDescent="0.3">
      <c r="A497" s="54">
        <v>491</v>
      </c>
      <c r="B497" s="54" t="s">
        <v>2652</v>
      </c>
      <c r="C497" s="54" t="s">
        <v>2158</v>
      </c>
      <c r="D497" s="54" t="s">
        <v>53</v>
      </c>
      <c r="E497" s="54">
        <v>107185538</v>
      </c>
      <c r="F497" s="54" t="s">
        <v>2373</v>
      </c>
      <c r="G497" s="108">
        <v>40422</v>
      </c>
      <c r="H497" s="54">
        <v>3217114109100000</v>
      </c>
      <c r="I497" s="54" t="s">
        <v>2353</v>
      </c>
      <c r="J497" s="54" t="s">
        <v>2565</v>
      </c>
      <c r="K497" s="54">
        <v>2</v>
      </c>
      <c r="L497" s="54">
        <v>2</v>
      </c>
      <c r="M497" s="54"/>
      <c r="N497" s="54" t="s">
        <v>2566</v>
      </c>
      <c r="O497" s="54" t="s">
        <v>2426</v>
      </c>
      <c r="P497" s="54">
        <v>40562</v>
      </c>
      <c r="Q497" s="54" t="s">
        <v>2357</v>
      </c>
      <c r="R497" s="54" t="s">
        <v>2358</v>
      </c>
      <c r="S497" s="54"/>
      <c r="T497" s="54">
        <v>83820175739</v>
      </c>
      <c r="U497" s="54"/>
      <c r="V497" s="54"/>
      <c r="W497" s="54" t="s">
        <v>2359</v>
      </c>
      <c r="X497" s="54"/>
      <c r="Y497" s="54" t="s">
        <v>2653</v>
      </c>
      <c r="Z497" s="54">
        <v>1976</v>
      </c>
      <c r="AA497" s="54" t="s">
        <v>2402</v>
      </c>
      <c r="AB497" s="54" t="s">
        <v>2362</v>
      </c>
      <c r="AC497" s="54" t="s">
        <v>2363</v>
      </c>
      <c r="AD497" s="54">
        <v>3217111112760000</v>
      </c>
      <c r="AE497" s="54" t="s">
        <v>2654</v>
      </c>
      <c r="AF497" s="54">
        <v>1989</v>
      </c>
      <c r="AG497" s="54" t="s">
        <v>2361</v>
      </c>
      <c r="AH497" s="54" t="s">
        <v>2365</v>
      </c>
      <c r="AI497" s="54" t="s">
        <v>2366</v>
      </c>
      <c r="AJ497" s="54">
        <v>3217117107890000</v>
      </c>
      <c r="AK497" s="54"/>
      <c r="AL497" s="54"/>
      <c r="AM497" s="54" t="s">
        <v>2367</v>
      </c>
      <c r="AN497" s="54"/>
      <c r="AO497" s="54"/>
      <c r="AP497" s="54"/>
      <c r="AQ497" s="54" t="s">
        <v>8181</v>
      </c>
      <c r="AR497" s="54"/>
      <c r="AS497" s="54"/>
      <c r="AT497" s="54" t="s">
        <v>2369</v>
      </c>
      <c r="AU497" s="54"/>
      <c r="AV497" s="54">
        <v>0</v>
      </c>
      <c r="AW497" s="54"/>
      <c r="AX497" s="54" t="s">
        <v>2655</v>
      </c>
      <c r="AY497" s="54"/>
      <c r="AZ497" s="54"/>
      <c r="BA497" s="54"/>
      <c r="BB497" s="54" t="s">
        <v>2369</v>
      </c>
      <c r="BC497" s="54"/>
      <c r="BD497" s="54" t="s">
        <v>2371</v>
      </c>
      <c r="BE497" s="54" t="s">
        <v>4593</v>
      </c>
      <c r="BF497" s="54">
        <v>1</v>
      </c>
      <c r="BG497" s="54">
        <v>-6.9668999999999999</v>
      </c>
      <c r="BH497" s="54">
        <v>107.4242</v>
      </c>
      <c r="BI497" s="54">
        <v>3217111809180000</v>
      </c>
      <c r="BJ497" s="54">
        <v>40</v>
      </c>
      <c r="BK497" s="54">
        <v>138</v>
      </c>
      <c r="BL497" s="54">
        <v>0</v>
      </c>
      <c r="BM497" s="54">
        <v>0</v>
      </c>
      <c r="BN497" s="54">
        <v>0</v>
      </c>
    </row>
    <row r="498" spans="1:66" s="219" customFormat="1" hidden="1" x14ac:dyDescent="0.3">
      <c r="A498" s="54">
        <v>492</v>
      </c>
      <c r="B498" s="54" t="s">
        <v>2506</v>
      </c>
      <c r="C498" s="54" t="s">
        <v>2119</v>
      </c>
      <c r="D498" s="54" t="s">
        <v>53</v>
      </c>
      <c r="E498" s="54">
        <v>106055274</v>
      </c>
      <c r="F498" s="54" t="s">
        <v>2373</v>
      </c>
      <c r="G498" s="108">
        <v>40269</v>
      </c>
      <c r="H498" s="54">
        <v>3217124104100000</v>
      </c>
      <c r="I498" s="54" t="s">
        <v>2353</v>
      </c>
      <c r="J498" s="54" t="s">
        <v>2507</v>
      </c>
      <c r="K498" s="54">
        <v>1</v>
      </c>
      <c r="L498" s="54">
        <v>3</v>
      </c>
      <c r="M498" s="54"/>
      <c r="N498" s="54" t="s">
        <v>2438</v>
      </c>
      <c r="O498" s="54" t="s">
        <v>2356</v>
      </c>
      <c r="P498" s="54"/>
      <c r="Q498" s="54" t="s">
        <v>2357</v>
      </c>
      <c r="R498" s="54" t="s">
        <v>2374</v>
      </c>
      <c r="S498" s="54"/>
      <c r="T498" s="54"/>
      <c r="U498" s="54"/>
      <c r="V498" s="54"/>
      <c r="W498" s="54" t="s">
        <v>2359</v>
      </c>
      <c r="X498" s="54"/>
      <c r="Y498" s="54"/>
      <c r="Z498" s="54">
        <v>0</v>
      </c>
      <c r="AA498" s="54"/>
      <c r="AB498" s="54" t="s">
        <v>2362</v>
      </c>
      <c r="AC498" s="54" t="s">
        <v>2363</v>
      </c>
      <c r="AD498" s="54"/>
      <c r="AE498" s="54" t="s">
        <v>2508</v>
      </c>
      <c r="AF498" s="54">
        <v>0</v>
      </c>
      <c r="AG498" s="54"/>
      <c r="AH498" s="54" t="s">
        <v>2365</v>
      </c>
      <c r="AI498" s="54" t="s">
        <v>2366</v>
      </c>
      <c r="AJ498" s="54"/>
      <c r="AK498" s="54"/>
      <c r="AL498" s="54"/>
      <c r="AM498" s="54"/>
      <c r="AN498" s="54"/>
      <c r="AO498" s="54"/>
      <c r="AP498" s="54"/>
      <c r="AQ498" s="54" t="s">
        <v>8177</v>
      </c>
      <c r="AR498" s="54"/>
      <c r="AS498" s="54"/>
      <c r="AT498" s="54" t="s">
        <v>2359</v>
      </c>
      <c r="AU498" s="54"/>
      <c r="AV498" s="54">
        <v>0</v>
      </c>
      <c r="AW498" s="54"/>
      <c r="AX498" s="54"/>
      <c r="AY498" s="54"/>
      <c r="AZ498" s="54"/>
      <c r="BA498" s="54"/>
      <c r="BB498" s="54" t="s">
        <v>2359</v>
      </c>
      <c r="BC498" s="54"/>
      <c r="BD498" s="54" t="s">
        <v>2371</v>
      </c>
      <c r="BE498" s="54" t="s">
        <v>2376</v>
      </c>
      <c r="BF498" s="54">
        <v>1</v>
      </c>
      <c r="BG498" s="54">
        <v>-6.9625000000000004</v>
      </c>
      <c r="BH498" s="54">
        <v>107.4346</v>
      </c>
      <c r="BI498" s="54"/>
      <c r="BJ498" s="54">
        <v>43</v>
      </c>
      <c r="BK498" s="54">
        <v>138</v>
      </c>
      <c r="BL498" s="54">
        <v>56</v>
      </c>
      <c r="BM498" s="54">
        <v>1</v>
      </c>
      <c r="BN498" s="54">
        <v>3</v>
      </c>
    </row>
    <row r="499" spans="1:66" s="219" customFormat="1" hidden="1" x14ac:dyDescent="0.3">
      <c r="A499" s="54">
        <v>493</v>
      </c>
      <c r="B499" s="54" t="s">
        <v>1675</v>
      </c>
      <c r="C499" s="54" t="s">
        <v>2159</v>
      </c>
      <c r="D499" s="54" t="s">
        <v>53</v>
      </c>
      <c r="E499" s="54">
        <v>103659707</v>
      </c>
      <c r="F499" s="54" t="s">
        <v>2446</v>
      </c>
      <c r="G499" s="108">
        <v>40295</v>
      </c>
      <c r="H499" s="54">
        <v>3217116704100000</v>
      </c>
      <c r="I499" s="54" t="s">
        <v>2353</v>
      </c>
      <c r="J499" s="54" t="s">
        <v>2656</v>
      </c>
      <c r="K499" s="54">
        <v>1</v>
      </c>
      <c r="L499" s="54">
        <v>6</v>
      </c>
      <c r="M499" s="54"/>
      <c r="N499" s="54" t="s">
        <v>2425</v>
      </c>
      <c r="O499" s="54" t="s">
        <v>2426</v>
      </c>
      <c r="P499" s="54">
        <v>40562</v>
      </c>
      <c r="Q499" s="54" t="s">
        <v>2357</v>
      </c>
      <c r="R499" s="54" t="s">
        <v>2358</v>
      </c>
      <c r="S499" s="54"/>
      <c r="T499" s="54"/>
      <c r="U499" s="54"/>
      <c r="V499" s="54"/>
      <c r="W499" s="54" t="s">
        <v>2359</v>
      </c>
      <c r="X499" s="54"/>
      <c r="Y499" s="54"/>
      <c r="Z499" s="54">
        <v>0</v>
      </c>
      <c r="AA499" s="54"/>
      <c r="AB499" s="54" t="s">
        <v>2362</v>
      </c>
      <c r="AC499" s="54" t="s">
        <v>2375</v>
      </c>
      <c r="AD499" s="54"/>
      <c r="AE499" s="54" t="s">
        <v>2657</v>
      </c>
      <c r="AF499" s="54">
        <v>0</v>
      </c>
      <c r="AG499" s="54"/>
      <c r="AH499" s="54" t="s">
        <v>2365</v>
      </c>
      <c r="AI499" s="54" t="s">
        <v>2366</v>
      </c>
      <c r="AJ499" s="54"/>
      <c r="AK499" s="54"/>
      <c r="AL499" s="54"/>
      <c r="AM499" s="54"/>
      <c r="AN499" s="54"/>
      <c r="AO499" s="54"/>
      <c r="AP499" s="54"/>
      <c r="AQ499" s="54" t="s">
        <v>8181</v>
      </c>
      <c r="AR499" s="54"/>
      <c r="AS499" s="54"/>
      <c r="AT499" s="54" t="s">
        <v>2359</v>
      </c>
      <c r="AU499" s="54"/>
      <c r="AV499" s="54">
        <v>1</v>
      </c>
      <c r="AW499" s="54"/>
      <c r="AX499" s="54"/>
      <c r="AY499" s="54"/>
      <c r="AZ499" s="54"/>
      <c r="BA499" s="54"/>
      <c r="BB499" s="54" t="s">
        <v>2369</v>
      </c>
      <c r="BC499" s="54" t="s">
        <v>2370</v>
      </c>
      <c r="BD499" s="54" t="s">
        <v>2371</v>
      </c>
      <c r="BE499" s="54" t="s">
        <v>2376</v>
      </c>
      <c r="BF499" s="54">
        <v>1</v>
      </c>
      <c r="BG499" s="54">
        <v>-6.9625000000000004</v>
      </c>
      <c r="BH499" s="54">
        <v>107.4346</v>
      </c>
      <c r="BI499" s="54"/>
      <c r="BJ499" s="54">
        <v>39</v>
      </c>
      <c r="BK499" s="54">
        <v>135</v>
      </c>
      <c r="BL499" s="54">
        <v>54</v>
      </c>
      <c r="BM499" s="54">
        <v>1</v>
      </c>
      <c r="BN499" s="54">
        <v>1</v>
      </c>
    </row>
    <row r="500" spans="1:66" hidden="1" x14ac:dyDescent="0.3">
      <c r="A500" s="3">
        <v>494</v>
      </c>
      <c r="B500" s="3" t="s">
        <v>5016</v>
      </c>
      <c r="C500" s="3" t="s">
        <v>4353</v>
      </c>
      <c r="D500" s="3" t="s">
        <v>53</v>
      </c>
      <c r="E500" s="3">
        <v>117245768</v>
      </c>
      <c r="F500" s="3" t="s">
        <v>2446</v>
      </c>
      <c r="G500" s="157">
        <v>40784</v>
      </c>
      <c r="H500" s="3">
        <v>3217126911110000</v>
      </c>
      <c r="I500" s="3" t="s">
        <v>2353</v>
      </c>
      <c r="J500" s="3" t="s">
        <v>2699</v>
      </c>
      <c r="K500" s="3">
        <v>2</v>
      </c>
      <c r="L500" s="3">
        <v>10</v>
      </c>
      <c r="M500" s="3"/>
      <c r="N500" s="3" t="s">
        <v>2395</v>
      </c>
      <c r="O500" s="3" t="s">
        <v>2356</v>
      </c>
      <c r="P500" s="3">
        <v>40764</v>
      </c>
      <c r="Q500" s="3" t="s">
        <v>2357</v>
      </c>
      <c r="R500" s="3" t="s">
        <v>2358</v>
      </c>
      <c r="S500" s="3"/>
      <c r="T500" s="3">
        <v>83817987710</v>
      </c>
      <c r="U500" s="3"/>
      <c r="V500" s="3"/>
      <c r="W500" s="3" t="s">
        <v>2359</v>
      </c>
      <c r="X500" s="3">
        <v>1946902690661770</v>
      </c>
      <c r="Y500" s="3" t="s">
        <v>5017</v>
      </c>
      <c r="Z500" s="3">
        <v>1978</v>
      </c>
      <c r="AA500" s="3" t="s">
        <v>2361</v>
      </c>
      <c r="AB500" s="3" t="s">
        <v>2362</v>
      </c>
      <c r="AC500" s="3" t="s">
        <v>2363</v>
      </c>
      <c r="AD500" s="3">
        <v>3217121512780010</v>
      </c>
      <c r="AE500" s="3" t="s">
        <v>5018</v>
      </c>
      <c r="AF500" s="3">
        <v>1980</v>
      </c>
      <c r="AG500" s="3" t="s">
        <v>2361</v>
      </c>
      <c r="AH500" s="3" t="s">
        <v>2365</v>
      </c>
      <c r="AI500" s="3" t="s">
        <v>2366</v>
      </c>
      <c r="AJ500" s="3">
        <v>3217124208800020</v>
      </c>
      <c r="AK500" s="3"/>
      <c r="AL500" s="3"/>
      <c r="AM500" s="3" t="s">
        <v>2367</v>
      </c>
      <c r="AN500" s="3"/>
      <c r="AO500" s="3"/>
      <c r="AP500" s="3"/>
      <c r="AQ500" s="3" t="s">
        <v>5152</v>
      </c>
      <c r="AR500" s="3"/>
      <c r="AS500" s="3" t="s">
        <v>5019</v>
      </c>
      <c r="AT500" s="3" t="s">
        <v>2369</v>
      </c>
      <c r="AU500" s="3"/>
      <c r="AV500" s="3">
        <v>0</v>
      </c>
      <c r="AW500" s="3"/>
      <c r="AX500" s="3" t="s">
        <v>4048</v>
      </c>
      <c r="AY500" s="3"/>
      <c r="AZ500" s="3"/>
      <c r="BA500" s="3"/>
      <c r="BB500" s="3" t="s">
        <v>2369</v>
      </c>
      <c r="BC500" s="3"/>
      <c r="BD500" s="3" t="s">
        <v>2371</v>
      </c>
      <c r="BE500" s="3" t="s">
        <v>2553</v>
      </c>
      <c r="BF500" s="3">
        <v>1</v>
      </c>
      <c r="BG500" s="3">
        <v>-7.0068000000000001</v>
      </c>
      <c r="BH500" s="3">
        <v>107.2349</v>
      </c>
      <c r="BI500" s="3">
        <v>3217121103100020</v>
      </c>
      <c r="BJ500" s="3">
        <v>40</v>
      </c>
      <c r="BK500" s="3">
        <v>139</v>
      </c>
      <c r="BL500" s="3">
        <v>48</v>
      </c>
      <c r="BM500" s="3">
        <v>1</v>
      </c>
      <c r="BN500" s="3">
        <v>1</v>
      </c>
    </row>
    <row r="501" spans="1:66" s="219" customFormat="1" hidden="1" x14ac:dyDescent="0.3">
      <c r="A501" s="54">
        <v>495</v>
      </c>
      <c r="B501" s="54" t="s">
        <v>2297</v>
      </c>
      <c r="C501" s="54" t="s">
        <v>1513</v>
      </c>
      <c r="D501" s="54" t="s">
        <v>52</v>
      </c>
      <c r="E501" s="54">
        <v>82664981</v>
      </c>
      <c r="F501" s="54" t="s">
        <v>2352</v>
      </c>
      <c r="G501" s="108">
        <v>39706</v>
      </c>
      <c r="H501" s="54">
        <v>3217021509080000</v>
      </c>
      <c r="I501" s="54" t="s">
        <v>2353</v>
      </c>
      <c r="J501" s="54" t="s">
        <v>3758</v>
      </c>
      <c r="K501" s="54">
        <v>6</v>
      </c>
      <c r="L501" s="54">
        <v>15</v>
      </c>
      <c r="M501" s="54"/>
      <c r="N501" s="54" t="s">
        <v>3759</v>
      </c>
      <c r="O501" s="54" t="s">
        <v>2606</v>
      </c>
      <c r="P501" s="54">
        <v>40559</v>
      </c>
      <c r="Q501" s="54" t="s">
        <v>2357</v>
      </c>
      <c r="R501" s="54" t="s">
        <v>2400</v>
      </c>
      <c r="S501" s="54"/>
      <c r="T501" s="54">
        <v>88222968521</v>
      </c>
      <c r="U501" s="54"/>
      <c r="V501" s="54"/>
      <c r="W501" s="54" t="s">
        <v>2359</v>
      </c>
      <c r="X501" s="54"/>
      <c r="Y501" s="54" t="s">
        <v>3760</v>
      </c>
      <c r="Z501" s="54">
        <v>0</v>
      </c>
      <c r="AA501" s="54"/>
      <c r="AB501" s="54" t="s">
        <v>2362</v>
      </c>
      <c r="AC501" s="54" t="s">
        <v>2363</v>
      </c>
      <c r="AD501" s="54"/>
      <c r="AE501" s="54" t="s">
        <v>3761</v>
      </c>
      <c r="AF501" s="54">
        <v>0</v>
      </c>
      <c r="AG501" s="54"/>
      <c r="AH501" s="54" t="s">
        <v>2365</v>
      </c>
      <c r="AI501" s="54" t="s">
        <v>2366</v>
      </c>
      <c r="AJ501" s="54"/>
      <c r="AK501" s="54"/>
      <c r="AL501" s="54"/>
      <c r="AM501" s="54"/>
      <c r="AN501" s="54"/>
      <c r="AO501" s="54"/>
      <c r="AP501" s="54"/>
      <c r="AQ501" s="54" t="s">
        <v>5147</v>
      </c>
      <c r="AR501" s="54"/>
      <c r="AS501" s="54"/>
      <c r="AT501" s="54" t="s">
        <v>2359</v>
      </c>
      <c r="AU501" s="54"/>
      <c r="AV501" s="54">
        <v>0</v>
      </c>
      <c r="AW501" s="54"/>
      <c r="AX501" s="54"/>
      <c r="AY501" s="54"/>
      <c r="AZ501" s="54"/>
      <c r="BA501" s="54"/>
      <c r="BB501" s="54" t="s">
        <v>2359</v>
      </c>
      <c r="BC501" s="54"/>
      <c r="BD501" s="54" t="s">
        <v>2371</v>
      </c>
      <c r="BE501" s="54"/>
      <c r="BF501" s="54">
        <v>1</v>
      </c>
      <c r="BG501" s="54">
        <v>-6.8161132000000002</v>
      </c>
      <c r="BH501" s="54">
        <v>107.5572153</v>
      </c>
      <c r="BI501" s="54"/>
      <c r="BJ501" s="54">
        <v>54</v>
      </c>
      <c r="BK501" s="54">
        <v>144</v>
      </c>
      <c r="BL501" s="54">
        <v>59</v>
      </c>
      <c r="BM501" s="54">
        <v>1</v>
      </c>
      <c r="BN501" s="54">
        <v>2</v>
      </c>
    </row>
    <row r="502" spans="1:66" s="219" customFormat="1" hidden="1" x14ac:dyDescent="0.3">
      <c r="A502" s="54">
        <v>496</v>
      </c>
      <c r="B502" s="54" t="s">
        <v>1733</v>
      </c>
      <c r="C502" s="54" t="s">
        <v>2244</v>
      </c>
      <c r="D502" s="54" t="s">
        <v>53</v>
      </c>
      <c r="E502" s="54">
        <v>95524267</v>
      </c>
      <c r="F502" s="54" t="s">
        <v>2377</v>
      </c>
      <c r="G502" s="108">
        <v>40100</v>
      </c>
      <c r="H502" s="54">
        <v>3217125010090000</v>
      </c>
      <c r="I502" s="54" t="s">
        <v>2353</v>
      </c>
      <c r="J502" s="54" t="s">
        <v>2378</v>
      </c>
      <c r="K502" s="54">
        <v>0</v>
      </c>
      <c r="L502" s="54">
        <v>0</v>
      </c>
      <c r="M502" s="54"/>
      <c r="N502" s="54" t="s">
        <v>2355</v>
      </c>
      <c r="O502" s="54" t="s">
        <v>2356</v>
      </c>
      <c r="P502" s="54">
        <v>40564</v>
      </c>
      <c r="Q502" s="54" t="s">
        <v>2357</v>
      </c>
      <c r="R502" s="54" t="s">
        <v>2358</v>
      </c>
      <c r="S502" s="54"/>
      <c r="T502" s="54">
        <v>87733050101</v>
      </c>
      <c r="U502" s="54"/>
      <c r="V502" s="54"/>
      <c r="W502" s="54" t="s">
        <v>2359</v>
      </c>
      <c r="X502" s="54"/>
      <c r="Y502" s="54" t="s">
        <v>2978</v>
      </c>
      <c r="Z502" s="54">
        <v>1982</v>
      </c>
      <c r="AA502" s="54" t="s">
        <v>2402</v>
      </c>
      <c r="AB502" s="54" t="s">
        <v>2362</v>
      </c>
      <c r="AC502" s="54" t="s">
        <v>2363</v>
      </c>
      <c r="AD502" s="54">
        <v>3217121707820010</v>
      </c>
      <c r="AE502" s="54" t="s">
        <v>2979</v>
      </c>
      <c r="AF502" s="54">
        <v>0</v>
      </c>
      <c r="AG502" s="54" t="s">
        <v>2367</v>
      </c>
      <c r="AH502" s="54" t="s">
        <v>2365</v>
      </c>
      <c r="AI502" s="54" t="s">
        <v>2366</v>
      </c>
      <c r="AJ502" s="54">
        <v>3217125508850030</v>
      </c>
      <c r="AK502" s="54"/>
      <c r="AL502" s="54"/>
      <c r="AM502" s="54" t="s">
        <v>2367</v>
      </c>
      <c r="AN502" s="54"/>
      <c r="AO502" s="54"/>
      <c r="AP502" s="54"/>
      <c r="AQ502" s="54" t="s">
        <v>8178</v>
      </c>
      <c r="AR502" s="54"/>
      <c r="AS502" s="54"/>
      <c r="AT502" s="54" t="s">
        <v>2359</v>
      </c>
      <c r="AU502" s="54"/>
      <c r="AV502" s="54">
        <v>0</v>
      </c>
      <c r="AW502" s="54"/>
      <c r="AX502" s="54" t="s">
        <v>2980</v>
      </c>
      <c r="AY502" s="54"/>
      <c r="AZ502" s="54"/>
      <c r="BA502" s="54"/>
      <c r="BB502" s="54" t="s">
        <v>2369</v>
      </c>
      <c r="BC502" s="54" t="s">
        <v>2370</v>
      </c>
      <c r="BD502" s="54" t="s">
        <v>2371</v>
      </c>
      <c r="BE502" s="54" t="s">
        <v>2372</v>
      </c>
      <c r="BF502" s="54">
        <v>1</v>
      </c>
      <c r="BG502" s="54">
        <v>-6.9676999999999998</v>
      </c>
      <c r="BH502" s="54">
        <v>107.4117</v>
      </c>
      <c r="BI502" s="54"/>
      <c r="BJ502" s="54">
        <v>43</v>
      </c>
      <c r="BK502" s="54">
        <v>139</v>
      </c>
      <c r="BL502" s="54">
        <v>0</v>
      </c>
      <c r="BM502" s="54">
        <v>0</v>
      </c>
      <c r="BN502" s="54">
        <v>0</v>
      </c>
    </row>
    <row r="503" spans="1:66" s="219" customFormat="1" hidden="1" x14ac:dyDescent="0.3">
      <c r="A503" s="54">
        <v>497</v>
      </c>
      <c r="B503" s="54" t="s">
        <v>1651</v>
      </c>
      <c r="C503" s="54" t="s">
        <v>2120</v>
      </c>
      <c r="D503" s="54" t="s">
        <v>53</v>
      </c>
      <c r="E503" s="54">
        <v>104170811</v>
      </c>
      <c r="F503" s="54" t="s">
        <v>2373</v>
      </c>
      <c r="G503" s="108">
        <v>40261</v>
      </c>
      <c r="H503" s="54">
        <v>3217126403100000</v>
      </c>
      <c r="I503" s="54" t="s">
        <v>2353</v>
      </c>
      <c r="J503" s="54" t="s">
        <v>2500</v>
      </c>
      <c r="K503" s="54">
        <v>4</v>
      </c>
      <c r="L503" s="54">
        <v>5</v>
      </c>
      <c r="M503" s="54" t="s">
        <v>2463</v>
      </c>
      <c r="N503" s="54" t="s">
        <v>2438</v>
      </c>
      <c r="O503" s="54" t="s">
        <v>2356</v>
      </c>
      <c r="P503" s="54">
        <v>40764</v>
      </c>
      <c r="Q503" s="54" t="s">
        <v>2357</v>
      </c>
      <c r="R503" s="54" t="s">
        <v>2358</v>
      </c>
      <c r="S503" s="54"/>
      <c r="T503" s="54">
        <v>83114899530</v>
      </c>
      <c r="U503" s="54"/>
      <c r="V503" s="54"/>
      <c r="W503" s="54" t="s">
        <v>2359</v>
      </c>
      <c r="X503" s="54"/>
      <c r="Y503" s="54" t="s">
        <v>2509</v>
      </c>
      <c r="Z503" s="54">
        <v>1969</v>
      </c>
      <c r="AA503" s="54" t="s">
        <v>2361</v>
      </c>
      <c r="AB503" s="54" t="s">
        <v>2362</v>
      </c>
      <c r="AC503" s="54" t="s">
        <v>2403</v>
      </c>
      <c r="AD503" s="54">
        <v>3217120506690020</v>
      </c>
      <c r="AE503" s="54" t="s">
        <v>2510</v>
      </c>
      <c r="AF503" s="54">
        <v>1977</v>
      </c>
      <c r="AG503" s="54" t="s">
        <v>2361</v>
      </c>
      <c r="AH503" s="54" t="s">
        <v>2365</v>
      </c>
      <c r="AI503" s="54" t="s">
        <v>2366</v>
      </c>
      <c r="AJ503" s="54">
        <v>3217125004770020</v>
      </c>
      <c r="AK503" s="54"/>
      <c r="AL503" s="54"/>
      <c r="AM503" s="54" t="s">
        <v>2367</v>
      </c>
      <c r="AN503" s="54"/>
      <c r="AO503" s="54"/>
      <c r="AP503" s="54"/>
      <c r="AQ503" s="54" t="s">
        <v>8177</v>
      </c>
      <c r="AR503" s="54"/>
      <c r="AS503" s="54"/>
      <c r="AT503" s="54" t="s">
        <v>2359</v>
      </c>
      <c r="AU503" s="54"/>
      <c r="AV503" s="54">
        <v>0</v>
      </c>
      <c r="AW503" s="54" t="s">
        <v>2511</v>
      </c>
      <c r="AX503" s="54" t="s">
        <v>2512</v>
      </c>
      <c r="AY503" s="54"/>
      <c r="AZ503" s="54"/>
      <c r="BA503" s="54"/>
      <c r="BB503" s="54" t="s">
        <v>2369</v>
      </c>
      <c r="BC503" s="54" t="s">
        <v>2443</v>
      </c>
      <c r="BD503" s="54" t="s">
        <v>2371</v>
      </c>
      <c r="BE503" s="54" t="s">
        <v>2444</v>
      </c>
      <c r="BF503" s="54">
        <v>2</v>
      </c>
      <c r="BG503" s="54">
        <v>-6.9530000000000003</v>
      </c>
      <c r="BH503" s="54">
        <v>107.4034</v>
      </c>
      <c r="BI503" s="54"/>
      <c r="BJ503" s="54">
        <v>44</v>
      </c>
      <c r="BK503" s="54">
        <v>142</v>
      </c>
      <c r="BL503" s="54">
        <v>0</v>
      </c>
      <c r="BM503" s="54">
        <v>0</v>
      </c>
      <c r="BN503" s="54">
        <v>0</v>
      </c>
    </row>
    <row r="504" spans="1:66" s="219" customFormat="1" hidden="1" x14ac:dyDescent="0.3">
      <c r="A504" s="54">
        <v>498</v>
      </c>
      <c r="B504" s="54" t="s">
        <v>1734</v>
      </c>
      <c r="C504" s="54" t="s">
        <v>2245</v>
      </c>
      <c r="D504" s="54" t="s">
        <v>53</v>
      </c>
      <c r="E504" s="54">
        <v>109451822</v>
      </c>
      <c r="F504" s="54" t="s">
        <v>2377</v>
      </c>
      <c r="G504" s="108">
        <v>40338</v>
      </c>
      <c r="H504" s="54">
        <v>3217124906100000</v>
      </c>
      <c r="I504" s="54" t="s">
        <v>2353</v>
      </c>
      <c r="J504" s="54" t="s">
        <v>2378</v>
      </c>
      <c r="K504" s="54">
        <v>1</v>
      </c>
      <c r="L504" s="54">
        <v>5</v>
      </c>
      <c r="M504" s="54"/>
      <c r="N504" s="54" t="s">
        <v>2355</v>
      </c>
      <c r="O504" s="54" t="s">
        <v>2356</v>
      </c>
      <c r="P504" s="54">
        <v>40564</v>
      </c>
      <c r="Q504" s="54" t="s">
        <v>2357</v>
      </c>
      <c r="R504" s="54" t="s">
        <v>2358</v>
      </c>
      <c r="S504" s="54"/>
      <c r="T504" s="54">
        <v>81221592254</v>
      </c>
      <c r="U504" s="54"/>
      <c r="V504" s="54"/>
      <c r="W504" s="54" t="s">
        <v>2359</v>
      </c>
      <c r="X504" s="54"/>
      <c r="Y504" s="54" t="s">
        <v>2981</v>
      </c>
      <c r="Z504" s="54">
        <v>1973</v>
      </c>
      <c r="AA504" s="54" t="s">
        <v>2361</v>
      </c>
      <c r="AB504" s="54" t="s">
        <v>2362</v>
      </c>
      <c r="AC504" s="54" t="s">
        <v>2363</v>
      </c>
      <c r="AD504" s="54">
        <v>3217121101730000</v>
      </c>
      <c r="AE504" s="54" t="s">
        <v>2982</v>
      </c>
      <c r="AF504" s="54">
        <v>1980</v>
      </c>
      <c r="AG504" s="54" t="s">
        <v>2361</v>
      </c>
      <c r="AH504" s="54" t="s">
        <v>2365</v>
      </c>
      <c r="AI504" s="54" t="s">
        <v>2366</v>
      </c>
      <c r="AJ504" s="54">
        <v>3217125101800000</v>
      </c>
      <c r="AK504" s="54"/>
      <c r="AL504" s="54"/>
      <c r="AM504" s="54" t="s">
        <v>2367</v>
      </c>
      <c r="AN504" s="54"/>
      <c r="AO504" s="54"/>
      <c r="AP504" s="54"/>
      <c r="AQ504" s="54" t="s">
        <v>8178</v>
      </c>
      <c r="AR504" s="54"/>
      <c r="AS504" s="54"/>
      <c r="AT504" s="54" t="s">
        <v>2359</v>
      </c>
      <c r="AU504" s="54"/>
      <c r="AV504" s="54">
        <v>0</v>
      </c>
      <c r="AW504" s="54"/>
      <c r="AX504" s="54" t="s">
        <v>2983</v>
      </c>
      <c r="AY504" s="54"/>
      <c r="AZ504" s="54"/>
      <c r="BA504" s="54"/>
      <c r="BB504" s="54" t="s">
        <v>2369</v>
      </c>
      <c r="BC504" s="54" t="s">
        <v>2370</v>
      </c>
      <c r="BD504" s="54" t="s">
        <v>2371</v>
      </c>
      <c r="BE504" s="54" t="s">
        <v>2372</v>
      </c>
      <c r="BF504" s="54"/>
      <c r="BG504" s="54">
        <v>-6.9676999999999998</v>
      </c>
      <c r="BH504" s="54">
        <v>107.4117</v>
      </c>
      <c r="BI504" s="54"/>
      <c r="BJ504" s="54">
        <v>41</v>
      </c>
      <c r="BK504" s="54">
        <v>138</v>
      </c>
      <c r="BL504" s="54">
        <v>0</v>
      </c>
      <c r="BM504" s="54">
        <v>0</v>
      </c>
      <c r="BN504" s="54">
        <v>0</v>
      </c>
    </row>
    <row r="505" spans="1:66" s="219" customFormat="1" hidden="1" x14ac:dyDescent="0.3">
      <c r="A505" s="54">
        <v>499</v>
      </c>
      <c r="B505" s="54" t="s">
        <v>8168</v>
      </c>
      <c r="C505" s="54" t="s">
        <v>4317</v>
      </c>
      <c r="D505" s="54" t="s">
        <v>53</v>
      </c>
      <c r="E505" s="54">
        <v>114454686</v>
      </c>
      <c r="F505" s="54" t="s">
        <v>2373</v>
      </c>
      <c r="G505" s="108">
        <v>40647</v>
      </c>
      <c r="H505" s="54">
        <v>3217125404110000</v>
      </c>
      <c r="I505" s="54" t="s">
        <v>2353</v>
      </c>
      <c r="J505" s="54" t="s">
        <v>3357</v>
      </c>
      <c r="K505" s="54">
        <v>1</v>
      </c>
      <c r="L505" s="54">
        <v>11</v>
      </c>
      <c r="M505" s="54" t="s">
        <v>5020</v>
      </c>
      <c r="N505" s="54" t="s">
        <v>2409</v>
      </c>
      <c r="O505" s="54" t="s">
        <v>2356</v>
      </c>
      <c r="P505" s="54">
        <v>40564</v>
      </c>
      <c r="Q505" s="54" t="s">
        <v>2357</v>
      </c>
      <c r="R505" s="54" t="s">
        <v>2358</v>
      </c>
      <c r="S505" s="54"/>
      <c r="T505" s="54">
        <v>83829980490</v>
      </c>
      <c r="U505" s="54"/>
      <c r="V505" s="54"/>
      <c r="W505" s="54" t="s">
        <v>2359</v>
      </c>
      <c r="X505" s="54"/>
      <c r="Y505" s="54" t="s">
        <v>5021</v>
      </c>
      <c r="Z505" s="54">
        <v>1985</v>
      </c>
      <c r="AA505" s="54" t="s">
        <v>2390</v>
      </c>
      <c r="AB505" s="54" t="s">
        <v>2362</v>
      </c>
      <c r="AC505" s="54" t="s">
        <v>2363</v>
      </c>
      <c r="AD505" s="54">
        <v>3217121803880020</v>
      </c>
      <c r="AE505" s="54" t="s">
        <v>5022</v>
      </c>
      <c r="AF505" s="54">
        <v>1982</v>
      </c>
      <c r="AG505" s="54" t="s">
        <v>2390</v>
      </c>
      <c r="AH505" s="54" t="s">
        <v>2365</v>
      </c>
      <c r="AI505" s="54" t="s">
        <v>2366</v>
      </c>
      <c r="AJ505" s="54">
        <v>3217125204820020</v>
      </c>
      <c r="AK505" s="54"/>
      <c r="AL505" s="54"/>
      <c r="AM505" s="54" t="s">
        <v>2367</v>
      </c>
      <c r="AN505" s="54"/>
      <c r="AO505" s="54"/>
      <c r="AP505" s="54"/>
      <c r="AQ505" s="3" t="s">
        <v>5150</v>
      </c>
      <c r="AR505" s="54"/>
      <c r="AS505" s="54"/>
      <c r="AT505" s="54" t="s">
        <v>2359</v>
      </c>
      <c r="AU505" s="54"/>
      <c r="AV505" s="54">
        <v>0</v>
      </c>
      <c r="AW505" s="54"/>
      <c r="AX505" s="54"/>
      <c r="AY505" s="54"/>
      <c r="AZ505" s="54"/>
      <c r="BA505" s="54"/>
      <c r="BB505" s="54" t="s">
        <v>2369</v>
      </c>
      <c r="BC505" s="54" t="s">
        <v>2370</v>
      </c>
      <c r="BD505" s="54" t="s">
        <v>2371</v>
      </c>
      <c r="BE505" s="54" t="s">
        <v>2406</v>
      </c>
      <c r="BF505" s="54">
        <v>1</v>
      </c>
      <c r="BG505" s="54">
        <v>-6.9546999999999999</v>
      </c>
      <c r="BH505" s="54">
        <v>107.39</v>
      </c>
      <c r="BI505" s="54"/>
      <c r="BJ505" s="54">
        <v>41</v>
      </c>
      <c r="BK505" s="54">
        <v>142</v>
      </c>
      <c r="BL505" s="54">
        <v>57</v>
      </c>
      <c r="BM505" s="54">
        <v>1</v>
      </c>
      <c r="BN505" s="54">
        <v>1</v>
      </c>
    </row>
    <row r="506" spans="1:66" hidden="1" x14ac:dyDescent="0.3">
      <c r="A506" s="3">
        <v>500</v>
      </c>
      <c r="B506" s="3" t="s">
        <v>3806</v>
      </c>
      <c r="C506" s="3" t="s">
        <v>4253</v>
      </c>
      <c r="D506" s="3" t="s">
        <v>53</v>
      </c>
      <c r="E506" s="3">
        <v>114644109</v>
      </c>
      <c r="F506" s="3" t="s">
        <v>2377</v>
      </c>
      <c r="G506" s="157">
        <v>40839</v>
      </c>
      <c r="H506" s="3">
        <v>3217126310110000</v>
      </c>
      <c r="I506" s="3" t="s">
        <v>2353</v>
      </c>
      <c r="J506" s="3" t="s">
        <v>2641</v>
      </c>
      <c r="K506" s="3">
        <v>1</v>
      </c>
      <c r="L506" s="3">
        <v>10</v>
      </c>
      <c r="M506" s="3"/>
      <c r="N506" s="3" t="s">
        <v>4475</v>
      </c>
      <c r="O506" s="3" t="s">
        <v>2356</v>
      </c>
      <c r="P506" s="3">
        <v>40564</v>
      </c>
      <c r="Q506" s="3" t="s">
        <v>2357</v>
      </c>
      <c r="R506" s="3" t="s">
        <v>2358</v>
      </c>
      <c r="S506" s="3"/>
      <c r="T506" s="3">
        <v>83816430632</v>
      </c>
      <c r="U506" s="3"/>
      <c r="V506" s="3"/>
      <c r="W506" s="3" t="s">
        <v>2359</v>
      </c>
      <c r="X506" s="3">
        <v>122000110234434</v>
      </c>
      <c r="Y506" s="3" t="s">
        <v>4164</v>
      </c>
      <c r="Z506" s="3">
        <v>1980</v>
      </c>
      <c r="AA506" s="3" t="s">
        <v>2361</v>
      </c>
      <c r="AB506" s="3" t="s">
        <v>2362</v>
      </c>
      <c r="AC506" s="3" t="s">
        <v>2363</v>
      </c>
      <c r="AD506" s="3">
        <v>3217122112800000</v>
      </c>
      <c r="AE506" s="3" t="s">
        <v>4165</v>
      </c>
      <c r="AF506" s="3">
        <v>1986</v>
      </c>
      <c r="AG506" s="3" t="s">
        <v>2361</v>
      </c>
      <c r="AH506" s="3" t="s">
        <v>2365</v>
      </c>
      <c r="AI506" s="3" t="s">
        <v>2366</v>
      </c>
      <c r="AJ506" s="3">
        <v>3217124603860020</v>
      </c>
      <c r="AK506" s="3"/>
      <c r="AL506" s="3"/>
      <c r="AM506" s="3" t="s">
        <v>2367</v>
      </c>
      <c r="AN506" s="3"/>
      <c r="AO506" s="3"/>
      <c r="AP506" s="3"/>
      <c r="AQ506" s="3" t="s">
        <v>5146</v>
      </c>
      <c r="AR506" s="3"/>
      <c r="AS506" s="3"/>
      <c r="AT506" s="3" t="s">
        <v>2369</v>
      </c>
      <c r="AU506" s="3"/>
      <c r="AV506" s="3">
        <v>0</v>
      </c>
      <c r="AW506" s="3"/>
      <c r="AX506" s="3" t="s">
        <v>4163</v>
      </c>
      <c r="AY506" s="3"/>
      <c r="AZ506" s="3"/>
      <c r="BA506" s="3"/>
      <c r="BB506" s="3" t="s">
        <v>2369</v>
      </c>
      <c r="BC506" s="3"/>
      <c r="BD506" s="3" t="s">
        <v>2371</v>
      </c>
      <c r="BE506" s="3" t="s">
        <v>2372</v>
      </c>
      <c r="BF506" s="3">
        <v>2</v>
      </c>
      <c r="BG506" s="3">
        <v>-6.9676999999999998</v>
      </c>
      <c r="BH506" s="3">
        <v>107.4117</v>
      </c>
      <c r="BI506" s="3">
        <v>3217120810070050</v>
      </c>
      <c r="BJ506" s="3">
        <v>44</v>
      </c>
      <c r="BK506" s="3">
        <v>144</v>
      </c>
      <c r="BL506" s="3">
        <v>65</v>
      </c>
      <c r="BM506" s="3">
        <v>1</v>
      </c>
      <c r="BN506" s="3">
        <v>1</v>
      </c>
    </row>
    <row r="507" spans="1:66" s="219" customFormat="1" hidden="1" x14ac:dyDescent="0.3">
      <c r="A507" s="54">
        <v>501</v>
      </c>
      <c r="B507" s="54" t="s">
        <v>5023</v>
      </c>
      <c r="C507" s="54" t="s">
        <v>2246</v>
      </c>
      <c r="D507" s="54" t="s">
        <v>52</v>
      </c>
      <c r="E507" s="54">
        <v>93146668</v>
      </c>
      <c r="F507" s="54" t="s">
        <v>2373</v>
      </c>
      <c r="G507" s="108">
        <v>40028</v>
      </c>
      <c r="H507" s="54">
        <v>3217120308090000</v>
      </c>
      <c r="I507" s="54" t="s">
        <v>2353</v>
      </c>
      <c r="J507" s="54" t="s">
        <v>2574</v>
      </c>
      <c r="K507" s="54">
        <v>1</v>
      </c>
      <c r="L507" s="54">
        <v>3</v>
      </c>
      <c r="M507" s="54"/>
      <c r="N507" s="54" t="s">
        <v>2513</v>
      </c>
      <c r="O507" s="54" t="s">
        <v>2356</v>
      </c>
      <c r="P507" s="54"/>
      <c r="Q507" s="54" t="s">
        <v>2357</v>
      </c>
      <c r="R507" s="54" t="s">
        <v>2358</v>
      </c>
      <c r="S507" s="54"/>
      <c r="T507" s="54"/>
      <c r="U507" s="54"/>
      <c r="V507" s="54"/>
      <c r="W507" s="54" t="s">
        <v>2359</v>
      </c>
      <c r="X507" s="54"/>
      <c r="Y507" s="54" t="s">
        <v>2984</v>
      </c>
      <c r="Z507" s="54">
        <v>1982</v>
      </c>
      <c r="AA507" s="54" t="s">
        <v>2361</v>
      </c>
      <c r="AB507" s="54" t="s">
        <v>2362</v>
      </c>
      <c r="AC507" s="54" t="s">
        <v>2363</v>
      </c>
      <c r="AD507" s="54">
        <v>3217121005820040</v>
      </c>
      <c r="AE507" s="54" t="s">
        <v>5024</v>
      </c>
      <c r="AF507" s="54">
        <v>1985</v>
      </c>
      <c r="AG507" s="54" t="s">
        <v>2361</v>
      </c>
      <c r="AH507" s="54" t="s">
        <v>2365</v>
      </c>
      <c r="AI507" s="54" t="s">
        <v>2366</v>
      </c>
      <c r="AJ507" s="54">
        <v>3217124503850050</v>
      </c>
      <c r="AK507" s="54"/>
      <c r="AL507" s="54"/>
      <c r="AM507" s="54" t="s">
        <v>2367</v>
      </c>
      <c r="AN507" s="54"/>
      <c r="AO507" s="54"/>
      <c r="AP507" s="54"/>
      <c r="AQ507" s="54" t="s">
        <v>8178</v>
      </c>
      <c r="AR507" s="54"/>
      <c r="AS507" s="54"/>
      <c r="AT507" s="54" t="s">
        <v>2359</v>
      </c>
      <c r="AU507" s="54"/>
      <c r="AV507" s="54">
        <v>0</v>
      </c>
      <c r="AW507" s="54"/>
      <c r="AX507" s="54"/>
      <c r="AY507" s="54"/>
      <c r="AZ507" s="54"/>
      <c r="BA507" s="54"/>
      <c r="BB507" s="54" t="s">
        <v>2369</v>
      </c>
      <c r="BC507" s="54" t="s">
        <v>2370</v>
      </c>
      <c r="BD507" s="54" t="s">
        <v>2371</v>
      </c>
      <c r="BE507" s="54" t="s">
        <v>2553</v>
      </c>
      <c r="BF507" s="54">
        <v>2</v>
      </c>
      <c r="BG507" s="54">
        <v>-7.0068000000000001</v>
      </c>
      <c r="BH507" s="54">
        <v>107.2349</v>
      </c>
      <c r="BI507" s="54">
        <v>3217121010120050</v>
      </c>
      <c r="BJ507" s="54">
        <v>49</v>
      </c>
      <c r="BK507" s="54">
        <v>143</v>
      </c>
      <c r="BL507" s="54">
        <v>0</v>
      </c>
      <c r="BM507" s="54">
        <v>0</v>
      </c>
      <c r="BN507" s="54">
        <v>0</v>
      </c>
    </row>
    <row r="508" spans="1:66" s="219" customFormat="1" hidden="1" x14ac:dyDescent="0.3">
      <c r="A508" s="54">
        <v>502</v>
      </c>
      <c r="B508" s="54" t="s">
        <v>1886</v>
      </c>
      <c r="C508" s="54" t="s">
        <v>1536</v>
      </c>
      <c r="D508" s="54" t="s">
        <v>52</v>
      </c>
      <c r="E508" s="54">
        <v>93980437</v>
      </c>
      <c r="F508" s="54" t="s">
        <v>2446</v>
      </c>
      <c r="G508" s="108">
        <v>39824</v>
      </c>
      <c r="H508" s="54">
        <v>3217111101090000</v>
      </c>
      <c r="I508" s="54" t="s">
        <v>2353</v>
      </c>
      <c r="J508" s="54" t="s">
        <v>3112</v>
      </c>
      <c r="K508" s="54">
        <v>1</v>
      </c>
      <c r="L508" s="54">
        <v>14</v>
      </c>
      <c r="M508" s="54" t="s">
        <v>2424</v>
      </c>
      <c r="N508" s="54" t="s">
        <v>2425</v>
      </c>
      <c r="O508" s="54" t="s">
        <v>2426</v>
      </c>
      <c r="P508" s="54">
        <v>40562</v>
      </c>
      <c r="Q508" s="54" t="s">
        <v>2357</v>
      </c>
      <c r="R508" s="54" t="s">
        <v>2358</v>
      </c>
      <c r="S508" s="54"/>
      <c r="T508" s="54">
        <v>83822519657</v>
      </c>
      <c r="U508" s="54"/>
      <c r="V508" s="54"/>
      <c r="W508" s="54" t="s">
        <v>2369</v>
      </c>
      <c r="X508" s="54" t="s">
        <v>3648</v>
      </c>
      <c r="Y508" s="54" t="s">
        <v>3530</v>
      </c>
      <c r="Z508" s="54">
        <v>1972</v>
      </c>
      <c r="AA508" s="54" t="s">
        <v>2402</v>
      </c>
      <c r="AB508" s="54" t="s">
        <v>2362</v>
      </c>
      <c r="AC508" s="54" t="s">
        <v>2403</v>
      </c>
      <c r="AD508" s="54"/>
      <c r="AE508" s="54" t="s">
        <v>3649</v>
      </c>
      <c r="AF508" s="54">
        <v>1980</v>
      </c>
      <c r="AG508" s="54" t="s">
        <v>2402</v>
      </c>
      <c r="AH508" s="54" t="s">
        <v>2365</v>
      </c>
      <c r="AI508" s="54" t="s">
        <v>2366</v>
      </c>
      <c r="AJ508" s="54"/>
      <c r="AK508" s="54"/>
      <c r="AL508" s="54"/>
      <c r="AM508" s="54"/>
      <c r="AN508" s="54"/>
      <c r="AO508" s="54"/>
      <c r="AP508" s="54"/>
      <c r="AQ508" s="54" t="s">
        <v>5147</v>
      </c>
      <c r="AR508" s="54"/>
      <c r="AS508" s="54"/>
      <c r="AT508" s="54" t="s">
        <v>2359</v>
      </c>
      <c r="AU508" s="54"/>
      <c r="AV508" s="54">
        <v>0</v>
      </c>
      <c r="AW508" s="54" t="s">
        <v>3650</v>
      </c>
      <c r="AX508" s="54" t="s">
        <v>3651</v>
      </c>
      <c r="AY508" s="54"/>
      <c r="AZ508" s="54"/>
      <c r="BA508" s="54"/>
      <c r="BB508" s="54" t="s">
        <v>2369</v>
      </c>
      <c r="BC508" s="54" t="s">
        <v>2443</v>
      </c>
      <c r="BD508" s="54" t="s">
        <v>2371</v>
      </c>
      <c r="BE508" s="54"/>
      <c r="BF508" s="54">
        <v>2</v>
      </c>
      <c r="BG508" s="54">
        <v>-6.9514541999999997</v>
      </c>
      <c r="BH508" s="54">
        <v>107.4179645</v>
      </c>
      <c r="BI508" s="54"/>
      <c r="BJ508" s="54">
        <v>43</v>
      </c>
      <c r="BK508" s="54">
        <v>143</v>
      </c>
      <c r="BL508" s="54">
        <v>53</v>
      </c>
      <c r="BM508" s="54">
        <v>1</v>
      </c>
      <c r="BN508" s="54">
        <v>1</v>
      </c>
    </row>
    <row r="509" spans="1:66" hidden="1" x14ac:dyDescent="0.3">
      <c r="A509" s="3">
        <v>503</v>
      </c>
      <c r="B509" s="3" t="s">
        <v>5025</v>
      </c>
      <c r="C509" s="3" t="s">
        <v>4318</v>
      </c>
      <c r="D509" s="3" t="s">
        <v>53</v>
      </c>
      <c r="E509" s="3">
        <v>116510579</v>
      </c>
      <c r="F509" s="3" t="s">
        <v>2373</v>
      </c>
      <c r="G509" s="157">
        <v>40707</v>
      </c>
      <c r="H509" s="3">
        <v>3217125306110000</v>
      </c>
      <c r="I509" s="3" t="s">
        <v>2353</v>
      </c>
      <c r="J509" s="3" t="s">
        <v>2699</v>
      </c>
      <c r="K509" s="3">
        <v>2</v>
      </c>
      <c r="L509" s="3">
        <v>10</v>
      </c>
      <c r="M509" s="3"/>
      <c r="N509" s="3" t="s">
        <v>2395</v>
      </c>
      <c r="O509" s="3" t="s">
        <v>2356</v>
      </c>
      <c r="P509" s="3">
        <v>40764</v>
      </c>
      <c r="Q509" s="3" t="s">
        <v>2357</v>
      </c>
      <c r="R509" s="3" t="s">
        <v>2358</v>
      </c>
      <c r="S509" s="3"/>
      <c r="T509" s="3">
        <v>83816431407</v>
      </c>
      <c r="U509" s="3"/>
      <c r="V509" s="3"/>
      <c r="W509" s="3" t="s">
        <v>2359</v>
      </c>
      <c r="X509" s="3"/>
      <c r="Y509" s="3" t="s">
        <v>4564</v>
      </c>
      <c r="Z509" s="3">
        <v>1982</v>
      </c>
      <c r="AA509" s="3" t="s">
        <v>2361</v>
      </c>
      <c r="AB509" s="3" t="s">
        <v>2362</v>
      </c>
      <c r="AC509" s="3" t="s">
        <v>2363</v>
      </c>
      <c r="AD509" s="3">
        <v>3217121206820010</v>
      </c>
      <c r="AE509" s="3" t="s">
        <v>5026</v>
      </c>
      <c r="AF509" s="3">
        <v>1985</v>
      </c>
      <c r="AG509" s="3" t="s">
        <v>2402</v>
      </c>
      <c r="AH509" s="3" t="s">
        <v>2365</v>
      </c>
      <c r="AI509" s="3" t="s">
        <v>2366</v>
      </c>
      <c r="AJ509" s="3">
        <v>3217124612850000</v>
      </c>
      <c r="AK509" s="3"/>
      <c r="AL509" s="3"/>
      <c r="AM509" s="3" t="s">
        <v>2367</v>
      </c>
      <c r="AN509" s="3"/>
      <c r="AO509" s="3"/>
      <c r="AP509" s="3"/>
      <c r="AQ509" s="3" t="s">
        <v>5150</v>
      </c>
      <c r="AR509" s="3"/>
      <c r="AS509" s="3"/>
      <c r="AT509" s="3" t="s">
        <v>2369</v>
      </c>
      <c r="AU509" s="3"/>
      <c r="AV509" s="3">
        <v>0</v>
      </c>
      <c r="AW509" s="3"/>
      <c r="AX509" s="3" t="s">
        <v>5027</v>
      </c>
      <c r="AY509" s="3"/>
      <c r="AZ509" s="3"/>
      <c r="BA509" s="3"/>
      <c r="BB509" s="3" t="s">
        <v>2369</v>
      </c>
      <c r="BC509" s="3"/>
      <c r="BD509" s="3" t="s">
        <v>2371</v>
      </c>
      <c r="BE509" s="3" t="s">
        <v>2553</v>
      </c>
      <c r="BF509" s="3">
        <v>2</v>
      </c>
      <c r="BG509" s="3">
        <v>-7.0068000000000001</v>
      </c>
      <c r="BH509" s="3">
        <v>107.2349</v>
      </c>
      <c r="BI509" s="3">
        <v>3217121005080020</v>
      </c>
      <c r="BJ509" s="3">
        <v>44</v>
      </c>
      <c r="BK509" s="3">
        <v>139</v>
      </c>
      <c r="BL509" s="3">
        <v>57</v>
      </c>
      <c r="BM509" s="3">
        <v>1</v>
      </c>
      <c r="BN509" s="3">
        <v>2</v>
      </c>
    </row>
    <row r="510" spans="1:66" s="219" customFormat="1" hidden="1" x14ac:dyDescent="0.3">
      <c r="A510" s="54">
        <v>504</v>
      </c>
      <c r="B510" s="54" t="s">
        <v>1887</v>
      </c>
      <c r="C510" s="54" t="s">
        <v>1537</v>
      </c>
      <c r="D510" s="54" t="s">
        <v>53</v>
      </c>
      <c r="E510" s="54">
        <v>3091476761</v>
      </c>
      <c r="F510" s="54" t="s">
        <v>2373</v>
      </c>
      <c r="G510" s="108">
        <v>40080</v>
      </c>
      <c r="H510" s="54">
        <v>3217126409080000</v>
      </c>
      <c r="I510" s="54" t="s">
        <v>2353</v>
      </c>
      <c r="J510" s="54" t="s">
        <v>2394</v>
      </c>
      <c r="K510" s="54">
        <v>4</v>
      </c>
      <c r="L510" s="54">
        <v>9</v>
      </c>
      <c r="M510" s="54"/>
      <c r="N510" s="54" t="s">
        <v>2513</v>
      </c>
      <c r="O510" s="54" t="s">
        <v>2356</v>
      </c>
      <c r="P510" s="54"/>
      <c r="Q510" s="54" t="s">
        <v>2357</v>
      </c>
      <c r="R510" s="54" t="s">
        <v>2358</v>
      </c>
      <c r="S510" s="54"/>
      <c r="T510" s="54">
        <v>83817293037</v>
      </c>
      <c r="U510" s="54"/>
      <c r="V510" s="54"/>
      <c r="W510" s="54" t="s">
        <v>2359</v>
      </c>
      <c r="X510" s="54"/>
      <c r="Y510" s="54"/>
      <c r="Z510" s="54">
        <v>1970</v>
      </c>
      <c r="AA510" s="54" t="s">
        <v>2361</v>
      </c>
      <c r="AB510" s="54" t="s">
        <v>2362</v>
      </c>
      <c r="AC510" s="54" t="s">
        <v>2375</v>
      </c>
      <c r="AD510" s="54"/>
      <c r="AE510" s="54" t="s">
        <v>3652</v>
      </c>
      <c r="AF510" s="54">
        <v>1975</v>
      </c>
      <c r="AG510" s="54" t="s">
        <v>2361</v>
      </c>
      <c r="AH510" s="54" t="s">
        <v>2365</v>
      </c>
      <c r="AI510" s="54" t="s">
        <v>2366</v>
      </c>
      <c r="AJ510" s="54"/>
      <c r="AK510" s="54"/>
      <c r="AL510" s="54"/>
      <c r="AM510" s="54"/>
      <c r="AN510" s="54"/>
      <c r="AO510" s="54"/>
      <c r="AP510" s="54"/>
      <c r="AQ510" s="54" t="s">
        <v>5147</v>
      </c>
      <c r="AR510" s="54"/>
      <c r="AS510" s="54"/>
      <c r="AT510" s="54" t="s">
        <v>2359</v>
      </c>
      <c r="AU510" s="54"/>
      <c r="AV510" s="54">
        <v>0</v>
      </c>
      <c r="AW510" s="54"/>
      <c r="AX510" s="54" t="s">
        <v>3653</v>
      </c>
      <c r="AY510" s="54"/>
      <c r="AZ510" s="54"/>
      <c r="BA510" s="54"/>
      <c r="BB510" s="54" t="s">
        <v>2369</v>
      </c>
      <c r="BC510" s="54" t="s">
        <v>2370</v>
      </c>
      <c r="BD510" s="54" t="s">
        <v>2371</v>
      </c>
      <c r="BE510" s="54"/>
      <c r="BF510" s="54">
        <v>1</v>
      </c>
      <c r="BG510" s="54">
        <v>-6.9625000000000004</v>
      </c>
      <c r="BH510" s="54">
        <v>107.4346</v>
      </c>
      <c r="BI510" s="54">
        <v>3217121609120150</v>
      </c>
      <c r="BJ510" s="54">
        <v>48</v>
      </c>
      <c r="BK510" s="54">
        <v>147</v>
      </c>
      <c r="BL510" s="54">
        <v>55</v>
      </c>
      <c r="BM510" s="54">
        <v>1</v>
      </c>
      <c r="BN510" s="54">
        <v>2</v>
      </c>
    </row>
    <row r="511" spans="1:66" s="219" customFormat="1" hidden="1" x14ac:dyDescent="0.3">
      <c r="A511" s="54">
        <v>505</v>
      </c>
      <c r="B511" s="54" t="s">
        <v>1782</v>
      </c>
      <c r="C511" s="54" t="s">
        <v>1421</v>
      </c>
      <c r="D511" s="54" t="s">
        <v>53</v>
      </c>
      <c r="E511" s="54">
        <v>98006211</v>
      </c>
      <c r="F511" s="54" t="s">
        <v>2377</v>
      </c>
      <c r="G511" s="108">
        <v>40096</v>
      </c>
      <c r="H511" s="54">
        <v>3217125010090000</v>
      </c>
      <c r="I511" s="54" t="s">
        <v>2353</v>
      </c>
      <c r="J511" s="54" t="s">
        <v>3200</v>
      </c>
      <c r="K511" s="54">
        <v>1</v>
      </c>
      <c r="L511" s="54">
        <v>8</v>
      </c>
      <c r="M511" s="54" t="s">
        <v>2398</v>
      </c>
      <c r="N511" s="54" t="s">
        <v>2399</v>
      </c>
      <c r="O511" s="54" t="s">
        <v>2356</v>
      </c>
      <c r="P511" s="54">
        <v>40564</v>
      </c>
      <c r="Q511" s="54" t="s">
        <v>2357</v>
      </c>
      <c r="R511" s="54" t="s">
        <v>2358</v>
      </c>
      <c r="S511" s="54"/>
      <c r="T511" s="54">
        <v>881023607044</v>
      </c>
      <c r="U511" s="54"/>
      <c r="V511" s="54"/>
      <c r="W511" s="54" t="s">
        <v>2359</v>
      </c>
      <c r="X511" s="54"/>
      <c r="Y511" s="54" t="s">
        <v>3201</v>
      </c>
      <c r="Z511" s="54">
        <v>1983</v>
      </c>
      <c r="AA511" s="54" t="s">
        <v>2390</v>
      </c>
      <c r="AB511" s="54" t="s">
        <v>2362</v>
      </c>
      <c r="AC511" s="54" t="s">
        <v>2363</v>
      </c>
      <c r="AD511" s="54"/>
      <c r="AE511" s="54" t="s">
        <v>5028</v>
      </c>
      <c r="AF511" s="54">
        <v>1990</v>
      </c>
      <c r="AG511" s="54" t="s">
        <v>2361</v>
      </c>
      <c r="AH511" s="54" t="s">
        <v>2867</v>
      </c>
      <c r="AI511" s="54" t="s">
        <v>2366</v>
      </c>
      <c r="AJ511" s="54"/>
      <c r="AK511" s="54"/>
      <c r="AL511" s="54"/>
      <c r="AM511" s="54"/>
      <c r="AN511" s="54"/>
      <c r="AO511" s="54"/>
      <c r="AP511" s="54"/>
      <c r="AQ511" s="54" t="s">
        <v>5147</v>
      </c>
      <c r="AR511" s="54"/>
      <c r="AS511" s="54"/>
      <c r="AT511" s="54" t="s">
        <v>2359</v>
      </c>
      <c r="AU511" s="54"/>
      <c r="AV511" s="54">
        <v>0</v>
      </c>
      <c r="AW511" s="54"/>
      <c r="AX511" s="54"/>
      <c r="AY511" s="54"/>
      <c r="AZ511" s="54"/>
      <c r="BA511" s="54"/>
      <c r="BB511" s="54" t="s">
        <v>2369</v>
      </c>
      <c r="BC511" s="54" t="s">
        <v>2370</v>
      </c>
      <c r="BD511" s="54" t="s">
        <v>2371</v>
      </c>
      <c r="BE511" s="54"/>
      <c r="BF511" s="54">
        <v>1</v>
      </c>
      <c r="BG511" s="54">
        <v>-6.9486999999999997</v>
      </c>
      <c r="BH511" s="54">
        <v>107.3831</v>
      </c>
      <c r="BI511" s="54">
        <v>3217122105050110</v>
      </c>
      <c r="BJ511" s="54">
        <v>47</v>
      </c>
      <c r="BK511" s="54">
        <v>141</v>
      </c>
      <c r="BL511" s="54">
        <v>57</v>
      </c>
      <c r="BM511" s="54">
        <v>2</v>
      </c>
      <c r="BN511" s="54">
        <v>3</v>
      </c>
    </row>
    <row r="512" spans="1:66" s="219" customFormat="1" hidden="1" x14ac:dyDescent="0.3">
      <c r="A512" s="54">
        <v>506</v>
      </c>
      <c r="B512" s="54" t="s">
        <v>2073</v>
      </c>
      <c r="C512" s="54" t="s">
        <v>2247</v>
      </c>
      <c r="D512" s="54" t="s">
        <v>53</v>
      </c>
      <c r="E512" s="54">
        <v>104417754</v>
      </c>
      <c r="F512" s="54" t="s">
        <v>2352</v>
      </c>
      <c r="G512" s="108">
        <v>40354</v>
      </c>
      <c r="H512" s="54">
        <v>3204446506100000</v>
      </c>
      <c r="I512" s="54" t="s">
        <v>2353</v>
      </c>
      <c r="J512" s="54" t="s">
        <v>2985</v>
      </c>
      <c r="K512" s="54">
        <v>4</v>
      </c>
      <c r="L512" s="54">
        <v>7</v>
      </c>
      <c r="M512" s="54"/>
      <c r="N512" s="54" t="s">
        <v>2986</v>
      </c>
      <c r="O512" s="54" t="s">
        <v>2987</v>
      </c>
      <c r="P512" s="54">
        <v>40377</v>
      </c>
      <c r="Q512" s="54" t="s">
        <v>2357</v>
      </c>
      <c r="R512" s="54" t="s">
        <v>2358</v>
      </c>
      <c r="S512" s="54"/>
      <c r="T512" s="54">
        <v>85721107493</v>
      </c>
      <c r="U512" s="54"/>
      <c r="V512" s="54"/>
      <c r="W512" s="54" t="s">
        <v>2359</v>
      </c>
      <c r="X512" s="54"/>
      <c r="Y512" s="54" t="s">
        <v>5029</v>
      </c>
      <c r="Z512" s="54">
        <v>1985</v>
      </c>
      <c r="AA512" s="54" t="s">
        <v>2390</v>
      </c>
      <c r="AB512" s="54" t="s">
        <v>2388</v>
      </c>
      <c r="AC512" s="54" t="s">
        <v>2375</v>
      </c>
      <c r="AD512" s="54">
        <v>3204440209550000</v>
      </c>
      <c r="AE512" s="54" t="s">
        <v>2988</v>
      </c>
      <c r="AF512" s="54">
        <v>1990</v>
      </c>
      <c r="AG512" s="54" t="s">
        <v>2361</v>
      </c>
      <c r="AH512" s="54" t="s">
        <v>2365</v>
      </c>
      <c r="AI512" s="54" t="s">
        <v>2366</v>
      </c>
      <c r="AJ512" s="54">
        <v>3204444602900000</v>
      </c>
      <c r="AK512" s="54"/>
      <c r="AL512" s="54"/>
      <c r="AM512" s="54" t="s">
        <v>2367</v>
      </c>
      <c r="AN512" s="54"/>
      <c r="AO512" s="54"/>
      <c r="AP512" s="54"/>
      <c r="AQ512" s="54" t="s">
        <v>8178</v>
      </c>
      <c r="AR512" s="54"/>
      <c r="AS512" s="54"/>
      <c r="AT512" s="54" t="s">
        <v>2359</v>
      </c>
      <c r="AU512" s="54"/>
      <c r="AV512" s="54">
        <v>0</v>
      </c>
      <c r="AW512" s="54"/>
      <c r="AX512" s="54" t="s">
        <v>2989</v>
      </c>
      <c r="AY512" s="54"/>
      <c r="AZ512" s="54"/>
      <c r="BA512" s="54"/>
      <c r="BB512" s="54" t="s">
        <v>2369</v>
      </c>
      <c r="BC512" s="54" t="s">
        <v>2370</v>
      </c>
      <c r="BD512" s="54" t="s">
        <v>2371</v>
      </c>
      <c r="BE512" s="54" t="s">
        <v>2553</v>
      </c>
      <c r="BF512" s="54">
        <v>1</v>
      </c>
      <c r="BG512" s="54">
        <v>-7.0528316550000003</v>
      </c>
      <c r="BH512" s="54">
        <v>107.55400659999999</v>
      </c>
      <c r="BI512" s="54">
        <v>3217111102140010</v>
      </c>
      <c r="BJ512" s="54">
        <v>55</v>
      </c>
      <c r="BK512" s="54">
        <v>142</v>
      </c>
      <c r="BL512" s="54">
        <v>0</v>
      </c>
      <c r="BM512" s="54">
        <v>0</v>
      </c>
      <c r="BN512" s="54">
        <v>0</v>
      </c>
    </row>
    <row r="513" spans="1:66" s="219" customFormat="1" hidden="1" x14ac:dyDescent="0.3">
      <c r="A513" s="54">
        <v>507</v>
      </c>
      <c r="B513" s="54" t="s">
        <v>1375</v>
      </c>
      <c r="C513" s="54" t="s">
        <v>1538</v>
      </c>
      <c r="D513" s="54" t="s">
        <v>53</v>
      </c>
      <c r="E513" s="54">
        <v>96828474</v>
      </c>
      <c r="F513" s="54" t="s">
        <v>2373</v>
      </c>
      <c r="G513" s="108">
        <v>40016</v>
      </c>
      <c r="H513" s="54">
        <v>3217116207090000</v>
      </c>
      <c r="I513" s="54" t="s">
        <v>2353</v>
      </c>
      <c r="J513" s="54" t="s">
        <v>2565</v>
      </c>
      <c r="K513" s="54">
        <v>5</v>
      </c>
      <c r="L513" s="54">
        <v>1</v>
      </c>
      <c r="M513" s="54"/>
      <c r="N513" s="54" t="s">
        <v>2566</v>
      </c>
      <c r="O513" s="54" t="s">
        <v>2426</v>
      </c>
      <c r="P513" s="54">
        <v>40562</v>
      </c>
      <c r="Q513" s="54" t="s">
        <v>2357</v>
      </c>
      <c r="R513" s="54" t="s">
        <v>2358</v>
      </c>
      <c r="S513" s="54"/>
      <c r="T513" s="54"/>
      <c r="U513" s="54"/>
      <c r="V513" s="54"/>
      <c r="W513" s="54" t="s">
        <v>2359</v>
      </c>
      <c r="X513" s="54"/>
      <c r="Y513" s="54" t="s">
        <v>3654</v>
      </c>
      <c r="Z513" s="54">
        <v>1986</v>
      </c>
      <c r="AA513" s="54" t="s">
        <v>2361</v>
      </c>
      <c r="AB513" s="54" t="s">
        <v>2362</v>
      </c>
      <c r="AC513" s="54" t="s">
        <v>2363</v>
      </c>
      <c r="AD513" s="54"/>
      <c r="AE513" s="54" t="s">
        <v>3655</v>
      </c>
      <c r="AF513" s="54">
        <v>1989</v>
      </c>
      <c r="AG513" s="54" t="s">
        <v>2361</v>
      </c>
      <c r="AH513" s="54" t="s">
        <v>2365</v>
      </c>
      <c r="AI513" s="54" t="s">
        <v>2366</v>
      </c>
      <c r="AJ513" s="54"/>
      <c r="AK513" s="54"/>
      <c r="AL513" s="54"/>
      <c r="AM513" s="54"/>
      <c r="AN513" s="54"/>
      <c r="AO513" s="54"/>
      <c r="AP513" s="54"/>
      <c r="AQ513" s="54" t="s">
        <v>5147</v>
      </c>
      <c r="AR513" s="54"/>
      <c r="AS513" s="54"/>
      <c r="AT513" s="54" t="s">
        <v>2359</v>
      </c>
      <c r="AU513" s="54"/>
      <c r="AV513" s="54">
        <v>0</v>
      </c>
      <c r="AW513" s="54"/>
      <c r="AX513" s="54"/>
      <c r="AY513" s="54"/>
      <c r="AZ513" s="54"/>
      <c r="BA513" s="54"/>
      <c r="BB513" s="54" t="s">
        <v>2369</v>
      </c>
      <c r="BC513" s="54" t="s">
        <v>2370</v>
      </c>
      <c r="BD513" s="54" t="s">
        <v>2371</v>
      </c>
      <c r="BE513" s="54"/>
      <c r="BF513" s="54">
        <v>1</v>
      </c>
      <c r="BG513" s="54">
        <v>-6.9743000000000004</v>
      </c>
      <c r="BH513" s="54">
        <v>107.43559999999999</v>
      </c>
      <c r="BI513" s="54"/>
      <c r="BJ513" s="54">
        <v>35</v>
      </c>
      <c r="BK513" s="54">
        <v>135</v>
      </c>
      <c r="BL513" s="54">
        <v>54</v>
      </c>
      <c r="BM513" s="54">
        <v>1</v>
      </c>
      <c r="BN513" s="54">
        <v>1</v>
      </c>
    </row>
    <row r="514" spans="1:66" s="219" customFormat="1" hidden="1" x14ac:dyDescent="0.3">
      <c r="A514" s="54">
        <v>508</v>
      </c>
      <c r="B514" s="54" t="s">
        <v>1861</v>
      </c>
      <c r="C514" s="54" t="s">
        <v>1514</v>
      </c>
      <c r="D514" s="54" t="s">
        <v>52</v>
      </c>
      <c r="E514" s="54">
        <v>104694765</v>
      </c>
      <c r="F514" s="54" t="s">
        <v>2352</v>
      </c>
      <c r="G514" s="108">
        <v>40289</v>
      </c>
      <c r="H514" s="54">
        <v>3217122104100000</v>
      </c>
      <c r="I514" s="54" t="s">
        <v>2353</v>
      </c>
      <c r="J514" s="54" t="s">
        <v>3171</v>
      </c>
      <c r="K514" s="54">
        <v>2</v>
      </c>
      <c r="L514" s="54">
        <v>13</v>
      </c>
      <c r="M514" s="54"/>
      <c r="N514" s="54" t="s">
        <v>2513</v>
      </c>
      <c r="O514" s="54" t="s">
        <v>2356</v>
      </c>
      <c r="P514" s="54">
        <v>40564</v>
      </c>
      <c r="Q514" s="54" t="s">
        <v>2357</v>
      </c>
      <c r="R514" s="54" t="s">
        <v>2358</v>
      </c>
      <c r="S514" s="54"/>
      <c r="T514" s="54">
        <v>83872367355</v>
      </c>
      <c r="U514" s="54"/>
      <c r="V514" s="54"/>
      <c r="W514" s="54" t="s">
        <v>2359</v>
      </c>
      <c r="X514" s="54"/>
      <c r="Y514" s="54" t="s">
        <v>3554</v>
      </c>
      <c r="Z514" s="54">
        <v>1981</v>
      </c>
      <c r="AA514" s="54" t="s">
        <v>2361</v>
      </c>
      <c r="AB514" s="54" t="s">
        <v>2362</v>
      </c>
      <c r="AC514" s="54" t="s">
        <v>2363</v>
      </c>
      <c r="AD514" s="54"/>
      <c r="AE514" s="54" t="s">
        <v>3555</v>
      </c>
      <c r="AF514" s="54">
        <v>1974</v>
      </c>
      <c r="AG514" s="54" t="s">
        <v>2402</v>
      </c>
      <c r="AH514" s="54" t="s">
        <v>2365</v>
      </c>
      <c r="AI514" s="54" t="s">
        <v>2366</v>
      </c>
      <c r="AJ514" s="54"/>
      <c r="AK514" s="54"/>
      <c r="AL514" s="54"/>
      <c r="AM514" s="54"/>
      <c r="AN514" s="54"/>
      <c r="AO514" s="54"/>
      <c r="AP514" s="54"/>
      <c r="AQ514" s="54" t="s">
        <v>5147</v>
      </c>
      <c r="AR514" s="54"/>
      <c r="AS514" s="54"/>
      <c r="AT514" s="54" t="s">
        <v>2359</v>
      </c>
      <c r="AU514" s="54"/>
      <c r="AV514" s="54">
        <v>0</v>
      </c>
      <c r="AW514" s="54"/>
      <c r="AX514" s="54"/>
      <c r="AY514" s="54"/>
      <c r="AZ514" s="54"/>
      <c r="BA514" s="54"/>
      <c r="BB514" s="54" t="s">
        <v>2369</v>
      </c>
      <c r="BC514" s="54" t="s">
        <v>2370</v>
      </c>
      <c r="BD514" s="54" t="s">
        <v>2371</v>
      </c>
      <c r="BE514" s="54"/>
      <c r="BF514" s="54">
        <v>2</v>
      </c>
      <c r="BG514" s="54">
        <v>-6.9676999999999998</v>
      </c>
      <c r="BH514" s="54">
        <v>107.4117</v>
      </c>
      <c r="BI514" s="54"/>
      <c r="BJ514" s="54">
        <v>41</v>
      </c>
      <c r="BK514" s="54">
        <v>143</v>
      </c>
      <c r="BL514" s="54">
        <v>58</v>
      </c>
      <c r="BM514" s="54">
        <v>3</v>
      </c>
      <c r="BN514" s="54">
        <v>1</v>
      </c>
    </row>
    <row r="515" spans="1:66" x14ac:dyDescent="0.3">
      <c r="A515" s="3">
        <v>509</v>
      </c>
      <c r="B515" s="3" t="s">
        <v>3955</v>
      </c>
      <c r="C515" s="3" t="s">
        <v>4415</v>
      </c>
      <c r="D515" s="3" t="s">
        <v>52</v>
      </c>
      <c r="E515" s="3">
        <v>3106329321</v>
      </c>
      <c r="F515" s="3" t="s">
        <v>2352</v>
      </c>
      <c r="G515" s="157">
        <v>40541</v>
      </c>
      <c r="H515" s="3">
        <v>3217122912100000</v>
      </c>
      <c r="I515" s="3" t="s">
        <v>2353</v>
      </c>
      <c r="J515" s="3" t="s">
        <v>3011</v>
      </c>
      <c r="K515" s="3">
        <v>2</v>
      </c>
      <c r="L515" s="3">
        <v>6</v>
      </c>
      <c r="M515" s="3" t="s">
        <v>4030</v>
      </c>
      <c r="N515" s="3" t="s">
        <v>4466</v>
      </c>
      <c r="O515" s="3" t="s">
        <v>2356</v>
      </c>
      <c r="P515" s="3">
        <v>40764</v>
      </c>
      <c r="Q515" s="3" t="s">
        <v>2357</v>
      </c>
      <c r="R515" s="3" t="s">
        <v>2358</v>
      </c>
      <c r="S515" s="3"/>
      <c r="T515" s="3"/>
      <c r="U515" s="3"/>
      <c r="V515" s="3"/>
      <c r="W515" s="3" t="s">
        <v>2369</v>
      </c>
      <c r="X515" s="3">
        <v>122000111019727</v>
      </c>
      <c r="Y515" s="3" t="s">
        <v>4031</v>
      </c>
      <c r="Z515" s="3">
        <v>1989</v>
      </c>
      <c r="AA515" s="3" t="s">
        <v>2361</v>
      </c>
      <c r="AB515" s="3" t="s">
        <v>2362</v>
      </c>
      <c r="AC515" s="3" t="s">
        <v>2403</v>
      </c>
      <c r="AD515" s="3">
        <v>3217120706890020</v>
      </c>
      <c r="AE515" s="3" t="s">
        <v>5030</v>
      </c>
      <c r="AF515" s="3">
        <v>1991</v>
      </c>
      <c r="AG515" s="3" t="s">
        <v>2361</v>
      </c>
      <c r="AH515" s="3" t="s">
        <v>2474</v>
      </c>
      <c r="AI515" s="3" t="s">
        <v>2403</v>
      </c>
      <c r="AJ515" s="3">
        <v>3217124307910020</v>
      </c>
      <c r="AK515" s="3"/>
      <c r="AL515" s="3"/>
      <c r="AM515" s="3" t="s">
        <v>4751</v>
      </c>
      <c r="AN515" s="3"/>
      <c r="AO515" s="3"/>
      <c r="AP515" s="3"/>
      <c r="AQ515" s="3" t="s">
        <v>5148</v>
      </c>
      <c r="AR515" s="3"/>
      <c r="AS515" s="3"/>
      <c r="AT515" s="3" t="s">
        <v>2369</v>
      </c>
      <c r="AU515" s="3"/>
      <c r="AV515" s="3">
        <v>0</v>
      </c>
      <c r="AW515" s="3"/>
      <c r="AX515" s="3" t="s">
        <v>4029</v>
      </c>
      <c r="AY515" s="3"/>
      <c r="AZ515" s="3"/>
      <c r="BA515" s="3"/>
      <c r="BB515" s="3" t="s">
        <v>2369</v>
      </c>
      <c r="BC515" s="3"/>
      <c r="BD515" s="3" t="s">
        <v>2371</v>
      </c>
      <c r="BE515" s="3"/>
      <c r="BF515" s="3">
        <v>2</v>
      </c>
      <c r="BG515" s="3">
        <v>-6.9625000000000004</v>
      </c>
      <c r="BH515" s="3">
        <v>107.4346</v>
      </c>
      <c r="BI515" s="3">
        <v>3217121210110040</v>
      </c>
      <c r="BJ515" s="3">
        <v>47</v>
      </c>
      <c r="BK515" s="3">
        <v>148</v>
      </c>
      <c r="BL515" s="3">
        <v>51</v>
      </c>
      <c r="BM515" s="3">
        <v>1</v>
      </c>
      <c r="BN515" s="3">
        <v>3</v>
      </c>
    </row>
    <row r="516" spans="1:66" x14ac:dyDescent="0.3">
      <c r="A516" s="3">
        <v>510</v>
      </c>
      <c r="B516" s="3" t="s">
        <v>5031</v>
      </c>
      <c r="C516" s="3" t="s">
        <v>4416</v>
      </c>
      <c r="D516" s="3" t="s">
        <v>52</v>
      </c>
      <c r="E516" s="3">
        <v>107655693</v>
      </c>
      <c r="F516" s="3" t="s">
        <v>2373</v>
      </c>
      <c r="G516" s="157">
        <v>40352</v>
      </c>
      <c r="H516" s="3">
        <v>3217122306100000</v>
      </c>
      <c r="I516" s="3" t="s">
        <v>2353</v>
      </c>
      <c r="J516" s="3" t="s">
        <v>4612</v>
      </c>
      <c r="K516" s="3">
        <v>1</v>
      </c>
      <c r="L516" s="3">
        <v>7</v>
      </c>
      <c r="M516" s="3">
        <v>3</v>
      </c>
      <c r="N516" s="3" t="s">
        <v>4557</v>
      </c>
      <c r="O516" s="3" t="s">
        <v>2356</v>
      </c>
      <c r="P516" s="3">
        <v>40564</v>
      </c>
      <c r="Q516" s="3" t="s">
        <v>2357</v>
      </c>
      <c r="R516" s="3" t="s">
        <v>2358</v>
      </c>
      <c r="S516" s="3"/>
      <c r="T516" s="3">
        <v>83150649620</v>
      </c>
      <c r="U516" s="3"/>
      <c r="V516" s="3"/>
      <c r="W516" s="3" t="s">
        <v>2369</v>
      </c>
      <c r="X516" s="3">
        <v>1220001103773660</v>
      </c>
      <c r="Y516" s="3" t="s">
        <v>5032</v>
      </c>
      <c r="Z516" s="3">
        <v>1979</v>
      </c>
      <c r="AA516" s="3" t="s">
        <v>2361</v>
      </c>
      <c r="AB516" s="3" t="s">
        <v>2362</v>
      </c>
      <c r="AC516" s="3" t="s">
        <v>2403</v>
      </c>
      <c r="AD516" s="3">
        <v>3217121803790000</v>
      </c>
      <c r="AE516" s="3" t="s">
        <v>5033</v>
      </c>
      <c r="AF516" s="3">
        <v>1980</v>
      </c>
      <c r="AG516" s="3" t="s">
        <v>2361</v>
      </c>
      <c r="AH516" s="3" t="s">
        <v>2365</v>
      </c>
      <c r="AI516" s="3" t="s">
        <v>2366</v>
      </c>
      <c r="AJ516" s="3">
        <v>3217124503800020</v>
      </c>
      <c r="AK516" s="3"/>
      <c r="AL516" s="3"/>
      <c r="AM516" s="3" t="s">
        <v>2367</v>
      </c>
      <c r="AN516" s="3"/>
      <c r="AO516" s="3"/>
      <c r="AP516" s="3"/>
      <c r="AQ516" s="3" t="s">
        <v>5148</v>
      </c>
      <c r="AR516" s="3"/>
      <c r="AS516" s="3"/>
      <c r="AT516" s="3" t="s">
        <v>2359</v>
      </c>
      <c r="AU516" s="3"/>
      <c r="AV516" s="3">
        <v>0</v>
      </c>
      <c r="AW516" s="3"/>
      <c r="AX516" s="3" t="s">
        <v>5034</v>
      </c>
      <c r="AY516" s="3"/>
      <c r="AZ516" s="3"/>
      <c r="BA516" s="3"/>
      <c r="BB516" s="3" t="s">
        <v>2369</v>
      </c>
      <c r="BC516" s="3" t="s">
        <v>2443</v>
      </c>
      <c r="BD516" s="3" t="s">
        <v>2371</v>
      </c>
      <c r="BE516" s="3" t="s">
        <v>2880</v>
      </c>
      <c r="BF516" s="3">
        <v>3</v>
      </c>
      <c r="BG516" s="3">
        <v>-6.9550120160000004</v>
      </c>
      <c r="BH516" s="3">
        <v>107.398653</v>
      </c>
      <c r="BI516" s="3">
        <v>3217122906090040</v>
      </c>
      <c r="BJ516" s="3">
        <v>50</v>
      </c>
      <c r="BK516" s="3">
        <v>146</v>
      </c>
      <c r="BL516" s="3">
        <v>61</v>
      </c>
      <c r="BM516" s="3">
        <v>2</v>
      </c>
      <c r="BN516" s="3">
        <v>2</v>
      </c>
    </row>
    <row r="517" spans="1:66" s="219" customFormat="1" hidden="1" x14ac:dyDescent="0.3">
      <c r="A517" s="54">
        <v>511</v>
      </c>
      <c r="B517" s="54" t="s">
        <v>5035</v>
      </c>
      <c r="C517" s="54"/>
      <c r="D517" s="54" t="s">
        <v>52</v>
      </c>
      <c r="E517" s="54">
        <v>92158111</v>
      </c>
      <c r="F517" s="54" t="s">
        <v>2373</v>
      </c>
      <c r="G517" s="108">
        <v>40034</v>
      </c>
      <c r="H517" s="54">
        <v>3217140908090000</v>
      </c>
      <c r="I517" s="54" t="s">
        <v>2353</v>
      </c>
      <c r="J517" s="54" t="s">
        <v>5036</v>
      </c>
      <c r="K517" s="54">
        <v>3</v>
      </c>
      <c r="L517" s="54">
        <v>5</v>
      </c>
      <c r="M517" s="54"/>
      <c r="N517" s="54" t="s">
        <v>5037</v>
      </c>
      <c r="O517" s="54" t="s">
        <v>3065</v>
      </c>
      <c r="P517" s="54">
        <v>40563</v>
      </c>
      <c r="Q517" s="54" t="s">
        <v>2357</v>
      </c>
      <c r="R517" s="54" t="s">
        <v>2400</v>
      </c>
      <c r="S517" s="54"/>
      <c r="T517" s="54"/>
      <c r="U517" s="54"/>
      <c r="V517" s="54"/>
      <c r="W517" s="54" t="s">
        <v>2359</v>
      </c>
      <c r="X517" s="54"/>
      <c r="Y517" s="54" t="s">
        <v>5038</v>
      </c>
      <c r="Z517" s="54">
        <v>1959</v>
      </c>
      <c r="AA517" s="54" t="s">
        <v>2361</v>
      </c>
      <c r="AB517" s="54" t="s">
        <v>2480</v>
      </c>
      <c r="AC517" s="54" t="s">
        <v>2666</v>
      </c>
      <c r="AD517" s="54">
        <v>3217110209870000</v>
      </c>
      <c r="AE517" s="54" t="s">
        <v>5039</v>
      </c>
      <c r="AF517" s="54">
        <v>1961</v>
      </c>
      <c r="AG517" s="54" t="s">
        <v>2361</v>
      </c>
      <c r="AH517" s="54" t="s">
        <v>2480</v>
      </c>
      <c r="AI517" s="54" t="s">
        <v>2363</v>
      </c>
      <c r="AJ517" s="54">
        <v>3217145109910000</v>
      </c>
      <c r="AK517" s="54"/>
      <c r="AL517" s="54"/>
      <c r="AM517" s="54" t="s">
        <v>2367</v>
      </c>
      <c r="AN517" s="54"/>
      <c r="AO517" s="54"/>
      <c r="AP517" s="54"/>
      <c r="AQ517" s="54" t="s">
        <v>8177</v>
      </c>
      <c r="AR517" s="54"/>
      <c r="AS517" s="54"/>
      <c r="AT517" s="54" t="s">
        <v>2359</v>
      </c>
      <c r="AU517" s="54"/>
      <c r="AV517" s="54">
        <v>1</v>
      </c>
      <c r="AW517" s="54"/>
      <c r="AX517" s="54" t="s">
        <v>5040</v>
      </c>
      <c r="AY517" s="54"/>
      <c r="AZ517" s="54"/>
      <c r="BA517" s="54"/>
      <c r="BB517" s="54" t="s">
        <v>2369</v>
      </c>
      <c r="BC517" s="54" t="s">
        <v>2370</v>
      </c>
      <c r="BD517" s="54" t="s">
        <v>2371</v>
      </c>
      <c r="BE517" s="54" t="s">
        <v>3152</v>
      </c>
      <c r="BF517" s="54">
        <v>1</v>
      </c>
      <c r="BG517" s="54">
        <v>-7.0157999999999996</v>
      </c>
      <c r="BH517" s="54">
        <v>107.3848</v>
      </c>
      <c r="BI517" s="54">
        <v>3217110407180000</v>
      </c>
      <c r="BJ517" s="54">
        <v>42</v>
      </c>
      <c r="BK517" s="54">
        <v>138</v>
      </c>
      <c r="BL517" s="54">
        <v>59</v>
      </c>
      <c r="BM517" s="54">
        <v>2</v>
      </c>
      <c r="BN517" s="54">
        <v>3</v>
      </c>
    </row>
    <row r="518" spans="1:66" s="219" customFormat="1" hidden="1" x14ac:dyDescent="0.3">
      <c r="A518" s="54">
        <v>512</v>
      </c>
      <c r="B518" s="54" t="s">
        <v>1833</v>
      </c>
      <c r="C518" s="54" t="s">
        <v>1479</v>
      </c>
      <c r="D518" s="54" t="s">
        <v>52</v>
      </c>
      <c r="E518" s="54">
        <v>3092555750</v>
      </c>
      <c r="F518" s="54" t="s">
        <v>2373</v>
      </c>
      <c r="G518" s="108">
        <v>39866</v>
      </c>
      <c r="H518" s="54">
        <v>3217122202090000</v>
      </c>
      <c r="I518" s="54" t="s">
        <v>2353</v>
      </c>
      <c r="J518" s="54" t="s">
        <v>2394</v>
      </c>
      <c r="K518" s="54">
        <v>4</v>
      </c>
      <c r="L518" s="54">
        <v>1</v>
      </c>
      <c r="M518" s="54"/>
      <c r="N518" s="54" t="s">
        <v>2513</v>
      </c>
      <c r="O518" s="54" t="s">
        <v>2356</v>
      </c>
      <c r="P518" s="54"/>
      <c r="Q518" s="54" t="s">
        <v>2357</v>
      </c>
      <c r="R518" s="54" t="s">
        <v>2358</v>
      </c>
      <c r="S518" s="54"/>
      <c r="T518" s="54">
        <v>83817293709</v>
      </c>
      <c r="U518" s="54"/>
      <c r="V518" s="54"/>
      <c r="W518" s="54" t="s">
        <v>2359</v>
      </c>
      <c r="X518" s="54"/>
      <c r="Y518" s="54" t="s">
        <v>3410</v>
      </c>
      <c r="Z518" s="54">
        <v>1975</v>
      </c>
      <c r="AA518" s="54" t="s">
        <v>2402</v>
      </c>
      <c r="AB518" s="54" t="s">
        <v>2362</v>
      </c>
      <c r="AC518" s="54" t="s">
        <v>2363</v>
      </c>
      <c r="AD518" s="54">
        <v>3217120903750000</v>
      </c>
      <c r="AE518" s="54" t="s">
        <v>3411</v>
      </c>
      <c r="AF518" s="54">
        <v>1971</v>
      </c>
      <c r="AG518" s="54" t="s">
        <v>2361</v>
      </c>
      <c r="AH518" s="54" t="s">
        <v>2365</v>
      </c>
      <c r="AI518" s="54" t="s">
        <v>2366</v>
      </c>
      <c r="AJ518" s="54">
        <v>3217124106710000</v>
      </c>
      <c r="AK518" s="54"/>
      <c r="AL518" s="54"/>
      <c r="AM518" s="54"/>
      <c r="AN518" s="54"/>
      <c r="AO518" s="54"/>
      <c r="AP518" s="54"/>
      <c r="AQ518" s="54" t="s">
        <v>5147</v>
      </c>
      <c r="AR518" s="54"/>
      <c r="AS518" s="54"/>
      <c r="AT518" s="54" t="s">
        <v>2359</v>
      </c>
      <c r="AU518" s="54"/>
      <c r="AV518" s="54">
        <v>0</v>
      </c>
      <c r="AW518" s="54"/>
      <c r="AX518" s="54" t="s">
        <v>3412</v>
      </c>
      <c r="AY518" s="54"/>
      <c r="AZ518" s="54"/>
      <c r="BA518" s="54"/>
      <c r="BB518" s="54" t="s">
        <v>2369</v>
      </c>
      <c r="BC518" s="54" t="s">
        <v>2370</v>
      </c>
      <c r="BD518" s="54" t="s">
        <v>2371</v>
      </c>
      <c r="BE518" s="54"/>
      <c r="BF518" s="54">
        <v>1</v>
      </c>
      <c r="BG518" s="54">
        <v>-6.9625000000000004</v>
      </c>
      <c r="BH518" s="54">
        <v>107.4346</v>
      </c>
      <c r="BI518" s="54">
        <v>3217121704055630</v>
      </c>
      <c r="BJ518" s="54">
        <v>45</v>
      </c>
      <c r="BK518" s="54">
        <v>133</v>
      </c>
      <c r="BL518" s="54">
        <v>54</v>
      </c>
      <c r="BM518" s="54">
        <v>1</v>
      </c>
      <c r="BN518" s="54">
        <v>1</v>
      </c>
    </row>
    <row r="519" spans="1:66" s="219" customFormat="1" hidden="1" x14ac:dyDescent="0.3">
      <c r="A519" s="54">
        <v>513</v>
      </c>
      <c r="B519" s="54" t="s">
        <v>1389</v>
      </c>
      <c r="C519" s="54" t="s">
        <v>1593</v>
      </c>
      <c r="D519" s="54" t="s">
        <v>53</v>
      </c>
      <c r="E519" s="54">
        <v>93768073</v>
      </c>
      <c r="F519" s="54" t="s">
        <v>2373</v>
      </c>
      <c r="G519" s="108">
        <v>40082</v>
      </c>
      <c r="H519" s="54">
        <v>3217116609090000</v>
      </c>
      <c r="I519" s="54" t="s">
        <v>2353</v>
      </c>
      <c r="J519" s="54" t="s">
        <v>2565</v>
      </c>
      <c r="K519" s="54">
        <v>3</v>
      </c>
      <c r="L519" s="54">
        <v>1</v>
      </c>
      <c r="M519" s="54"/>
      <c r="N519" s="54" t="s">
        <v>2566</v>
      </c>
      <c r="O519" s="54" t="s">
        <v>2426</v>
      </c>
      <c r="P519" s="54">
        <v>40562</v>
      </c>
      <c r="Q519" s="54" t="s">
        <v>2357</v>
      </c>
      <c r="R519" s="54" t="s">
        <v>2358</v>
      </c>
      <c r="S519" s="54"/>
      <c r="T519" s="54">
        <v>83829966438</v>
      </c>
      <c r="U519" s="54"/>
      <c r="V519" s="54"/>
      <c r="W519" s="54" t="s">
        <v>2359</v>
      </c>
      <c r="X519" s="54"/>
      <c r="Y519" s="54" t="s">
        <v>3762</v>
      </c>
      <c r="Z519" s="54">
        <v>1985</v>
      </c>
      <c r="AA519" s="54" t="s">
        <v>2402</v>
      </c>
      <c r="AB519" s="54" t="s">
        <v>2480</v>
      </c>
      <c r="AC519" s="54" t="s">
        <v>2363</v>
      </c>
      <c r="AD519" s="54"/>
      <c r="AE519" s="54" t="s">
        <v>3763</v>
      </c>
      <c r="AF519" s="54">
        <v>1992</v>
      </c>
      <c r="AG519" s="54" t="s">
        <v>2402</v>
      </c>
      <c r="AH519" s="54" t="s">
        <v>2365</v>
      </c>
      <c r="AI519" s="54" t="s">
        <v>2366</v>
      </c>
      <c r="AJ519" s="54"/>
      <c r="AK519" s="54"/>
      <c r="AL519" s="54"/>
      <c r="AM519" s="54"/>
      <c r="AN519" s="54"/>
      <c r="AO519" s="54"/>
      <c r="AP519" s="54"/>
      <c r="AQ519" s="54" t="s">
        <v>5147</v>
      </c>
      <c r="AR519" s="54"/>
      <c r="AS519" s="54"/>
      <c r="AT519" s="54" t="s">
        <v>2359</v>
      </c>
      <c r="AU519" s="54"/>
      <c r="AV519" s="54">
        <v>0</v>
      </c>
      <c r="AW519" s="54"/>
      <c r="AX519" s="54"/>
      <c r="AY519" s="54"/>
      <c r="AZ519" s="54"/>
      <c r="BA519" s="54"/>
      <c r="BB519" s="54" t="s">
        <v>2369</v>
      </c>
      <c r="BC519" s="54" t="s">
        <v>2370</v>
      </c>
      <c r="BD519" s="54" t="s">
        <v>2371</v>
      </c>
      <c r="BE519" s="54"/>
      <c r="BF519" s="54">
        <v>1</v>
      </c>
      <c r="BG519" s="54">
        <v>-6.9743000000000004</v>
      </c>
      <c r="BH519" s="54">
        <v>107.43559999999999</v>
      </c>
      <c r="BI519" s="54"/>
      <c r="BJ519" s="54">
        <v>33</v>
      </c>
      <c r="BK519" s="54">
        <v>135</v>
      </c>
      <c r="BL519" s="54">
        <v>58</v>
      </c>
      <c r="BM519" s="54">
        <v>2</v>
      </c>
      <c r="BN519" s="54">
        <v>3</v>
      </c>
    </row>
    <row r="520" spans="1:66" s="219" customFormat="1" hidden="1" x14ac:dyDescent="0.3">
      <c r="A520" s="54">
        <v>514</v>
      </c>
      <c r="B520" s="54" t="s">
        <v>2514</v>
      </c>
      <c r="C520" s="54" t="s">
        <v>2121</v>
      </c>
      <c r="D520" s="54" t="s">
        <v>52</v>
      </c>
      <c r="E520" s="54">
        <v>102574590</v>
      </c>
      <c r="F520" s="54" t="s">
        <v>2373</v>
      </c>
      <c r="G520" s="108">
        <v>40197</v>
      </c>
      <c r="H520" s="54">
        <v>3217111901100000</v>
      </c>
      <c r="I520" s="54" t="s">
        <v>2353</v>
      </c>
      <c r="J520" s="54" t="s">
        <v>2424</v>
      </c>
      <c r="K520" s="54">
        <v>4</v>
      </c>
      <c r="L520" s="54">
        <v>8</v>
      </c>
      <c r="M520" s="54" t="s">
        <v>2424</v>
      </c>
      <c r="N520" s="54" t="s">
        <v>2425</v>
      </c>
      <c r="O520" s="54" t="s">
        <v>2426</v>
      </c>
      <c r="P520" s="54">
        <v>40562</v>
      </c>
      <c r="Q520" s="54" t="s">
        <v>2357</v>
      </c>
      <c r="R520" s="54" t="s">
        <v>2358</v>
      </c>
      <c r="S520" s="54"/>
      <c r="T520" s="54">
        <v>83104107723</v>
      </c>
      <c r="U520" s="54"/>
      <c r="V520" s="54"/>
      <c r="W520" s="54" t="s">
        <v>2359</v>
      </c>
      <c r="X520" s="54"/>
      <c r="Y520" s="54" t="s">
        <v>2515</v>
      </c>
      <c r="Z520" s="54">
        <v>1985</v>
      </c>
      <c r="AA520" s="54" t="s">
        <v>2402</v>
      </c>
      <c r="AB520" s="54" t="s">
        <v>2362</v>
      </c>
      <c r="AC520" s="54" t="s">
        <v>2403</v>
      </c>
      <c r="AD520" s="54">
        <v>3217111304850010</v>
      </c>
      <c r="AE520" s="54" t="s">
        <v>2516</v>
      </c>
      <c r="AF520" s="54">
        <v>1989</v>
      </c>
      <c r="AG520" s="54" t="s">
        <v>2361</v>
      </c>
      <c r="AH520" s="54" t="s">
        <v>2365</v>
      </c>
      <c r="AI520" s="54" t="s">
        <v>2366</v>
      </c>
      <c r="AJ520" s="54"/>
      <c r="AK520" s="54"/>
      <c r="AL520" s="54"/>
      <c r="AM520" s="54" t="s">
        <v>2367</v>
      </c>
      <c r="AN520" s="54"/>
      <c r="AO520" s="54"/>
      <c r="AP520" s="54"/>
      <c r="AQ520" s="54" t="s">
        <v>8177</v>
      </c>
      <c r="AR520" s="54"/>
      <c r="AS520" s="54"/>
      <c r="AT520" s="54" t="s">
        <v>2359</v>
      </c>
      <c r="AU520" s="54"/>
      <c r="AV520" s="54">
        <v>0</v>
      </c>
      <c r="AW520" s="54"/>
      <c r="AX520" s="54" t="s">
        <v>2517</v>
      </c>
      <c r="AY520" s="54"/>
      <c r="AZ520" s="54"/>
      <c r="BA520" s="54"/>
      <c r="BB520" s="54" t="s">
        <v>2369</v>
      </c>
      <c r="BC520" s="54" t="s">
        <v>2370</v>
      </c>
      <c r="BD520" s="54" t="s">
        <v>2371</v>
      </c>
      <c r="BE520" s="54" t="s">
        <v>2430</v>
      </c>
      <c r="BF520" s="54">
        <v>2</v>
      </c>
      <c r="BG520" s="54">
        <v>-6.9514541999999997</v>
      </c>
      <c r="BH520" s="54">
        <v>107.4179645</v>
      </c>
      <c r="BI520" s="54"/>
      <c r="BJ520" s="54">
        <v>48</v>
      </c>
      <c r="BK520" s="54">
        <v>156</v>
      </c>
      <c r="BL520" s="54">
        <v>0</v>
      </c>
      <c r="BM520" s="54">
        <v>0</v>
      </c>
      <c r="BN520" s="54">
        <v>0</v>
      </c>
    </row>
    <row r="521" spans="1:66" s="219" customFormat="1" hidden="1" x14ac:dyDescent="0.3">
      <c r="A521" s="54">
        <v>515</v>
      </c>
      <c r="B521" s="54" t="s">
        <v>1641</v>
      </c>
      <c r="C521" s="54" t="s">
        <v>1515</v>
      </c>
      <c r="D521" s="54" t="s">
        <v>52</v>
      </c>
      <c r="E521" s="54">
        <v>93073980</v>
      </c>
      <c r="F521" s="54" t="s">
        <v>2352</v>
      </c>
      <c r="G521" s="108">
        <v>39846</v>
      </c>
      <c r="H521" s="54">
        <v>3217110202090000</v>
      </c>
      <c r="I521" s="54" t="s">
        <v>2353</v>
      </c>
      <c r="J521" s="54" t="s">
        <v>3245</v>
      </c>
      <c r="K521" s="54">
        <v>2</v>
      </c>
      <c r="L521" s="54">
        <v>2</v>
      </c>
      <c r="M521" s="54"/>
      <c r="N521" s="54" t="s">
        <v>3105</v>
      </c>
      <c r="O521" s="54" t="s">
        <v>2426</v>
      </c>
      <c r="P521" s="54">
        <v>40562</v>
      </c>
      <c r="Q521" s="54" t="s">
        <v>2357</v>
      </c>
      <c r="R521" s="54" t="s">
        <v>2358</v>
      </c>
      <c r="S521" s="54"/>
      <c r="T521" s="54">
        <v>83829835468</v>
      </c>
      <c r="U521" s="54"/>
      <c r="V521" s="54"/>
      <c r="W521" s="54" t="s">
        <v>2369</v>
      </c>
      <c r="X521" s="54" t="s">
        <v>3556</v>
      </c>
      <c r="Y521" s="54" t="s">
        <v>3557</v>
      </c>
      <c r="Z521" s="54">
        <v>1966</v>
      </c>
      <c r="AA521" s="54" t="s">
        <v>2361</v>
      </c>
      <c r="AB521" s="54" t="s">
        <v>2362</v>
      </c>
      <c r="AC521" s="54" t="s">
        <v>2403</v>
      </c>
      <c r="AD521" s="54">
        <v>3217110907660000</v>
      </c>
      <c r="AE521" s="54" t="s">
        <v>3558</v>
      </c>
      <c r="AF521" s="54">
        <v>1969</v>
      </c>
      <c r="AG521" s="54" t="s">
        <v>2361</v>
      </c>
      <c r="AH521" s="54" t="s">
        <v>2365</v>
      </c>
      <c r="AI521" s="54" t="s">
        <v>2366</v>
      </c>
      <c r="AJ521" s="54">
        <v>3217115212690020</v>
      </c>
      <c r="AK521" s="54"/>
      <c r="AL521" s="54"/>
      <c r="AM521" s="54"/>
      <c r="AN521" s="54"/>
      <c r="AO521" s="54"/>
      <c r="AP521" s="54"/>
      <c r="AQ521" s="54" t="s">
        <v>5147</v>
      </c>
      <c r="AR521" s="54"/>
      <c r="AS521" s="54"/>
      <c r="AT521" s="54" t="s">
        <v>2359</v>
      </c>
      <c r="AU521" s="54"/>
      <c r="AV521" s="54">
        <v>0</v>
      </c>
      <c r="AW521" s="54"/>
      <c r="AX521" s="54" t="s">
        <v>3559</v>
      </c>
      <c r="AY521" s="54"/>
      <c r="AZ521" s="54"/>
      <c r="BA521" s="54"/>
      <c r="BB521" s="54" t="s">
        <v>2369</v>
      </c>
      <c r="BC521" s="54" t="s">
        <v>2443</v>
      </c>
      <c r="BD521" s="54" t="s">
        <v>2371</v>
      </c>
      <c r="BE521" s="54"/>
      <c r="BF521" s="54">
        <v>1</v>
      </c>
      <c r="BG521" s="54">
        <v>-6.9668999999999999</v>
      </c>
      <c r="BH521" s="54">
        <v>107.4242</v>
      </c>
      <c r="BI521" s="54"/>
      <c r="BJ521" s="54">
        <v>39</v>
      </c>
      <c r="BK521" s="54">
        <v>143</v>
      </c>
      <c r="BL521" s="54">
        <v>55</v>
      </c>
      <c r="BM521" s="54">
        <v>2</v>
      </c>
      <c r="BN521" s="54">
        <v>1</v>
      </c>
    </row>
    <row r="522" spans="1:66" s="219" customFormat="1" hidden="1" x14ac:dyDescent="0.3">
      <c r="A522" s="54">
        <v>516</v>
      </c>
      <c r="B522" s="54" t="s">
        <v>1888</v>
      </c>
      <c r="C522" s="54" t="s">
        <v>1539</v>
      </c>
      <c r="D522" s="54" t="s">
        <v>52</v>
      </c>
      <c r="E522" s="54">
        <v>3095399254</v>
      </c>
      <c r="F522" s="54" t="s">
        <v>2373</v>
      </c>
      <c r="G522" s="108">
        <v>40105</v>
      </c>
      <c r="H522" s="54">
        <v>3217121910090000</v>
      </c>
      <c r="I522" s="54" t="s">
        <v>2353</v>
      </c>
      <c r="J522" s="54" t="s">
        <v>3656</v>
      </c>
      <c r="K522" s="54">
        <v>1</v>
      </c>
      <c r="L522" s="54">
        <v>3</v>
      </c>
      <c r="M522" s="54"/>
      <c r="N522" s="54" t="s">
        <v>2907</v>
      </c>
      <c r="O522" s="54" t="s">
        <v>2356</v>
      </c>
      <c r="P522" s="54">
        <v>40764</v>
      </c>
      <c r="Q522" s="54" t="s">
        <v>2357</v>
      </c>
      <c r="R522" s="54" t="s">
        <v>2374</v>
      </c>
      <c r="S522" s="54"/>
      <c r="T522" s="54"/>
      <c r="U522" s="54"/>
      <c r="V522" s="54"/>
      <c r="W522" s="54" t="s">
        <v>2359</v>
      </c>
      <c r="X522" s="54"/>
      <c r="Y522" s="54"/>
      <c r="Z522" s="54">
        <v>0</v>
      </c>
      <c r="AA522" s="54"/>
      <c r="AB522" s="54"/>
      <c r="AC522" s="54"/>
      <c r="AD522" s="54"/>
      <c r="AE522" s="54" t="s">
        <v>3657</v>
      </c>
      <c r="AF522" s="54">
        <v>0</v>
      </c>
      <c r="AG522" s="54"/>
      <c r="AH522" s="54" t="s">
        <v>2365</v>
      </c>
      <c r="AI522" s="54" t="s">
        <v>2366</v>
      </c>
      <c r="AJ522" s="54"/>
      <c r="AK522" s="54"/>
      <c r="AL522" s="54"/>
      <c r="AM522" s="54"/>
      <c r="AN522" s="54"/>
      <c r="AO522" s="54"/>
      <c r="AP522" s="54"/>
      <c r="AQ522" s="54" t="s">
        <v>5147</v>
      </c>
      <c r="AR522" s="54"/>
      <c r="AS522" s="54"/>
      <c r="AT522" s="54" t="s">
        <v>2359</v>
      </c>
      <c r="AU522" s="54"/>
      <c r="AV522" s="54">
        <v>0</v>
      </c>
      <c r="AW522" s="54"/>
      <c r="AX522" s="54"/>
      <c r="AY522" s="54"/>
      <c r="AZ522" s="54"/>
      <c r="BA522" s="54"/>
      <c r="BB522" s="54" t="s">
        <v>2359</v>
      </c>
      <c r="BC522" s="54"/>
      <c r="BD522" s="54" t="s">
        <v>2371</v>
      </c>
      <c r="BE522" s="54"/>
      <c r="BF522" s="54">
        <v>1</v>
      </c>
      <c r="BG522" s="54">
        <v>-6.9625000000000004</v>
      </c>
      <c r="BH522" s="54">
        <v>107.4346</v>
      </c>
      <c r="BI522" s="54"/>
      <c r="BJ522" s="54">
        <v>39</v>
      </c>
      <c r="BK522" s="54">
        <v>143</v>
      </c>
      <c r="BL522" s="54">
        <v>56</v>
      </c>
      <c r="BM522" s="54">
        <v>1</v>
      </c>
      <c r="BN522" s="54">
        <v>1</v>
      </c>
    </row>
    <row r="523" spans="1:66" hidden="1" x14ac:dyDescent="0.3">
      <c r="A523" s="3">
        <v>517</v>
      </c>
      <c r="B523" s="3" t="s">
        <v>3865</v>
      </c>
      <c r="C523" s="3" t="s">
        <v>4319</v>
      </c>
      <c r="D523" s="3" t="s">
        <v>53</v>
      </c>
      <c r="E523" s="3">
        <v>113328413</v>
      </c>
      <c r="F523" s="3" t="s">
        <v>2373</v>
      </c>
      <c r="G523" s="157">
        <v>40576</v>
      </c>
      <c r="H523" s="3">
        <v>3217124202110000</v>
      </c>
      <c r="I523" s="3" t="s">
        <v>2353</v>
      </c>
      <c r="J523" s="3" t="s">
        <v>3352</v>
      </c>
      <c r="K523" s="3">
        <v>3</v>
      </c>
      <c r="L523" s="3">
        <v>3</v>
      </c>
      <c r="M523" s="3" t="s">
        <v>2463</v>
      </c>
      <c r="N523" s="3" t="s">
        <v>4557</v>
      </c>
      <c r="O523" s="3" t="s">
        <v>2356</v>
      </c>
      <c r="P523" s="3">
        <v>40764</v>
      </c>
      <c r="Q523" s="3" t="s">
        <v>2357</v>
      </c>
      <c r="R523" s="3" t="s">
        <v>2358</v>
      </c>
      <c r="S523" s="3"/>
      <c r="T523" s="3">
        <v>83822366516</v>
      </c>
      <c r="U523" s="3"/>
      <c r="V523" s="3"/>
      <c r="W523" s="3" t="s">
        <v>2359</v>
      </c>
      <c r="X523" s="3"/>
      <c r="Y523" s="3" t="s">
        <v>5041</v>
      </c>
      <c r="Z523" s="3">
        <v>1985</v>
      </c>
      <c r="AA523" s="3" t="s">
        <v>2361</v>
      </c>
      <c r="AB523" s="3" t="s">
        <v>2362</v>
      </c>
      <c r="AC523" s="3" t="s">
        <v>2403</v>
      </c>
      <c r="AD523" s="3">
        <v>3217121304850020</v>
      </c>
      <c r="AE523" s="3" t="s">
        <v>5042</v>
      </c>
      <c r="AF523" s="3">
        <v>1990</v>
      </c>
      <c r="AG523" s="3" t="s">
        <v>2361</v>
      </c>
      <c r="AH523" s="3" t="s">
        <v>2365</v>
      </c>
      <c r="AI523" s="3" t="s">
        <v>2366</v>
      </c>
      <c r="AJ523" s="3">
        <v>3321712430390000</v>
      </c>
      <c r="AK523" s="3"/>
      <c r="AL523" s="3"/>
      <c r="AM523" s="3" t="s">
        <v>2367</v>
      </c>
      <c r="AN523" s="3"/>
      <c r="AO523" s="3"/>
      <c r="AP523" s="3"/>
      <c r="AQ523" s="3" t="s">
        <v>5150</v>
      </c>
      <c r="AR523" s="3"/>
      <c r="AS523" s="3"/>
      <c r="AT523" s="3" t="s">
        <v>2359</v>
      </c>
      <c r="AU523" s="3"/>
      <c r="AV523" s="3">
        <v>0</v>
      </c>
      <c r="AW523" s="3"/>
      <c r="AX523" s="3" t="s">
        <v>5043</v>
      </c>
      <c r="AY523" s="3"/>
      <c r="AZ523" s="3"/>
      <c r="BA523" s="3"/>
      <c r="BB523" s="3" t="s">
        <v>2369</v>
      </c>
      <c r="BC523" s="3" t="s">
        <v>2370</v>
      </c>
      <c r="BD523" s="3" t="s">
        <v>2371</v>
      </c>
      <c r="BE523" s="3" t="s">
        <v>2444</v>
      </c>
      <c r="BF523" s="3">
        <v>1</v>
      </c>
      <c r="BG523" s="3">
        <v>-6.9530000000000003</v>
      </c>
      <c r="BH523" s="3">
        <v>107.4034</v>
      </c>
      <c r="BI523" s="3">
        <v>3217120208120000</v>
      </c>
      <c r="BJ523" s="3">
        <v>43</v>
      </c>
      <c r="BK523" s="3">
        <v>138</v>
      </c>
      <c r="BL523" s="3">
        <v>55</v>
      </c>
      <c r="BM523" s="3">
        <v>1</v>
      </c>
      <c r="BN523" s="3">
        <v>2</v>
      </c>
    </row>
    <row r="524" spans="1:66" hidden="1" x14ac:dyDescent="0.3">
      <c r="A524" s="3">
        <v>518</v>
      </c>
      <c r="B524" s="3" t="s">
        <v>3840</v>
      </c>
      <c r="C524" s="3" t="s">
        <v>4288</v>
      </c>
      <c r="D524" s="3" t="s">
        <v>52</v>
      </c>
      <c r="E524" s="3">
        <v>113590164</v>
      </c>
      <c r="F524" s="3" t="s">
        <v>2377</v>
      </c>
      <c r="G524" s="157">
        <v>40682</v>
      </c>
      <c r="H524" s="3">
        <v>3217121905110000</v>
      </c>
      <c r="I524" s="3" t="s">
        <v>2353</v>
      </c>
      <c r="J524" s="3" t="s">
        <v>3278</v>
      </c>
      <c r="K524" s="3">
        <v>2</v>
      </c>
      <c r="L524" s="3">
        <v>5</v>
      </c>
      <c r="M524" s="3"/>
      <c r="N524" s="3" t="s">
        <v>4475</v>
      </c>
      <c r="O524" s="3" t="s">
        <v>2356</v>
      </c>
      <c r="P524" s="3">
        <v>40564</v>
      </c>
      <c r="Q524" s="3" t="s">
        <v>2357</v>
      </c>
      <c r="R524" s="3" t="s">
        <v>2358</v>
      </c>
      <c r="S524" s="3"/>
      <c r="T524" s="3">
        <v>83829968066</v>
      </c>
      <c r="U524" s="3"/>
      <c r="V524" s="3"/>
      <c r="W524" s="3" t="s">
        <v>2359</v>
      </c>
      <c r="X524" s="3"/>
      <c r="Y524" s="3" t="s">
        <v>3014</v>
      </c>
      <c r="Z524" s="3">
        <v>1986</v>
      </c>
      <c r="AA524" s="3" t="s">
        <v>2361</v>
      </c>
      <c r="AB524" s="3" t="s">
        <v>2362</v>
      </c>
      <c r="AC524" s="3" t="s">
        <v>2363</v>
      </c>
      <c r="AD524" s="3">
        <v>3217122001860000</v>
      </c>
      <c r="AE524" s="3" t="s">
        <v>5044</v>
      </c>
      <c r="AF524" s="3">
        <v>1988</v>
      </c>
      <c r="AG524" s="3" t="s">
        <v>2361</v>
      </c>
      <c r="AH524" s="3" t="s">
        <v>2365</v>
      </c>
      <c r="AI524" s="3" t="s">
        <v>2366</v>
      </c>
      <c r="AJ524" s="3">
        <v>3217124702880000</v>
      </c>
      <c r="AK524" s="3"/>
      <c r="AL524" s="3"/>
      <c r="AM524" s="3" t="s">
        <v>2367</v>
      </c>
      <c r="AN524" s="3"/>
      <c r="AO524" s="3"/>
      <c r="AP524" s="3"/>
      <c r="AQ524" s="3" t="s">
        <v>5149</v>
      </c>
      <c r="AR524" s="3"/>
      <c r="AS524" s="3"/>
      <c r="AT524" s="3" t="s">
        <v>2359</v>
      </c>
      <c r="AU524" s="3"/>
      <c r="AV524" s="3">
        <v>0</v>
      </c>
      <c r="AW524" s="3"/>
      <c r="AX524" s="3" t="s">
        <v>4178</v>
      </c>
      <c r="AY524" s="3"/>
      <c r="AZ524" s="3"/>
      <c r="BA524" s="3"/>
      <c r="BB524" s="3" t="s">
        <v>2369</v>
      </c>
      <c r="BC524" s="3" t="s">
        <v>2370</v>
      </c>
      <c r="BD524" s="3" t="s">
        <v>2371</v>
      </c>
      <c r="BE524" s="3" t="s">
        <v>2372</v>
      </c>
      <c r="BF524" s="3">
        <v>1</v>
      </c>
      <c r="BG524" s="3">
        <v>-6.9676999999999998</v>
      </c>
      <c r="BH524" s="3">
        <v>107.4117</v>
      </c>
      <c r="BI524" s="3"/>
      <c r="BJ524" s="3">
        <v>40</v>
      </c>
      <c r="BK524" s="3">
        <v>136</v>
      </c>
      <c r="BL524" s="3">
        <v>55</v>
      </c>
      <c r="BM524" s="3">
        <v>1</v>
      </c>
      <c r="BN524" s="3">
        <v>3</v>
      </c>
    </row>
    <row r="525" spans="1:66" s="219" customFormat="1" hidden="1" x14ac:dyDescent="0.3">
      <c r="A525" s="54">
        <v>519</v>
      </c>
      <c r="B525" s="54" t="s">
        <v>2881</v>
      </c>
      <c r="C525" s="54" t="s">
        <v>2219</v>
      </c>
      <c r="D525" s="54" t="s">
        <v>53</v>
      </c>
      <c r="E525" s="54">
        <v>103401610</v>
      </c>
      <c r="F525" s="54" t="s">
        <v>2373</v>
      </c>
      <c r="G525" s="108">
        <v>40402</v>
      </c>
      <c r="H525" s="54">
        <v>3217125208100000</v>
      </c>
      <c r="I525" s="54" t="s">
        <v>2353</v>
      </c>
      <c r="J525" s="54" t="s">
        <v>2876</v>
      </c>
      <c r="K525" s="54">
        <v>1</v>
      </c>
      <c r="L525" s="54">
        <v>7</v>
      </c>
      <c r="M525" s="54"/>
      <c r="N525" s="54" t="s">
        <v>2438</v>
      </c>
      <c r="O525" s="54" t="s">
        <v>2356</v>
      </c>
      <c r="P525" s="54">
        <v>40564</v>
      </c>
      <c r="Q525" s="54" t="s">
        <v>2357</v>
      </c>
      <c r="R525" s="54" t="s">
        <v>2358</v>
      </c>
      <c r="S525" s="54"/>
      <c r="T525" s="54">
        <v>83116572457</v>
      </c>
      <c r="U525" s="54"/>
      <c r="V525" s="54"/>
      <c r="W525" s="54" t="s">
        <v>2369</v>
      </c>
      <c r="X525" s="54" t="s">
        <v>2882</v>
      </c>
      <c r="Y525" s="54" t="s">
        <v>2883</v>
      </c>
      <c r="Z525" s="54">
        <v>1978</v>
      </c>
      <c r="AA525" s="54" t="s">
        <v>2361</v>
      </c>
      <c r="AB525" s="54" t="s">
        <v>2362</v>
      </c>
      <c r="AC525" s="54" t="s">
        <v>2403</v>
      </c>
      <c r="AD525" s="54">
        <v>3217121111780020</v>
      </c>
      <c r="AE525" s="54" t="s">
        <v>2884</v>
      </c>
      <c r="AF525" s="54">
        <v>1982</v>
      </c>
      <c r="AG525" s="54" t="s">
        <v>2361</v>
      </c>
      <c r="AH525" s="54" t="s">
        <v>2365</v>
      </c>
      <c r="AI525" s="54" t="s">
        <v>2366</v>
      </c>
      <c r="AJ525" s="54">
        <v>3217125503820010</v>
      </c>
      <c r="AK525" s="54"/>
      <c r="AL525" s="54"/>
      <c r="AM525" s="54" t="s">
        <v>2367</v>
      </c>
      <c r="AN525" s="54"/>
      <c r="AO525" s="54"/>
      <c r="AP525" s="54"/>
      <c r="AQ525" s="54" t="s">
        <v>8179</v>
      </c>
      <c r="AR525" s="54"/>
      <c r="AS525" s="54"/>
      <c r="AT525" s="54" t="s">
        <v>2359</v>
      </c>
      <c r="AU525" s="54"/>
      <c r="AV525" s="54">
        <v>0</v>
      </c>
      <c r="AW525" s="54"/>
      <c r="AX525" s="54" t="s">
        <v>2885</v>
      </c>
      <c r="AY525" s="54"/>
      <c r="AZ525" s="54"/>
      <c r="BA525" s="54"/>
      <c r="BB525" s="54" t="s">
        <v>2369</v>
      </c>
      <c r="BC525" s="54" t="s">
        <v>2443</v>
      </c>
      <c r="BD525" s="54" t="s">
        <v>2371</v>
      </c>
      <c r="BE525" s="54" t="s">
        <v>2880</v>
      </c>
      <c r="BF525" s="54">
        <v>2</v>
      </c>
      <c r="BG525" s="54">
        <v>-6.9562261019999996</v>
      </c>
      <c r="BH525" s="54">
        <v>107.3993182</v>
      </c>
      <c r="BI525" s="54"/>
      <c r="BJ525" s="54">
        <v>50</v>
      </c>
      <c r="BK525" s="54">
        <v>143</v>
      </c>
      <c r="BL525" s="54">
        <v>0</v>
      </c>
      <c r="BM525" s="54">
        <v>0</v>
      </c>
      <c r="BN525" s="54">
        <v>0</v>
      </c>
    </row>
    <row r="526" spans="1:66" hidden="1" x14ac:dyDescent="0.3">
      <c r="A526" s="3">
        <v>520</v>
      </c>
      <c r="B526" s="3" t="s">
        <v>3895</v>
      </c>
      <c r="C526" s="3" t="s">
        <v>4354</v>
      </c>
      <c r="D526" s="3" t="s">
        <v>53</v>
      </c>
      <c r="E526" s="3">
        <v>112823390</v>
      </c>
      <c r="F526" s="3" t="s">
        <v>2377</v>
      </c>
      <c r="G526" s="157">
        <v>40598</v>
      </c>
      <c r="H526" s="3">
        <v>3217126402110000</v>
      </c>
      <c r="I526" s="3" t="s">
        <v>2353</v>
      </c>
      <c r="J526" s="3" t="s">
        <v>5045</v>
      </c>
      <c r="K526" s="3">
        <v>1</v>
      </c>
      <c r="L526" s="3">
        <v>4</v>
      </c>
      <c r="M526" s="3"/>
      <c r="N526" s="3" t="s">
        <v>4527</v>
      </c>
      <c r="O526" s="3" t="s">
        <v>2356</v>
      </c>
      <c r="P526" s="3">
        <v>40764</v>
      </c>
      <c r="Q526" s="3" t="s">
        <v>2357</v>
      </c>
      <c r="R526" s="3" t="s">
        <v>2374</v>
      </c>
      <c r="S526" s="3"/>
      <c r="T526" s="3">
        <v>83100472896</v>
      </c>
      <c r="U526" s="3"/>
      <c r="V526" s="3"/>
      <c r="W526" s="3" t="s">
        <v>2359</v>
      </c>
      <c r="X526" s="3"/>
      <c r="Y526" s="3" t="s">
        <v>5046</v>
      </c>
      <c r="Z526" s="3">
        <v>1977</v>
      </c>
      <c r="AA526" s="3" t="s">
        <v>2361</v>
      </c>
      <c r="AB526" s="3" t="s">
        <v>2388</v>
      </c>
      <c r="AC526" s="3" t="s">
        <v>2403</v>
      </c>
      <c r="AD526" s="3">
        <v>3217120704770000</v>
      </c>
      <c r="AE526" s="3" t="s">
        <v>4003</v>
      </c>
      <c r="AF526" s="3">
        <v>1979</v>
      </c>
      <c r="AG526" s="3" t="s">
        <v>2361</v>
      </c>
      <c r="AH526" s="3" t="s">
        <v>2365</v>
      </c>
      <c r="AI526" s="3" t="s">
        <v>2366</v>
      </c>
      <c r="AJ526" s="3">
        <v>3217124905790000</v>
      </c>
      <c r="AK526" s="3"/>
      <c r="AL526" s="3"/>
      <c r="AM526" s="3" t="s">
        <v>2367</v>
      </c>
      <c r="AN526" s="3"/>
      <c r="AO526" s="3"/>
      <c r="AP526" s="3"/>
      <c r="AQ526" s="3" t="s">
        <v>5152</v>
      </c>
      <c r="AR526" s="3"/>
      <c r="AS526" s="3" t="s">
        <v>5047</v>
      </c>
      <c r="AT526" s="3" t="s">
        <v>2359</v>
      </c>
      <c r="AU526" s="3"/>
      <c r="AV526" s="3">
        <v>0</v>
      </c>
      <c r="AW526" s="3"/>
      <c r="AX526" s="3" t="s">
        <v>5048</v>
      </c>
      <c r="AY526" s="3"/>
      <c r="AZ526" s="3"/>
      <c r="BA526" s="3"/>
      <c r="BB526" s="3" t="s">
        <v>2369</v>
      </c>
      <c r="BC526" s="3" t="s">
        <v>2370</v>
      </c>
      <c r="BD526" s="3" t="s">
        <v>2371</v>
      </c>
      <c r="BE526" s="3" t="s">
        <v>2539</v>
      </c>
      <c r="BF526" s="3">
        <v>2</v>
      </c>
      <c r="BG526" s="3">
        <v>-6.9462000000000002</v>
      </c>
      <c r="BH526" s="3">
        <v>107.3884</v>
      </c>
      <c r="BI526" s="3">
        <v>3217120701100010</v>
      </c>
      <c r="BJ526" s="3">
        <v>42</v>
      </c>
      <c r="BK526" s="3">
        <v>137</v>
      </c>
      <c r="BL526" s="3">
        <v>48</v>
      </c>
      <c r="BM526" s="3">
        <v>1</v>
      </c>
      <c r="BN526" s="3">
        <v>1</v>
      </c>
    </row>
    <row r="527" spans="1:66" hidden="1" x14ac:dyDescent="0.3">
      <c r="A527" s="3">
        <v>521</v>
      </c>
      <c r="B527" s="3" t="s">
        <v>5049</v>
      </c>
      <c r="C527" s="3" t="s">
        <v>4320</v>
      </c>
      <c r="D527" s="3" t="s">
        <v>53</v>
      </c>
      <c r="E527" s="3">
        <v>116980922</v>
      </c>
      <c r="F527" s="3" t="s">
        <v>2373</v>
      </c>
      <c r="G527" s="157">
        <v>40832</v>
      </c>
      <c r="H527" s="3">
        <v>3217125610110000</v>
      </c>
      <c r="I527" s="3" t="s">
        <v>2353</v>
      </c>
      <c r="J527" s="3" t="s">
        <v>2418</v>
      </c>
      <c r="K527" s="3">
        <v>3</v>
      </c>
      <c r="L527" s="3">
        <v>2</v>
      </c>
      <c r="M527" s="3"/>
      <c r="N527" s="3" t="s">
        <v>2409</v>
      </c>
      <c r="O527" s="3" t="s">
        <v>2356</v>
      </c>
      <c r="P527" s="3">
        <v>40764</v>
      </c>
      <c r="Q527" s="3" t="s">
        <v>2357</v>
      </c>
      <c r="R527" s="3" t="s">
        <v>2358</v>
      </c>
      <c r="S527" s="3"/>
      <c r="T527" s="3">
        <v>88291790373</v>
      </c>
      <c r="U527" s="3"/>
      <c r="V527" s="3"/>
      <c r="W527" s="3" t="s">
        <v>2359</v>
      </c>
      <c r="X527" s="3"/>
      <c r="Y527" s="3" t="s">
        <v>5050</v>
      </c>
      <c r="Z527" s="3">
        <v>1974</v>
      </c>
      <c r="AA527" s="3" t="s">
        <v>2390</v>
      </c>
      <c r="AB527" s="3" t="s">
        <v>2493</v>
      </c>
      <c r="AC527" s="3" t="s">
        <v>2666</v>
      </c>
      <c r="AD527" s="3">
        <v>3217121209740000</v>
      </c>
      <c r="AE527" s="3" t="s">
        <v>5051</v>
      </c>
      <c r="AF527" s="3">
        <v>1980</v>
      </c>
      <c r="AG527" s="3" t="s">
        <v>2390</v>
      </c>
      <c r="AH527" s="3" t="s">
        <v>2365</v>
      </c>
      <c r="AI527" s="3" t="s">
        <v>2366</v>
      </c>
      <c r="AJ527" s="3">
        <v>3217125410800000</v>
      </c>
      <c r="AK527" s="3"/>
      <c r="AL527" s="3"/>
      <c r="AM527" s="3" t="s">
        <v>2367</v>
      </c>
      <c r="AN527" s="3"/>
      <c r="AO527" s="3"/>
      <c r="AP527" s="3"/>
      <c r="AQ527" s="3" t="s">
        <v>5150</v>
      </c>
      <c r="AR527" s="3"/>
      <c r="AS527" s="3"/>
      <c r="AT527" s="3" t="s">
        <v>2359</v>
      </c>
      <c r="AU527" s="3"/>
      <c r="AV527" s="3">
        <v>0</v>
      </c>
      <c r="AW527" s="3"/>
      <c r="AX527" s="3" t="s">
        <v>3969</v>
      </c>
      <c r="AY527" s="3"/>
      <c r="AZ527" s="3"/>
      <c r="BA527" s="3"/>
      <c r="BB527" s="3" t="s">
        <v>2359</v>
      </c>
      <c r="BC527" s="3"/>
      <c r="BD527" s="3" t="s">
        <v>2371</v>
      </c>
      <c r="BE527" s="3" t="s">
        <v>2422</v>
      </c>
      <c r="BF527" s="3">
        <v>2</v>
      </c>
      <c r="BG527" s="3">
        <v>-6.9554</v>
      </c>
      <c r="BH527" s="3">
        <v>107.39319999999999</v>
      </c>
      <c r="BI527" s="3">
        <v>3217121209110040</v>
      </c>
      <c r="BJ527" s="3">
        <v>40</v>
      </c>
      <c r="BK527" s="3">
        <v>138</v>
      </c>
      <c r="BL527" s="3">
        <v>54</v>
      </c>
      <c r="BM527" s="3">
        <v>1</v>
      </c>
      <c r="BN527" s="3">
        <v>2</v>
      </c>
    </row>
    <row r="528" spans="1:66" s="219" customFormat="1" hidden="1" x14ac:dyDescent="0.3">
      <c r="A528" s="54">
        <v>522</v>
      </c>
      <c r="B528" s="54" t="s">
        <v>1713</v>
      </c>
      <c r="C528" s="54" t="s">
        <v>2220</v>
      </c>
      <c r="D528" s="54" t="s">
        <v>53</v>
      </c>
      <c r="E528" s="54">
        <v>106730524</v>
      </c>
      <c r="F528" s="54" t="s">
        <v>2352</v>
      </c>
      <c r="G528" s="108">
        <v>40190</v>
      </c>
      <c r="H528" s="54">
        <v>3217125201100000</v>
      </c>
      <c r="I528" s="54" t="s">
        <v>2353</v>
      </c>
      <c r="J528" s="54" t="s">
        <v>2886</v>
      </c>
      <c r="K528" s="54">
        <v>2</v>
      </c>
      <c r="L528" s="54">
        <v>5</v>
      </c>
      <c r="M528" s="54" t="s">
        <v>2887</v>
      </c>
      <c r="N528" s="54" t="s">
        <v>2399</v>
      </c>
      <c r="O528" s="54" t="s">
        <v>2356</v>
      </c>
      <c r="P528" s="54">
        <v>40564</v>
      </c>
      <c r="Q528" s="54" t="s">
        <v>2357</v>
      </c>
      <c r="R528" s="54" t="s">
        <v>2358</v>
      </c>
      <c r="S528" s="54"/>
      <c r="T528" s="54">
        <v>83148570437</v>
      </c>
      <c r="U528" s="54"/>
      <c r="V528" s="54"/>
      <c r="W528" s="54" t="s">
        <v>2359</v>
      </c>
      <c r="X528" s="54"/>
      <c r="Y528" s="54" t="s">
        <v>2888</v>
      </c>
      <c r="Z528" s="54">
        <v>1983</v>
      </c>
      <c r="AA528" s="54" t="s">
        <v>2402</v>
      </c>
      <c r="AB528" s="54" t="s">
        <v>2362</v>
      </c>
      <c r="AC528" s="54" t="s">
        <v>2363</v>
      </c>
      <c r="AD528" s="54">
        <v>3217120812830000</v>
      </c>
      <c r="AE528" s="54" t="s">
        <v>2889</v>
      </c>
      <c r="AF528" s="54">
        <v>1988</v>
      </c>
      <c r="AG528" s="54" t="s">
        <v>2402</v>
      </c>
      <c r="AH528" s="54" t="s">
        <v>2365</v>
      </c>
      <c r="AI528" s="54" t="s">
        <v>2366</v>
      </c>
      <c r="AJ528" s="54">
        <v>3217125403880010</v>
      </c>
      <c r="AK528" s="54"/>
      <c r="AL528" s="54"/>
      <c r="AM528" s="54" t="s">
        <v>2367</v>
      </c>
      <c r="AN528" s="54"/>
      <c r="AO528" s="54"/>
      <c r="AP528" s="54"/>
      <c r="AQ528" s="54" t="s">
        <v>8179</v>
      </c>
      <c r="AR528" s="54"/>
      <c r="AS528" s="54"/>
      <c r="AT528" s="54" t="s">
        <v>2359</v>
      </c>
      <c r="AU528" s="54"/>
      <c r="AV528" s="54">
        <v>0</v>
      </c>
      <c r="AW528" s="54"/>
      <c r="AX528" s="54"/>
      <c r="AY528" s="54"/>
      <c r="AZ528" s="54"/>
      <c r="BA528" s="54"/>
      <c r="BB528" s="54" t="s">
        <v>2369</v>
      </c>
      <c r="BC528" s="54" t="s">
        <v>2370</v>
      </c>
      <c r="BD528" s="54" t="s">
        <v>2371</v>
      </c>
      <c r="BE528" s="54" t="s">
        <v>2406</v>
      </c>
      <c r="BF528" s="54">
        <v>1</v>
      </c>
      <c r="BG528" s="54">
        <v>-6.95552321</v>
      </c>
      <c r="BH528" s="54">
        <v>107.3886108</v>
      </c>
      <c r="BI528" s="54"/>
      <c r="BJ528" s="54">
        <v>48</v>
      </c>
      <c r="BK528" s="54">
        <v>141</v>
      </c>
      <c r="BL528" s="54">
        <v>0</v>
      </c>
      <c r="BM528" s="54">
        <v>0</v>
      </c>
      <c r="BN528" s="54">
        <v>0</v>
      </c>
    </row>
    <row r="529" spans="1:66" s="219" customFormat="1" hidden="1" x14ac:dyDescent="0.3">
      <c r="A529" s="54">
        <v>523</v>
      </c>
      <c r="B529" s="54" t="s">
        <v>2518</v>
      </c>
      <c r="C529" s="54" t="s">
        <v>2122</v>
      </c>
      <c r="D529" s="54" t="s">
        <v>53</v>
      </c>
      <c r="E529" s="54">
        <v>102467250</v>
      </c>
      <c r="F529" s="54" t="s">
        <v>2373</v>
      </c>
      <c r="G529" s="108">
        <v>40207</v>
      </c>
      <c r="H529" s="54">
        <v>3217116901100000</v>
      </c>
      <c r="I529" s="54" t="s">
        <v>2353</v>
      </c>
      <c r="J529" s="54" t="s">
        <v>2424</v>
      </c>
      <c r="K529" s="54">
        <v>2</v>
      </c>
      <c r="L529" s="54">
        <v>8</v>
      </c>
      <c r="M529" s="54" t="s">
        <v>2424</v>
      </c>
      <c r="N529" s="54" t="s">
        <v>2425</v>
      </c>
      <c r="O529" s="54" t="s">
        <v>2426</v>
      </c>
      <c r="P529" s="54">
        <v>40562</v>
      </c>
      <c r="Q529" s="54" t="s">
        <v>2357</v>
      </c>
      <c r="R529" s="54" t="s">
        <v>2358</v>
      </c>
      <c r="S529" s="54"/>
      <c r="T529" s="54">
        <v>81295285812</v>
      </c>
      <c r="U529" s="54"/>
      <c r="V529" s="54"/>
      <c r="W529" s="54" t="s">
        <v>2359</v>
      </c>
      <c r="X529" s="54"/>
      <c r="Y529" s="54" t="s">
        <v>2519</v>
      </c>
      <c r="Z529" s="54">
        <v>1972</v>
      </c>
      <c r="AA529" s="54" t="s">
        <v>2361</v>
      </c>
      <c r="AB529" s="54" t="s">
        <v>2362</v>
      </c>
      <c r="AC529" s="54" t="s">
        <v>2403</v>
      </c>
      <c r="AD529" s="54"/>
      <c r="AE529" s="54" t="s">
        <v>2520</v>
      </c>
      <c r="AF529" s="54">
        <v>1983</v>
      </c>
      <c r="AG529" s="54" t="s">
        <v>2361</v>
      </c>
      <c r="AH529" s="54" t="s">
        <v>2365</v>
      </c>
      <c r="AI529" s="54" t="s">
        <v>2366</v>
      </c>
      <c r="AJ529" s="54"/>
      <c r="AK529" s="54"/>
      <c r="AL529" s="54"/>
      <c r="AM529" s="54" t="s">
        <v>2367</v>
      </c>
      <c r="AN529" s="54"/>
      <c r="AO529" s="54"/>
      <c r="AP529" s="54"/>
      <c r="AQ529" s="54" t="s">
        <v>8177</v>
      </c>
      <c r="AR529" s="54"/>
      <c r="AS529" s="54"/>
      <c r="AT529" s="54" t="s">
        <v>2359</v>
      </c>
      <c r="AU529" s="54"/>
      <c r="AV529" s="54">
        <v>0</v>
      </c>
      <c r="AW529" s="54"/>
      <c r="AX529" s="54" t="s">
        <v>2521</v>
      </c>
      <c r="AY529" s="54"/>
      <c r="AZ529" s="54"/>
      <c r="BA529" s="54"/>
      <c r="BB529" s="54" t="s">
        <v>2369</v>
      </c>
      <c r="BC529" s="54" t="s">
        <v>2370</v>
      </c>
      <c r="BD529" s="54" t="s">
        <v>2371</v>
      </c>
      <c r="BE529" s="54" t="s">
        <v>2430</v>
      </c>
      <c r="BF529" s="54">
        <v>5</v>
      </c>
      <c r="BG529" s="54">
        <v>-6.9514541999999997</v>
      </c>
      <c r="BH529" s="54">
        <v>107.4179645</v>
      </c>
      <c r="BI529" s="54"/>
      <c r="BJ529" s="54">
        <v>40</v>
      </c>
      <c r="BK529" s="54">
        <v>138</v>
      </c>
      <c r="BL529" s="54">
        <v>0</v>
      </c>
      <c r="BM529" s="54">
        <v>0</v>
      </c>
      <c r="BN529" s="54">
        <v>0</v>
      </c>
    </row>
    <row r="530" spans="1:66" hidden="1" x14ac:dyDescent="0.3">
      <c r="A530" s="3">
        <v>524</v>
      </c>
      <c r="B530" s="3" t="s">
        <v>3896</v>
      </c>
      <c r="C530" s="3" t="s">
        <v>4355</v>
      </c>
      <c r="D530" s="3" t="s">
        <v>53</v>
      </c>
      <c r="E530" s="3">
        <v>3119609511</v>
      </c>
      <c r="F530" s="3" t="s">
        <v>2352</v>
      </c>
      <c r="G530" s="157">
        <v>40702</v>
      </c>
      <c r="H530" s="3">
        <v>3217124806110000</v>
      </c>
      <c r="I530" s="3" t="s">
        <v>2353</v>
      </c>
      <c r="J530" s="3" t="s">
        <v>3706</v>
      </c>
      <c r="K530" s="3">
        <v>1</v>
      </c>
      <c r="L530" s="3">
        <v>9</v>
      </c>
      <c r="M530" s="3"/>
      <c r="N530" s="3" t="s">
        <v>4527</v>
      </c>
      <c r="O530" s="3" t="s">
        <v>2356</v>
      </c>
      <c r="P530" s="3">
        <v>40551</v>
      </c>
      <c r="Q530" s="3" t="s">
        <v>2357</v>
      </c>
      <c r="R530" s="3" t="s">
        <v>2374</v>
      </c>
      <c r="S530" s="3"/>
      <c r="T530" s="3"/>
      <c r="U530" s="3"/>
      <c r="V530" s="3"/>
      <c r="W530" s="3" t="s">
        <v>2369</v>
      </c>
      <c r="X530" s="3"/>
      <c r="Y530" s="3" t="s">
        <v>3991</v>
      </c>
      <c r="Z530" s="3">
        <v>1972</v>
      </c>
      <c r="AA530" s="3" t="s">
        <v>2361</v>
      </c>
      <c r="AB530" s="3" t="s">
        <v>2362</v>
      </c>
      <c r="AC530" s="3" t="s">
        <v>2363</v>
      </c>
      <c r="AD530" s="3">
        <v>3217120105720010</v>
      </c>
      <c r="AE530" s="3" t="s">
        <v>3992</v>
      </c>
      <c r="AF530" s="3">
        <v>1978</v>
      </c>
      <c r="AG530" s="3" t="s">
        <v>2361</v>
      </c>
      <c r="AH530" s="3" t="s">
        <v>2365</v>
      </c>
      <c r="AI530" s="3" t="s">
        <v>2366</v>
      </c>
      <c r="AJ530" s="3">
        <v>3217124808780010</v>
      </c>
      <c r="AK530" s="3"/>
      <c r="AL530" s="3"/>
      <c r="AM530" s="3"/>
      <c r="AN530" s="3"/>
      <c r="AO530" s="3"/>
      <c r="AP530" s="3"/>
      <c r="AQ530" s="3" t="s">
        <v>5152</v>
      </c>
      <c r="AR530" s="3"/>
      <c r="AS530" s="3"/>
      <c r="AT530" s="3" t="s">
        <v>2359</v>
      </c>
      <c r="AU530" s="3"/>
      <c r="AV530" s="3">
        <v>1</v>
      </c>
      <c r="AW530" s="3"/>
      <c r="AX530" s="3" t="s">
        <v>3990</v>
      </c>
      <c r="AY530" s="3"/>
      <c r="AZ530" s="3"/>
      <c r="BA530" s="3"/>
      <c r="BB530" s="3" t="s">
        <v>2369</v>
      </c>
      <c r="BC530" s="3" t="s">
        <v>2370</v>
      </c>
      <c r="BD530" s="3" t="s">
        <v>2371</v>
      </c>
      <c r="BE530" s="3" t="s">
        <v>5052</v>
      </c>
      <c r="BF530" s="3">
        <v>4</v>
      </c>
      <c r="BG530" s="3">
        <v>-6.9625000000000004</v>
      </c>
      <c r="BH530" s="3">
        <v>107.4346</v>
      </c>
      <c r="BI530" s="3">
        <v>3217122602080020</v>
      </c>
      <c r="BJ530" s="3">
        <v>39</v>
      </c>
      <c r="BK530" s="3">
        <v>138</v>
      </c>
      <c r="BL530" s="3">
        <v>47</v>
      </c>
      <c r="BM530" s="3">
        <v>1</v>
      </c>
      <c r="BN530" s="3">
        <v>3</v>
      </c>
    </row>
    <row r="531" spans="1:66" x14ac:dyDescent="0.3">
      <c r="A531" s="3">
        <v>525</v>
      </c>
      <c r="B531" s="3" t="s">
        <v>3896</v>
      </c>
      <c r="C531" s="3" t="s">
        <v>4417</v>
      </c>
      <c r="D531" s="3" t="s">
        <v>53</v>
      </c>
      <c r="E531" s="3">
        <v>109330060</v>
      </c>
      <c r="F531" s="3" t="s">
        <v>2377</v>
      </c>
      <c r="G531" s="157">
        <v>40470</v>
      </c>
      <c r="H531" s="3">
        <v>3217115910100000</v>
      </c>
      <c r="I531" s="3" t="s">
        <v>2353</v>
      </c>
      <c r="J531" s="3" t="s">
        <v>2839</v>
      </c>
      <c r="K531" s="3">
        <v>1</v>
      </c>
      <c r="L531" s="3">
        <v>9</v>
      </c>
      <c r="M531" s="3"/>
      <c r="N531" s="3" t="s">
        <v>4508</v>
      </c>
      <c r="O531" s="3" t="s">
        <v>2426</v>
      </c>
      <c r="P531" s="3">
        <v>40562</v>
      </c>
      <c r="Q531" s="3" t="s">
        <v>2357</v>
      </c>
      <c r="R531" s="3" t="s">
        <v>2374</v>
      </c>
      <c r="S531" s="3"/>
      <c r="T531" s="3">
        <v>83829966443</v>
      </c>
      <c r="U531" s="3"/>
      <c r="V531" s="3"/>
      <c r="W531" s="3" t="s">
        <v>2359</v>
      </c>
      <c r="X531" s="3"/>
      <c r="Y531" s="3" t="s">
        <v>4082</v>
      </c>
      <c r="Z531" s="3">
        <v>1974</v>
      </c>
      <c r="AA531" s="3" t="s">
        <v>2361</v>
      </c>
      <c r="AB531" s="3" t="s">
        <v>2362</v>
      </c>
      <c r="AC531" s="3" t="s">
        <v>2403</v>
      </c>
      <c r="AD531" s="3">
        <v>3217110604740010</v>
      </c>
      <c r="AE531" s="3" t="s">
        <v>3039</v>
      </c>
      <c r="AF531" s="3">
        <v>1980</v>
      </c>
      <c r="AG531" s="3" t="s">
        <v>2367</v>
      </c>
      <c r="AH531" s="3" t="s">
        <v>2365</v>
      </c>
      <c r="AI531" s="3" t="s">
        <v>2366</v>
      </c>
      <c r="AJ531" s="3">
        <v>3217116005800000</v>
      </c>
      <c r="AK531" s="3"/>
      <c r="AL531" s="3"/>
      <c r="AM531" s="3" t="s">
        <v>2367</v>
      </c>
      <c r="AN531" s="3"/>
      <c r="AO531" s="3"/>
      <c r="AP531" s="3"/>
      <c r="AQ531" s="3" t="s">
        <v>5148</v>
      </c>
      <c r="AR531" s="3"/>
      <c r="AS531" s="3"/>
      <c r="AT531" s="3" t="s">
        <v>2359</v>
      </c>
      <c r="AU531" s="3"/>
      <c r="AV531" s="3">
        <v>0</v>
      </c>
      <c r="AW531" s="3"/>
      <c r="AX531" s="3">
        <v>9530023317</v>
      </c>
      <c r="AY531" s="3"/>
      <c r="AZ531" s="3"/>
      <c r="BA531" s="3"/>
      <c r="BB531" s="3" t="s">
        <v>2369</v>
      </c>
      <c r="BC531" s="3" t="s">
        <v>2370</v>
      </c>
      <c r="BD531" s="3" t="s">
        <v>2371</v>
      </c>
      <c r="BE531" s="3" t="s">
        <v>2691</v>
      </c>
      <c r="BF531" s="3">
        <v>3</v>
      </c>
      <c r="BG531" s="3">
        <v>-6.9743000000000004</v>
      </c>
      <c r="BH531" s="3">
        <v>107.43559999999999</v>
      </c>
      <c r="BI531" s="3"/>
      <c r="BJ531" s="3">
        <v>28</v>
      </c>
      <c r="BK531" s="3">
        <v>130</v>
      </c>
      <c r="BL531" s="3">
        <v>0</v>
      </c>
      <c r="BM531" s="3">
        <v>0</v>
      </c>
      <c r="BN531" s="3">
        <v>1</v>
      </c>
    </row>
    <row r="532" spans="1:66" s="219" customFormat="1" hidden="1" x14ac:dyDescent="0.3">
      <c r="A532" s="54">
        <v>526</v>
      </c>
      <c r="B532" s="54" t="s">
        <v>1812</v>
      </c>
      <c r="C532" s="54" t="s">
        <v>1451</v>
      </c>
      <c r="D532" s="54" t="s">
        <v>53</v>
      </c>
      <c r="E532" s="54">
        <v>93163462</v>
      </c>
      <c r="F532" s="54" t="s">
        <v>2446</v>
      </c>
      <c r="G532" s="108">
        <v>39861</v>
      </c>
      <c r="H532" s="54">
        <v>3217115702090000</v>
      </c>
      <c r="I532" s="54" t="s">
        <v>2353</v>
      </c>
      <c r="J532" s="54" t="s">
        <v>3097</v>
      </c>
      <c r="K532" s="54">
        <v>4</v>
      </c>
      <c r="L532" s="54">
        <v>8</v>
      </c>
      <c r="M532" s="54" t="s">
        <v>2530</v>
      </c>
      <c r="N532" s="54" t="s">
        <v>2425</v>
      </c>
      <c r="O532" s="54" t="s">
        <v>2426</v>
      </c>
      <c r="P532" s="54">
        <v>40562</v>
      </c>
      <c r="Q532" s="54" t="s">
        <v>2357</v>
      </c>
      <c r="R532" s="54" t="s">
        <v>2358</v>
      </c>
      <c r="S532" s="54"/>
      <c r="T532" s="54">
        <v>83829122273</v>
      </c>
      <c r="U532" s="54"/>
      <c r="V532" s="54"/>
      <c r="W532" s="54" t="s">
        <v>2359</v>
      </c>
      <c r="X532" s="54"/>
      <c r="Y532" s="54" t="s">
        <v>3310</v>
      </c>
      <c r="Z532" s="54">
        <v>1973</v>
      </c>
      <c r="AA532" s="54" t="s">
        <v>2390</v>
      </c>
      <c r="AB532" s="54" t="s">
        <v>2362</v>
      </c>
      <c r="AC532" s="54" t="s">
        <v>2403</v>
      </c>
      <c r="AD532" s="54"/>
      <c r="AE532" s="54" t="s">
        <v>3311</v>
      </c>
      <c r="AF532" s="54">
        <v>1982</v>
      </c>
      <c r="AG532" s="54" t="s">
        <v>2390</v>
      </c>
      <c r="AH532" s="54" t="s">
        <v>2365</v>
      </c>
      <c r="AI532" s="54" t="s">
        <v>2366</v>
      </c>
      <c r="AJ532" s="54"/>
      <c r="AK532" s="54"/>
      <c r="AL532" s="54"/>
      <c r="AM532" s="54"/>
      <c r="AN532" s="54"/>
      <c r="AO532" s="54"/>
      <c r="AP532" s="54"/>
      <c r="AQ532" s="54" t="s">
        <v>5147</v>
      </c>
      <c r="AR532" s="54"/>
      <c r="AS532" s="54"/>
      <c r="AT532" s="54" t="s">
        <v>2359</v>
      </c>
      <c r="AU532" s="54"/>
      <c r="AV532" s="54">
        <v>0</v>
      </c>
      <c r="AW532" s="54"/>
      <c r="AX532" s="54" t="s">
        <v>3312</v>
      </c>
      <c r="AY532" s="54"/>
      <c r="AZ532" s="54"/>
      <c r="BA532" s="54"/>
      <c r="BB532" s="54" t="s">
        <v>2369</v>
      </c>
      <c r="BC532" s="54" t="s">
        <v>2370</v>
      </c>
      <c r="BD532" s="54" t="s">
        <v>2371</v>
      </c>
      <c r="BE532" s="54"/>
      <c r="BF532" s="54">
        <v>2</v>
      </c>
      <c r="BG532" s="54">
        <v>-6.9945282000000004</v>
      </c>
      <c r="BH532" s="54">
        <v>107.3968854</v>
      </c>
      <c r="BI532" s="54"/>
      <c r="BJ532" s="54">
        <v>39</v>
      </c>
      <c r="BK532" s="54">
        <v>139</v>
      </c>
      <c r="BL532" s="54">
        <v>55</v>
      </c>
      <c r="BM532" s="54">
        <v>2</v>
      </c>
      <c r="BN532" s="54">
        <v>2</v>
      </c>
    </row>
    <row r="533" spans="1:66" s="219" customFormat="1" hidden="1" x14ac:dyDescent="0.3">
      <c r="A533" s="54">
        <v>527</v>
      </c>
      <c r="B533" s="54" t="s">
        <v>1356</v>
      </c>
      <c r="C533" s="54" t="s">
        <v>1450</v>
      </c>
      <c r="D533" s="54" t="s">
        <v>53</v>
      </c>
      <c r="E533" s="54">
        <v>99683028</v>
      </c>
      <c r="F533" s="54" t="s">
        <v>2373</v>
      </c>
      <c r="G533" s="108">
        <v>40040</v>
      </c>
      <c r="H533" s="54">
        <v>3217115508090000</v>
      </c>
      <c r="I533" s="54" t="s">
        <v>2353</v>
      </c>
      <c r="J533" s="54" t="s">
        <v>3313</v>
      </c>
      <c r="K533" s="54">
        <v>2</v>
      </c>
      <c r="L533" s="54">
        <v>14</v>
      </c>
      <c r="M533" s="54" t="s">
        <v>2582</v>
      </c>
      <c r="N533" s="54" t="s">
        <v>2425</v>
      </c>
      <c r="O533" s="54" t="s">
        <v>2426</v>
      </c>
      <c r="P533" s="54">
        <v>40562</v>
      </c>
      <c r="Q533" s="54" t="s">
        <v>2357</v>
      </c>
      <c r="R533" s="54" t="s">
        <v>2358</v>
      </c>
      <c r="S533" s="54"/>
      <c r="T533" s="54">
        <v>83829980492</v>
      </c>
      <c r="U533" s="54"/>
      <c r="V533" s="54"/>
      <c r="W533" s="54" t="s">
        <v>2359</v>
      </c>
      <c r="X533" s="54" t="s">
        <v>3314</v>
      </c>
      <c r="Y533" s="54" t="s">
        <v>3315</v>
      </c>
      <c r="Z533" s="54">
        <v>1976</v>
      </c>
      <c r="AA533" s="54" t="s">
        <v>2361</v>
      </c>
      <c r="AB533" s="54" t="s">
        <v>2362</v>
      </c>
      <c r="AC533" s="54" t="s">
        <v>2403</v>
      </c>
      <c r="AD533" s="54"/>
      <c r="AE533" s="54" t="s">
        <v>2837</v>
      </c>
      <c r="AF533" s="54">
        <v>1984</v>
      </c>
      <c r="AG533" s="54" t="s">
        <v>2361</v>
      </c>
      <c r="AH533" s="54" t="s">
        <v>2365</v>
      </c>
      <c r="AI533" s="54" t="s">
        <v>2366</v>
      </c>
      <c r="AJ533" s="54"/>
      <c r="AK533" s="54"/>
      <c r="AL533" s="54"/>
      <c r="AM533" s="54"/>
      <c r="AN533" s="54"/>
      <c r="AO533" s="54"/>
      <c r="AP533" s="54"/>
      <c r="AQ533" s="54" t="s">
        <v>5147</v>
      </c>
      <c r="AR533" s="54"/>
      <c r="AS533" s="54"/>
      <c r="AT533" s="54" t="s">
        <v>2369</v>
      </c>
      <c r="AU533" s="54" t="s">
        <v>3314</v>
      </c>
      <c r="AV533" s="54">
        <v>0</v>
      </c>
      <c r="AW533" s="54"/>
      <c r="AX533" s="54" t="s">
        <v>3316</v>
      </c>
      <c r="AY533" s="54" t="s">
        <v>2460</v>
      </c>
      <c r="AZ533" s="54">
        <v>367101002730504</v>
      </c>
      <c r="BA533" s="54" t="s">
        <v>3317</v>
      </c>
      <c r="BB533" s="54" t="s">
        <v>2369</v>
      </c>
      <c r="BC533" s="54"/>
      <c r="BD533" s="54" t="s">
        <v>2371</v>
      </c>
      <c r="BE533" s="54"/>
      <c r="BF533" s="54">
        <v>1</v>
      </c>
      <c r="BG533" s="54">
        <v>-6.9514541999999997</v>
      </c>
      <c r="BH533" s="54">
        <v>107.4179645</v>
      </c>
      <c r="BI533" s="54"/>
      <c r="BJ533" s="54">
        <v>132</v>
      </c>
      <c r="BK533" s="54">
        <v>143</v>
      </c>
      <c r="BL533" s="54">
        <v>55</v>
      </c>
      <c r="BM533" s="54">
        <v>1</v>
      </c>
      <c r="BN533" s="54">
        <v>2</v>
      </c>
    </row>
    <row r="534" spans="1:66" hidden="1" x14ac:dyDescent="0.3">
      <c r="A534" s="3">
        <v>528</v>
      </c>
      <c r="B534" s="3" t="s">
        <v>5053</v>
      </c>
      <c r="C534" s="3" t="s">
        <v>4384</v>
      </c>
      <c r="D534" s="3" t="s">
        <v>53</v>
      </c>
      <c r="E534" s="3">
        <v>115297036</v>
      </c>
      <c r="F534" s="3" t="s">
        <v>2373</v>
      </c>
      <c r="G534" s="157">
        <v>40664</v>
      </c>
      <c r="H534" s="3">
        <v>3217114105110000</v>
      </c>
      <c r="I534" s="3" t="s">
        <v>2353</v>
      </c>
      <c r="J534" s="3" t="s">
        <v>2593</v>
      </c>
      <c r="K534" s="3">
        <v>4</v>
      </c>
      <c r="L534" s="3">
        <v>13</v>
      </c>
      <c r="M534" s="3"/>
      <c r="N534" s="3" t="s">
        <v>4508</v>
      </c>
      <c r="O534" s="3" t="s">
        <v>2426</v>
      </c>
      <c r="P534" s="3">
        <v>40561</v>
      </c>
      <c r="Q534" s="3" t="s">
        <v>2357</v>
      </c>
      <c r="R534" s="3" t="s">
        <v>2358</v>
      </c>
      <c r="S534" s="3"/>
      <c r="T534" s="3"/>
      <c r="U534" s="3"/>
      <c r="V534" s="3"/>
      <c r="W534" s="3" t="s">
        <v>2359</v>
      </c>
      <c r="X534" s="3"/>
      <c r="Y534" s="3" t="s">
        <v>5054</v>
      </c>
      <c r="Z534" s="3">
        <v>1990</v>
      </c>
      <c r="AA534" s="3" t="s">
        <v>2390</v>
      </c>
      <c r="AB534" s="3" t="s">
        <v>2362</v>
      </c>
      <c r="AC534" s="3" t="s">
        <v>2363</v>
      </c>
      <c r="AD534" s="3">
        <v>3217112312900000</v>
      </c>
      <c r="AE534" s="3" t="s">
        <v>5055</v>
      </c>
      <c r="AF534" s="3">
        <v>1993</v>
      </c>
      <c r="AG534" s="3" t="s">
        <v>2390</v>
      </c>
      <c r="AH534" s="3" t="s">
        <v>2365</v>
      </c>
      <c r="AI534" s="3" t="s">
        <v>2366</v>
      </c>
      <c r="AJ534" s="3">
        <v>3217115711930010</v>
      </c>
      <c r="AK534" s="3"/>
      <c r="AL534" s="3"/>
      <c r="AM534" s="3"/>
      <c r="AN534" s="3"/>
      <c r="AO534" s="3"/>
      <c r="AP534" s="3"/>
      <c r="AQ534" s="3" t="s">
        <v>5151</v>
      </c>
      <c r="AR534" s="3"/>
      <c r="AS534" s="3"/>
      <c r="AT534" s="3" t="s">
        <v>2359</v>
      </c>
      <c r="AU534" s="3"/>
      <c r="AV534" s="3">
        <v>1</v>
      </c>
      <c r="AW534" s="3"/>
      <c r="AX534" s="3" t="s">
        <v>4129</v>
      </c>
      <c r="AY534" s="3"/>
      <c r="AZ534" s="3"/>
      <c r="BA534" s="3"/>
      <c r="BB534" s="3" t="s">
        <v>2369</v>
      </c>
      <c r="BC534" s="3" t="s">
        <v>2370</v>
      </c>
      <c r="BD534" s="3" t="s">
        <v>2371</v>
      </c>
      <c r="BE534" s="3"/>
      <c r="BF534" s="3">
        <v>1</v>
      </c>
      <c r="BG534" s="3">
        <v>-6.9625000000000004</v>
      </c>
      <c r="BH534" s="3">
        <v>107.4346</v>
      </c>
      <c r="BI534" s="3">
        <v>3217112202170000</v>
      </c>
      <c r="BJ534" s="3">
        <v>51</v>
      </c>
      <c r="BK534" s="3">
        <v>144</v>
      </c>
      <c r="BL534" s="3">
        <v>62</v>
      </c>
      <c r="BM534" s="3">
        <v>1</v>
      </c>
      <c r="BN534" s="3">
        <v>1</v>
      </c>
    </row>
    <row r="535" spans="1:66" s="219" customFormat="1" hidden="1" x14ac:dyDescent="0.3">
      <c r="A535" s="54">
        <v>529</v>
      </c>
      <c r="B535" s="54" t="s">
        <v>2522</v>
      </c>
      <c r="C535" s="54" t="s">
        <v>2123</v>
      </c>
      <c r="D535" s="54" t="s">
        <v>53</v>
      </c>
      <c r="E535" s="54">
        <v>92688203</v>
      </c>
      <c r="F535" s="54" t="s">
        <v>2373</v>
      </c>
      <c r="G535" s="108">
        <v>40176</v>
      </c>
      <c r="H535" s="54">
        <v>3217116912090000</v>
      </c>
      <c r="I535" s="54" t="s">
        <v>2353</v>
      </c>
      <c r="J535" s="54" t="s">
        <v>2424</v>
      </c>
      <c r="K535" s="54">
        <v>2</v>
      </c>
      <c r="L535" s="54">
        <v>8</v>
      </c>
      <c r="M535" s="54" t="s">
        <v>2424</v>
      </c>
      <c r="N535" s="54" t="s">
        <v>2425</v>
      </c>
      <c r="O535" s="54" t="s">
        <v>2426</v>
      </c>
      <c r="P535" s="54">
        <v>40562</v>
      </c>
      <c r="Q535" s="54" t="s">
        <v>2357</v>
      </c>
      <c r="R535" s="54" t="s">
        <v>2358</v>
      </c>
      <c r="S535" s="54"/>
      <c r="T535" s="54">
        <v>859102697221</v>
      </c>
      <c r="U535" s="54"/>
      <c r="V535" s="54"/>
      <c r="W535" s="54" t="s">
        <v>2369</v>
      </c>
      <c r="X535" s="54">
        <v>122000105747781</v>
      </c>
      <c r="Y535" s="54" t="s">
        <v>2523</v>
      </c>
      <c r="Z535" s="54">
        <v>1976</v>
      </c>
      <c r="AA535" s="54" t="s">
        <v>2361</v>
      </c>
      <c r="AB535" s="54" t="s">
        <v>2362</v>
      </c>
      <c r="AC535" s="54" t="s">
        <v>2403</v>
      </c>
      <c r="AD535" s="54">
        <v>3217112907760010</v>
      </c>
      <c r="AE535" s="54" t="s">
        <v>2524</v>
      </c>
      <c r="AF535" s="54">
        <v>1975</v>
      </c>
      <c r="AG535" s="54" t="s">
        <v>2367</v>
      </c>
      <c r="AH535" s="54" t="s">
        <v>2365</v>
      </c>
      <c r="AI535" s="54" t="s">
        <v>2366</v>
      </c>
      <c r="AJ535" s="54">
        <v>3217116711750000</v>
      </c>
      <c r="AK535" s="54"/>
      <c r="AL535" s="54"/>
      <c r="AM535" s="54" t="s">
        <v>2367</v>
      </c>
      <c r="AN535" s="54"/>
      <c r="AO535" s="54"/>
      <c r="AP535" s="54"/>
      <c r="AQ535" s="54" t="s">
        <v>8177</v>
      </c>
      <c r="AR535" s="54"/>
      <c r="AS535" s="54"/>
      <c r="AT535" s="54" t="s">
        <v>2359</v>
      </c>
      <c r="AU535" s="54"/>
      <c r="AV535" s="54">
        <v>0</v>
      </c>
      <c r="AW535" s="54" t="s">
        <v>2525</v>
      </c>
      <c r="AX535" s="54" t="s">
        <v>2526</v>
      </c>
      <c r="AY535" s="54"/>
      <c r="AZ535" s="54"/>
      <c r="BA535" s="54"/>
      <c r="BB535" s="54" t="s">
        <v>2369</v>
      </c>
      <c r="BC535" s="54" t="s">
        <v>2443</v>
      </c>
      <c r="BD535" s="54" t="s">
        <v>2371</v>
      </c>
      <c r="BE535" s="54" t="s">
        <v>2430</v>
      </c>
      <c r="BF535" s="54">
        <v>1</v>
      </c>
      <c r="BG535" s="54">
        <v>-6.9514541999999997</v>
      </c>
      <c r="BH535" s="54">
        <v>107.4179645</v>
      </c>
      <c r="BI535" s="54"/>
      <c r="BJ535" s="54">
        <v>42</v>
      </c>
      <c r="BK535" s="54">
        <v>143</v>
      </c>
      <c r="BL535" s="54">
        <v>0</v>
      </c>
      <c r="BM535" s="54">
        <v>0</v>
      </c>
      <c r="BN535" s="54">
        <v>0</v>
      </c>
    </row>
    <row r="536" spans="1:66" s="219" customFormat="1" hidden="1" x14ac:dyDescent="0.3">
      <c r="A536" s="54">
        <v>530</v>
      </c>
      <c r="B536" s="54" t="s">
        <v>5056</v>
      </c>
      <c r="C536" s="54" t="s">
        <v>2294</v>
      </c>
      <c r="D536" s="54" t="s">
        <v>53</v>
      </c>
      <c r="E536" s="54">
        <v>91701039</v>
      </c>
      <c r="F536" s="54" t="s">
        <v>2373</v>
      </c>
      <c r="G536" s="108">
        <v>40080</v>
      </c>
      <c r="H536" s="54">
        <v>3217116409090000</v>
      </c>
      <c r="I536" s="54" t="s">
        <v>2353</v>
      </c>
      <c r="J536" s="54" t="s">
        <v>2565</v>
      </c>
      <c r="K536" s="54">
        <v>2</v>
      </c>
      <c r="L536" s="54">
        <v>2</v>
      </c>
      <c r="M536" s="54"/>
      <c r="N536" s="54" t="s">
        <v>2566</v>
      </c>
      <c r="O536" s="54" t="s">
        <v>2426</v>
      </c>
      <c r="P536" s="54">
        <v>40562</v>
      </c>
      <c r="Q536" s="54" t="s">
        <v>2357</v>
      </c>
      <c r="R536" s="54" t="s">
        <v>2374</v>
      </c>
      <c r="S536" s="54"/>
      <c r="T536" s="54">
        <v>81313013050</v>
      </c>
      <c r="U536" s="54"/>
      <c r="V536" s="54"/>
      <c r="W536" s="54" t="s">
        <v>2369</v>
      </c>
      <c r="X536" s="54"/>
      <c r="Y536" s="54" t="s">
        <v>5057</v>
      </c>
      <c r="Z536" s="54">
        <v>1983</v>
      </c>
      <c r="AA536" s="54" t="s">
        <v>2402</v>
      </c>
      <c r="AB536" s="54" t="s">
        <v>2362</v>
      </c>
      <c r="AC536" s="54" t="s">
        <v>2403</v>
      </c>
      <c r="AD536" s="54"/>
      <c r="AE536" s="54" t="s">
        <v>5058</v>
      </c>
      <c r="AF536" s="54">
        <v>1982</v>
      </c>
      <c r="AG536" s="54" t="s">
        <v>2361</v>
      </c>
      <c r="AH536" s="54" t="s">
        <v>2365</v>
      </c>
      <c r="AI536" s="54" t="s">
        <v>2366</v>
      </c>
      <c r="AJ536" s="54">
        <v>3217116607820000</v>
      </c>
      <c r="AK536" s="54" t="s">
        <v>5059</v>
      </c>
      <c r="AL536" s="54">
        <v>1980</v>
      </c>
      <c r="AM536" s="54" t="s">
        <v>2361</v>
      </c>
      <c r="AN536" s="54" t="s">
        <v>2362</v>
      </c>
      <c r="AO536" s="54" t="s">
        <v>2403</v>
      </c>
      <c r="AP536" s="54"/>
      <c r="AQ536" s="54" t="s">
        <v>8179</v>
      </c>
      <c r="AR536" s="54"/>
      <c r="AS536" s="54" t="s">
        <v>5060</v>
      </c>
      <c r="AT536" s="54" t="s">
        <v>2369</v>
      </c>
      <c r="AU536" s="54"/>
      <c r="AV536" s="54">
        <v>1</v>
      </c>
      <c r="AW536" s="54"/>
      <c r="AX536" s="54">
        <v>9530007482</v>
      </c>
      <c r="AY536" s="54"/>
      <c r="AZ536" s="54"/>
      <c r="BA536" s="54"/>
      <c r="BB536" s="54" t="s">
        <v>2369</v>
      </c>
      <c r="BC536" s="54"/>
      <c r="BD536" s="54" t="s">
        <v>2371</v>
      </c>
      <c r="BE536" s="54" t="s">
        <v>2691</v>
      </c>
      <c r="BF536" s="54">
        <v>1</v>
      </c>
      <c r="BG536" s="54">
        <v>-6.9743000000000004</v>
      </c>
      <c r="BH536" s="54">
        <v>107.43559999999999</v>
      </c>
      <c r="BI536" s="54">
        <v>3217113001070010</v>
      </c>
      <c r="BJ536" s="54">
        <v>45</v>
      </c>
      <c r="BK536" s="54">
        <v>139</v>
      </c>
      <c r="BL536" s="54">
        <v>61</v>
      </c>
      <c r="BM536" s="54">
        <v>1</v>
      </c>
      <c r="BN536" s="54">
        <v>2</v>
      </c>
    </row>
    <row r="537" spans="1:66" s="219" customFormat="1" hidden="1" x14ac:dyDescent="0.3">
      <c r="A537" s="54">
        <v>531</v>
      </c>
      <c r="B537" s="54" t="s">
        <v>1862</v>
      </c>
      <c r="C537" s="54" t="s">
        <v>1516</v>
      </c>
      <c r="D537" s="54" t="s">
        <v>53</v>
      </c>
      <c r="E537" s="54">
        <v>3092304024</v>
      </c>
      <c r="F537" s="54" t="s">
        <v>2373</v>
      </c>
      <c r="G537" s="108">
        <v>40092</v>
      </c>
      <c r="H537" s="54">
        <v>3217124101850040</v>
      </c>
      <c r="I537" s="54" t="s">
        <v>2353</v>
      </c>
      <c r="J537" s="54" t="s">
        <v>3560</v>
      </c>
      <c r="K537" s="54">
        <v>2</v>
      </c>
      <c r="L537" s="54">
        <v>7</v>
      </c>
      <c r="M537" s="54"/>
      <c r="N537" s="54" t="s">
        <v>2513</v>
      </c>
      <c r="O537" s="54" t="s">
        <v>2356</v>
      </c>
      <c r="P537" s="54">
        <v>40764</v>
      </c>
      <c r="Q537" s="54" t="s">
        <v>2357</v>
      </c>
      <c r="R537" s="54" t="s">
        <v>2374</v>
      </c>
      <c r="S537" s="54"/>
      <c r="T537" s="54">
        <v>83820541159</v>
      </c>
      <c r="U537" s="54"/>
      <c r="V537" s="54"/>
      <c r="W537" s="54" t="s">
        <v>2359</v>
      </c>
      <c r="X537" s="54"/>
      <c r="Y537" s="54"/>
      <c r="Z537" s="54">
        <v>1978</v>
      </c>
      <c r="AA537" s="54" t="s">
        <v>2390</v>
      </c>
      <c r="AB537" s="54" t="s">
        <v>2362</v>
      </c>
      <c r="AC537" s="54" t="s">
        <v>2375</v>
      </c>
      <c r="AD537" s="54"/>
      <c r="AE537" s="54" t="s">
        <v>3561</v>
      </c>
      <c r="AF537" s="54">
        <v>1985</v>
      </c>
      <c r="AG537" s="54" t="s">
        <v>2390</v>
      </c>
      <c r="AH537" s="54" t="s">
        <v>2365</v>
      </c>
      <c r="AI537" s="54" t="s">
        <v>2366</v>
      </c>
      <c r="AJ537" s="54"/>
      <c r="AK537" s="54"/>
      <c r="AL537" s="54"/>
      <c r="AM537" s="54"/>
      <c r="AN537" s="54"/>
      <c r="AO537" s="54"/>
      <c r="AP537" s="54"/>
      <c r="AQ537" s="54" t="s">
        <v>5147</v>
      </c>
      <c r="AR537" s="54"/>
      <c r="AS537" s="54"/>
      <c r="AT537" s="54" t="s">
        <v>2359</v>
      </c>
      <c r="AU537" s="54"/>
      <c r="AV537" s="54">
        <v>0</v>
      </c>
      <c r="AW537" s="54"/>
      <c r="AX537" s="54" t="s">
        <v>3562</v>
      </c>
      <c r="AY537" s="54"/>
      <c r="AZ537" s="54"/>
      <c r="BA537" s="54"/>
      <c r="BB537" s="54" t="s">
        <v>2359</v>
      </c>
      <c r="BC537" s="54"/>
      <c r="BD537" s="54" t="s">
        <v>2371</v>
      </c>
      <c r="BE537" s="54"/>
      <c r="BF537" s="54">
        <v>1</v>
      </c>
      <c r="BG537" s="54">
        <v>-6.9625000000000004</v>
      </c>
      <c r="BH537" s="54">
        <v>107.4346</v>
      </c>
      <c r="BI537" s="54">
        <v>3217121406120060</v>
      </c>
      <c r="BJ537" s="54">
        <v>48</v>
      </c>
      <c r="BK537" s="54">
        <v>147</v>
      </c>
      <c r="BL537" s="54">
        <v>55</v>
      </c>
      <c r="BM537" s="54">
        <v>1</v>
      </c>
      <c r="BN537" s="54">
        <v>2</v>
      </c>
    </row>
    <row r="538" spans="1:66" hidden="1" x14ac:dyDescent="0.3">
      <c r="A538" s="3">
        <v>532</v>
      </c>
      <c r="B538" s="3" t="s">
        <v>5061</v>
      </c>
      <c r="C538" s="3" t="s">
        <v>4289</v>
      </c>
      <c r="D538" s="3" t="s">
        <v>53</v>
      </c>
      <c r="E538" s="3">
        <v>103297436</v>
      </c>
      <c r="F538" s="3" t="s">
        <v>2373</v>
      </c>
      <c r="G538" s="157">
        <v>40442</v>
      </c>
      <c r="H538" s="3">
        <v>3217126109100000</v>
      </c>
      <c r="I538" s="3" t="s">
        <v>2353</v>
      </c>
      <c r="J538" s="3" t="s">
        <v>2757</v>
      </c>
      <c r="K538" s="3">
        <v>2</v>
      </c>
      <c r="L538" s="3">
        <v>12</v>
      </c>
      <c r="M538" s="3"/>
      <c r="N538" s="3" t="s">
        <v>2395</v>
      </c>
      <c r="O538" s="3" t="s">
        <v>2356</v>
      </c>
      <c r="P538" s="3">
        <v>40764</v>
      </c>
      <c r="Q538" s="3" t="s">
        <v>2357</v>
      </c>
      <c r="R538" s="3" t="s">
        <v>2358</v>
      </c>
      <c r="S538" s="3"/>
      <c r="T538" s="3">
        <v>83820876112</v>
      </c>
      <c r="U538" s="3"/>
      <c r="V538" s="3"/>
      <c r="W538" s="3" t="s">
        <v>2359</v>
      </c>
      <c r="X538" s="3"/>
      <c r="Y538" s="3" t="s">
        <v>5062</v>
      </c>
      <c r="Z538" s="3">
        <v>1974</v>
      </c>
      <c r="AA538" s="3" t="s">
        <v>2361</v>
      </c>
      <c r="AB538" s="3" t="s">
        <v>2362</v>
      </c>
      <c r="AC538" s="3" t="s">
        <v>2363</v>
      </c>
      <c r="AD538" s="3">
        <v>3217125210790010</v>
      </c>
      <c r="AE538" s="3" t="s">
        <v>5063</v>
      </c>
      <c r="AF538" s="3">
        <v>1979</v>
      </c>
      <c r="AG538" s="3" t="s">
        <v>2361</v>
      </c>
      <c r="AH538" s="3" t="s">
        <v>2365</v>
      </c>
      <c r="AI538" s="3" t="s">
        <v>2366</v>
      </c>
      <c r="AJ538" s="3">
        <v>3217125210790010</v>
      </c>
      <c r="AK538" s="3"/>
      <c r="AL538" s="3"/>
      <c r="AM538" s="3" t="s">
        <v>2367</v>
      </c>
      <c r="AN538" s="3"/>
      <c r="AO538" s="3"/>
      <c r="AP538" s="3"/>
      <c r="AQ538" s="3" t="s">
        <v>5149</v>
      </c>
      <c r="AR538" s="3"/>
      <c r="AS538" s="3"/>
      <c r="AT538" s="3" t="s">
        <v>2369</v>
      </c>
      <c r="AU538" s="3"/>
      <c r="AV538" s="3">
        <v>0</v>
      </c>
      <c r="AW538" s="3"/>
      <c r="AX538" s="3" t="s">
        <v>4055</v>
      </c>
      <c r="AY538" s="3"/>
      <c r="AZ538" s="3"/>
      <c r="BA538" s="3"/>
      <c r="BB538" s="3" t="s">
        <v>2369</v>
      </c>
      <c r="BC538" s="3"/>
      <c r="BD538" s="3" t="s">
        <v>2371</v>
      </c>
      <c r="BE538" s="3" t="s">
        <v>2553</v>
      </c>
      <c r="BF538" s="3">
        <v>2</v>
      </c>
      <c r="BG538" s="3">
        <v>-7.0068000000000001</v>
      </c>
      <c r="BH538" s="3">
        <v>107.2349</v>
      </c>
      <c r="BI538" s="3">
        <v>3217120612110000</v>
      </c>
      <c r="BJ538" s="3">
        <v>45</v>
      </c>
      <c r="BK538" s="3">
        <v>134</v>
      </c>
      <c r="BL538" s="3">
        <v>60</v>
      </c>
      <c r="BM538" s="3">
        <v>1</v>
      </c>
      <c r="BN538" s="3">
        <v>2</v>
      </c>
    </row>
    <row r="539" spans="1:66" s="219" customFormat="1" hidden="1" x14ac:dyDescent="0.3">
      <c r="A539" s="54">
        <v>533</v>
      </c>
      <c r="B539" s="54" t="s">
        <v>1762</v>
      </c>
      <c r="C539" s="54" t="s">
        <v>2269</v>
      </c>
      <c r="D539" s="54" t="s">
        <v>53</v>
      </c>
      <c r="E539" s="54">
        <v>91107875</v>
      </c>
      <c r="F539" s="54" t="s">
        <v>2373</v>
      </c>
      <c r="G539" s="108">
        <v>40003</v>
      </c>
      <c r="H539" s="54">
        <v>3217114907090000</v>
      </c>
      <c r="I539" s="54" t="s">
        <v>2353</v>
      </c>
      <c r="J539" s="54" t="s">
        <v>2616</v>
      </c>
      <c r="K539" s="54">
        <v>6</v>
      </c>
      <c r="L539" s="54">
        <v>6</v>
      </c>
      <c r="M539" s="54"/>
      <c r="N539" s="54" t="s">
        <v>2617</v>
      </c>
      <c r="O539" s="54" t="s">
        <v>2426</v>
      </c>
      <c r="P539" s="54">
        <v>40562</v>
      </c>
      <c r="Q539" s="54" t="s">
        <v>2357</v>
      </c>
      <c r="R539" s="54" t="s">
        <v>2358</v>
      </c>
      <c r="S539" s="54"/>
      <c r="T539" s="54"/>
      <c r="U539" s="54"/>
      <c r="V539" s="54"/>
      <c r="W539" s="54" t="s">
        <v>2359</v>
      </c>
      <c r="X539" s="54"/>
      <c r="Y539" s="54"/>
      <c r="Z539" s="54">
        <v>0</v>
      </c>
      <c r="AA539" s="54"/>
      <c r="AB539" s="54" t="s">
        <v>2362</v>
      </c>
      <c r="AC539" s="54" t="s">
        <v>2375</v>
      </c>
      <c r="AD539" s="54"/>
      <c r="AE539" s="54" t="s">
        <v>3058</v>
      </c>
      <c r="AF539" s="54">
        <v>0</v>
      </c>
      <c r="AG539" s="54"/>
      <c r="AH539" s="54" t="s">
        <v>2365</v>
      </c>
      <c r="AI539" s="54" t="s">
        <v>2366</v>
      </c>
      <c r="AJ539" s="54"/>
      <c r="AK539" s="54"/>
      <c r="AL539" s="54"/>
      <c r="AM539" s="54"/>
      <c r="AN539" s="54"/>
      <c r="AO539" s="54"/>
      <c r="AP539" s="54"/>
      <c r="AQ539" s="54" t="s">
        <v>8182</v>
      </c>
      <c r="AR539" s="54"/>
      <c r="AS539" s="54"/>
      <c r="AT539" s="54" t="s">
        <v>2359</v>
      </c>
      <c r="AU539" s="54"/>
      <c r="AV539" s="54">
        <v>1</v>
      </c>
      <c r="AW539" s="54"/>
      <c r="AX539" s="54"/>
      <c r="AY539" s="54"/>
      <c r="AZ539" s="54"/>
      <c r="BA539" s="54"/>
      <c r="BB539" s="54" t="s">
        <v>2359</v>
      </c>
      <c r="BC539" s="54"/>
      <c r="BD539" s="54" t="s">
        <v>2371</v>
      </c>
      <c r="BE539" s="54" t="s">
        <v>2376</v>
      </c>
      <c r="BF539" s="54">
        <v>1</v>
      </c>
      <c r="BG539" s="54">
        <v>-6.9625000000000004</v>
      </c>
      <c r="BH539" s="54">
        <v>107.4346</v>
      </c>
      <c r="BI539" s="54"/>
      <c r="BJ539" s="54">
        <v>41</v>
      </c>
      <c r="BK539" s="54">
        <v>139</v>
      </c>
      <c r="BL539" s="54">
        <v>57</v>
      </c>
      <c r="BM539" s="54">
        <v>1</v>
      </c>
      <c r="BN539" s="54">
        <v>2</v>
      </c>
    </row>
    <row r="540" spans="1:66" s="219" customFormat="1" hidden="1" x14ac:dyDescent="0.3">
      <c r="A540" s="54">
        <v>534</v>
      </c>
      <c r="B540" s="54" t="s">
        <v>2527</v>
      </c>
      <c r="C540" s="54" t="s">
        <v>2124</v>
      </c>
      <c r="D540" s="54" t="s">
        <v>53</v>
      </c>
      <c r="E540" s="54">
        <v>3107910943</v>
      </c>
      <c r="F540" s="54" t="s">
        <v>2373</v>
      </c>
      <c r="G540" s="108">
        <v>40254</v>
      </c>
      <c r="H540" s="54">
        <v>3217125703100000</v>
      </c>
      <c r="I540" s="54" t="s">
        <v>2353</v>
      </c>
      <c r="J540" s="54" t="s">
        <v>2528</v>
      </c>
      <c r="K540" s="54">
        <v>1</v>
      </c>
      <c r="L540" s="54">
        <v>8</v>
      </c>
      <c r="M540" s="54"/>
      <c r="N540" s="54" t="s">
        <v>2395</v>
      </c>
      <c r="O540" s="54" t="s">
        <v>2356</v>
      </c>
      <c r="P540" s="54"/>
      <c r="Q540" s="54" t="s">
        <v>2357</v>
      </c>
      <c r="R540" s="54" t="s">
        <v>2374</v>
      </c>
      <c r="S540" s="54"/>
      <c r="T540" s="54"/>
      <c r="U540" s="54"/>
      <c r="V540" s="54"/>
      <c r="W540" s="54" t="s">
        <v>2359</v>
      </c>
      <c r="X540" s="54"/>
      <c r="Y540" s="54"/>
      <c r="Z540" s="54">
        <v>0</v>
      </c>
      <c r="AA540" s="54"/>
      <c r="AB540" s="54" t="s">
        <v>2362</v>
      </c>
      <c r="AC540" s="54" t="s">
        <v>2375</v>
      </c>
      <c r="AD540" s="54"/>
      <c r="AE540" s="54" t="s">
        <v>2529</v>
      </c>
      <c r="AF540" s="54">
        <v>0</v>
      </c>
      <c r="AG540" s="54"/>
      <c r="AH540" s="54" t="s">
        <v>2365</v>
      </c>
      <c r="AI540" s="54" t="s">
        <v>2366</v>
      </c>
      <c r="AJ540" s="54"/>
      <c r="AK540" s="54"/>
      <c r="AL540" s="54"/>
      <c r="AM540" s="54"/>
      <c r="AN540" s="54"/>
      <c r="AO540" s="54"/>
      <c r="AP540" s="54"/>
      <c r="AQ540" s="54" t="s">
        <v>8177</v>
      </c>
      <c r="AR540" s="54"/>
      <c r="AS540" s="54"/>
      <c r="AT540" s="54" t="s">
        <v>2359</v>
      </c>
      <c r="AU540" s="54"/>
      <c r="AV540" s="54">
        <v>1</v>
      </c>
      <c r="AW540" s="54"/>
      <c r="AX540" s="54"/>
      <c r="AY540" s="54"/>
      <c r="AZ540" s="54"/>
      <c r="BA540" s="54"/>
      <c r="BB540" s="54" t="s">
        <v>2359</v>
      </c>
      <c r="BC540" s="54"/>
      <c r="BD540" s="54" t="s">
        <v>2371</v>
      </c>
      <c r="BE540" s="54" t="s">
        <v>2376</v>
      </c>
      <c r="BF540" s="54">
        <v>1</v>
      </c>
      <c r="BG540" s="54">
        <v>-6.9625000000000004</v>
      </c>
      <c r="BH540" s="54">
        <v>107.4346</v>
      </c>
      <c r="BI540" s="54"/>
      <c r="BJ540" s="54">
        <v>41</v>
      </c>
      <c r="BK540" s="54">
        <v>138</v>
      </c>
      <c r="BL540" s="54">
        <v>59</v>
      </c>
      <c r="BM540" s="54">
        <v>1</v>
      </c>
      <c r="BN540" s="54">
        <v>3</v>
      </c>
    </row>
    <row r="541" spans="1:66" s="219" customFormat="1" hidden="1" x14ac:dyDescent="0.3">
      <c r="A541" s="54">
        <v>535</v>
      </c>
      <c r="B541" s="54" t="s">
        <v>1915</v>
      </c>
      <c r="C541" s="54" t="s">
        <v>1571</v>
      </c>
      <c r="D541" s="54" t="s">
        <v>53</v>
      </c>
      <c r="E541" s="54">
        <v>99628851</v>
      </c>
      <c r="F541" s="54" t="s">
        <v>2377</v>
      </c>
      <c r="G541" s="108">
        <v>39909</v>
      </c>
      <c r="H541" s="54">
        <v>3217124604090000</v>
      </c>
      <c r="I541" s="54" t="s">
        <v>2353</v>
      </c>
      <c r="J541" s="54" t="s">
        <v>2732</v>
      </c>
      <c r="K541" s="54">
        <v>3</v>
      </c>
      <c r="L541" s="54">
        <v>1</v>
      </c>
      <c r="M541" s="54" t="s">
        <v>2733</v>
      </c>
      <c r="N541" s="54" t="s">
        <v>2399</v>
      </c>
      <c r="O541" s="54" t="s">
        <v>2356</v>
      </c>
      <c r="P541" s="54">
        <v>40564</v>
      </c>
      <c r="Q541" s="54" t="s">
        <v>2357</v>
      </c>
      <c r="R541" s="54" t="s">
        <v>2358</v>
      </c>
      <c r="S541" s="54"/>
      <c r="T541" s="54">
        <v>83829791979</v>
      </c>
      <c r="U541" s="54"/>
      <c r="V541" s="54"/>
      <c r="W541" s="54" t="s">
        <v>2359</v>
      </c>
      <c r="X541" s="54"/>
      <c r="Y541" s="54" t="s">
        <v>3764</v>
      </c>
      <c r="Z541" s="54">
        <v>1981</v>
      </c>
      <c r="AA541" s="54" t="s">
        <v>2402</v>
      </c>
      <c r="AB541" s="54" t="s">
        <v>2362</v>
      </c>
      <c r="AC541" s="54" t="s">
        <v>2363</v>
      </c>
      <c r="AD541" s="54">
        <v>3217120908810000</v>
      </c>
      <c r="AE541" s="54" t="s">
        <v>3765</v>
      </c>
      <c r="AF541" s="54">
        <v>1982</v>
      </c>
      <c r="AG541" s="54" t="s">
        <v>2402</v>
      </c>
      <c r="AH541" s="54" t="s">
        <v>2365</v>
      </c>
      <c r="AI541" s="54" t="s">
        <v>2366</v>
      </c>
      <c r="AJ541" s="54">
        <v>3217125407820000</v>
      </c>
      <c r="AK541" s="54"/>
      <c r="AL541" s="54"/>
      <c r="AM541" s="54"/>
      <c r="AN541" s="54"/>
      <c r="AO541" s="54"/>
      <c r="AP541" s="54"/>
      <c r="AQ541" s="54" t="s">
        <v>5147</v>
      </c>
      <c r="AR541" s="54"/>
      <c r="AS541" s="54"/>
      <c r="AT541" s="54" t="s">
        <v>2359</v>
      </c>
      <c r="AU541" s="54"/>
      <c r="AV541" s="54">
        <v>0</v>
      </c>
      <c r="AW541" s="54"/>
      <c r="AX541" s="54" t="s">
        <v>3766</v>
      </c>
      <c r="AY541" s="54"/>
      <c r="AZ541" s="54"/>
      <c r="BA541" s="54"/>
      <c r="BB541" s="54" t="s">
        <v>2369</v>
      </c>
      <c r="BC541" s="54" t="s">
        <v>2370</v>
      </c>
      <c r="BD541" s="54" t="s">
        <v>2371</v>
      </c>
      <c r="BE541" s="54"/>
      <c r="BF541" s="54">
        <v>1</v>
      </c>
      <c r="BG541" s="54">
        <v>-6.9546999999999999</v>
      </c>
      <c r="BH541" s="54">
        <v>107.39</v>
      </c>
      <c r="BI541" s="54"/>
      <c r="BJ541" s="54">
        <v>38</v>
      </c>
      <c r="BK541" s="54">
        <v>133</v>
      </c>
      <c r="BL541" s="54">
        <v>54</v>
      </c>
      <c r="BM541" s="54">
        <v>1</v>
      </c>
      <c r="BN541" s="54">
        <v>3</v>
      </c>
    </row>
    <row r="542" spans="1:66" s="219" customFormat="1" hidden="1" x14ac:dyDescent="0.3">
      <c r="A542" s="54">
        <v>536</v>
      </c>
      <c r="B542" s="54" t="s">
        <v>1813</v>
      </c>
      <c r="C542" s="54" t="s">
        <v>1452</v>
      </c>
      <c r="D542" s="54" t="s">
        <v>53</v>
      </c>
      <c r="E542" s="54">
        <v>3095701845</v>
      </c>
      <c r="F542" s="54" t="s">
        <v>3121</v>
      </c>
      <c r="G542" s="108">
        <v>40103</v>
      </c>
      <c r="H542" s="54">
        <v>3217115701000000</v>
      </c>
      <c r="I542" s="54" t="s">
        <v>2353</v>
      </c>
      <c r="J542" s="54" t="s">
        <v>2616</v>
      </c>
      <c r="K542" s="54">
        <v>2</v>
      </c>
      <c r="L542" s="54">
        <v>7</v>
      </c>
      <c r="M542" s="54"/>
      <c r="N542" s="54" t="s">
        <v>2617</v>
      </c>
      <c r="O542" s="54" t="s">
        <v>2426</v>
      </c>
      <c r="P542" s="54">
        <v>40562</v>
      </c>
      <c r="Q542" s="54" t="s">
        <v>2357</v>
      </c>
      <c r="R542" s="54" t="s">
        <v>2358</v>
      </c>
      <c r="S542" s="54"/>
      <c r="T542" s="54">
        <v>85731289645</v>
      </c>
      <c r="U542" s="54"/>
      <c r="V542" s="54"/>
      <c r="W542" s="54" t="s">
        <v>2359</v>
      </c>
      <c r="X542" s="54"/>
      <c r="Y542" s="54" t="s">
        <v>3318</v>
      </c>
      <c r="Z542" s="54">
        <v>1985</v>
      </c>
      <c r="AA542" s="54" t="s">
        <v>2390</v>
      </c>
      <c r="AB542" s="54" t="s">
        <v>2362</v>
      </c>
      <c r="AC542" s="54" t="s">
        <v>2375</v>
      </c>
      <c r="AD542" s="54">
        <v>3217112708850000</v>
      </c>
      <c r="AE542" s="54" t="s">
        <v>3319</v>
      </c>
      <c r="AF542" s="54">
        <v>1985</v>
      </c>
      <c r="AG542" s="54" t="s">
        <v>2402</v>
      </c>
      <c r="AH542" s="54" t="s">
        <v>2365</v>
      </c>
      <c r="AI542" s="54" t="s">
        <v>2366</v>
      </c>
      <c r="AJ542" s="54">
        <v>3217112708850000</v>
      </c>
      <c r="AK542" s="54"/>
      <c r="AL542" s="54"/>
      <c r="AM542" s="54"/>
      <c r="AN542" s="54"/>
      <c r="AO542" s="54"/>
      <c r="AP542" s="54"/>
      <c r="AQ542" s="54" t="s">
        <v>5147</v>
      </c>
      <c r="AR542" s="54"/>
      <c r="AS542" s="54"/>
      <c r="AT542" s="54" t="s">
        <v>2369</v>
      </c>
      <c r="AU542" s="54"/>
      <c r="AV542" s="54">
        <v>0</v>
      </c>
      <c r="AW542" s="54"/>
      <c r="AX542" s="54"/>
      <c r="AY542" s="54"/>
      <c r="AZ542" s="54"/>
      <c r="BA542" s="54"/>
      <c r="BB542" s="54" t="s">
        <v>2369</v>
      </c>
      <c r="BC542" s="54"/>
      <c r="BD542" s="54" t="s">
        <v>2371</v>
      </c>
      <c r="BE542" s="54"/>
      <c r="BF542" s="54">
        <v>1</v>
      </c>
      <c r="BG542" s="54">
        <v>-6.9625000000000004</v>
      </c>
      <c r="BH542" s="54">
        <v>107.4346</v>
      </c>
      <c r="BI542" s="54"/>
      <c r="BJ542" s="54">
        <v>45</v>
      </c>
      <c r="BK542" s="54">
        <v>138</v>
      </c>
      <c r="BL542" s="54">
        <v>55</v>
      </c>
      <c r="BM542" s="54">
        <v>1</v>
      </c>
      <c r="BN542" s="54">
        <v>2</v>
      </c>
    </row>
    <row r="543" spans="1:66" hidden="1" x14ac:dyDescent="0.3">
      <c r="A543" s="3">
        <v>537</v>
      </c>
      <c r="B543" s="3" t="s">
        <v>3927</v>
      </c>
      <c r="C543" s="3" t="s">
        <v>4385</v>
      </c>
      <c r="D543" s="3" t="s">
        <v>53</v>
      </c>
      <c r="E543" s="3">
        <v>3115543315</v>
      </c>
      <c r="F543" s="3" t="s">
        <v>2377</v>
      </c>
      <c r="G543" s="157">
        <v>40640</v>
      </c>
      <c r="H543" s="3">
        <v>3217124704110000</v>
      </c>
      <c r="I543" s="3" t="s">
        <v>2353</v>
      </c>
      <c r="J543" s="3" t="s">
        <v>2394</v>
      </c>
      <c r="K543" s="3">
        <v>4</v>
      </c>
      <c r="L543" s="3">
        <v>1</v>
      </c>
      <c r="M543" s="3"/>
      <c r="N543" s="3" t="s">
        <v>4475</v>
      </c>
      <c r="O543" s="3" t="s">
        <v>2356</v>
      </c>
      <c r="P543" s="3">
        <v>40764</v>
      </c>
      <c r="Q543" s="3" t="s">
        <v>2357</v>
      </c>
      <c r="R543" s="3" t="s">
        <v>2374</v>
      </c>
      <c r="S543" s="3"/>
      <c r="T543" s="3">
        <v>83131017997</v>
      </c>
      <c r="U543" s="3"/>
      <c r="V543" s="3"/>
      <c r="W543" s="3" t="s">
        <v>2359</v>
      </c>
      <c r="X543" s="3"/>
      <c r="Y543" s="3" t="s">
        <v>5064</v>
      </c>
      <c r="Z543" s="3">
        <v>1979</v>
      </c>
      <c r="AA543" s="3" t="s">
        <v>2402</v>
      </c>
      <c r="AB543" s="3" t="s">
        <v>2493</v>
      </c>
      <c r="AC543" s="3" t="s">
        <v>2363</v>
      </c>
      <c r="AD543" s="3">
        <v>3217122201790000</v>
      </c>
      <c r="AE543" s="3" t="s">
        <v>4013</v>
      </c>
      <c r="AF543" s="3">
        <v>1985</v>
      </c>
      <c r="AG543" s="3" t="s">
        <v>2390</v>
      </c>
      <c r="AH543" s="3" t="s">
        <v>2365</v>
      </c>
      <c r="AI543" s="3" t="s">
        <v>2366</v>
      </c>
      <c r="AJ543" s="3">
        <v>3217124310850000</v>
      </c>
      <c r="AK543" s="3"/>
      <c r="AL543" s="3"/>
      <c r="AM543" s="3"/>
      <c r="AN543" s="3"/>
      <c r="AO543" s="3"/>
      <c r="AP543" s="3"/>
      <c r="AQ543" s="3" t="s">
        <v>5151</v>
      </c>
      <c r="AR543" s="3" t="s">
        <v>4012</v>
      </c>
      <c r="AS543" s="3" t="s">
        <v>5065</v>
      </c>
      <c r="AT543" s="3" t="s">
        <v>2359</v>
      </c>
      <c r="AU543" s="3"/>
      <c r="AV543" s="3">
        <v>1</v>
      </c>
      <c r="AW543" s="3"/>
      <c r="AX543" s="3" t="s">
        <v>5066</v>
      </c>
      <c r="AY543" s="3"/>
      <c r="AZ543" s="3"/>
      <c r="BA543" s="3"/>
      <c r="BB543" s="3" t="s">
        <v>2369</v>
      </c>
      <c r="BC543" s="3" t="s">
        <v>2370</v>
      </c>
      <c r="BD543" s="3" t="s">
        <v>2371</v>
      </c>
      <c r="BE543" s="3" t="s">
        <v>4482</v>
      </c>
      <c r="BF543" s="3">
        <v>1</v>
      </c>
      <c r="BG543" s="3">
        <v>-6.9625000000000004</v>
      </c>
      <c r="BH543" s="3">
        <v>107.4346</v>
      </c>
      <c r="BI543" s="3">
        <v>3217120712110010</v>
      </c>
      <c r="BJ543" s="3">
        <v>44</v>
      </c>
      <c r="BK543" s="3">
        <v>143</v>
      </c>
      <c r="BL543" s="3">
        <v>56</v>
      </c>
      <c r="BM543" s="3">
        <v>1</v>
      </c>
      <c r="BN543" s="3">
        <v>2</v>
      </c>
    </row>
    <row r="544" spans="1:66" s="219" customFormat="1" hidden="1" x14ac:dyDescent="0.3">
      <c r="A544" s="54">
        <v>538</v>
      </c>
      <c r="B544" s="54" t="s">
        <v>2086</v>
      </c>
      <c r="C544" s="54" t="s">
        <v>2249</v>
      </c>
      <c r="D544" s="54" t="s">
        <v>53</v>
      </c>
      <c r="E544" s="54">
        <v>104690923</v>
      </c>
      <c r="F544" s="54" t="s">
        <v>2352</v>
      </c>
      <c r="G544" s="108">
        <v>40279</v>
      </c>
      <c r="H544" s="54">
        <v>3217125104100000</v>
      </c>
      <c r="I544" s="54" t="s">
        <v>2353</v>
      </c>
      <c r="J544" s="54" t="s">
        <v>2990</v>
      </c>
      <c r="K544" s="54">
        <v>4</v>
      </c>
      <c r="L544" s="54">
        <v>14</v>
      </c>
      <c r="M544" s="54" t="s">
        <v>2991</v>
      </c>
      <c r="N544" s="54" t="s">
        <v>2992</v>
      </c>
      <c r="O544" s="54" t="s">
        <v>2993</v>
      </c>
      <c r="P544" s="54">
        <v>40533</v>
      </c>
      <c r="Q544" s="54" t="s">
        <v>2357</v>
      </c>
      <c r="R544" s="54" t="s">
        <v>2358</v>
      </c>
      <c r="S544" s="54"/>
      <c r="T544" s="54">
        <v>83820574390</v>
      </c>
      <c r="U544" s="54"/>
      <c r="V544" s="54"/>
      <c r="W544" s="54" t="s">
        <v>2359</v>
      </c>
      <c r="X544" s="54"/>
      <c r="Y544" s="54" t="s">
        <v>2994</v>
      </c>
      <c r="Z544" s="54">
        <v>1986</v>
      </c>
      <c r="AA544" s="54" t="s">
        <v>2402</v>
      </c>
      <c r="AB544" s="54" t="s">
        <v>2362</v>
      </c>
      <c r="AC544" s="54" t="s">
        <v>2363</v>
      </c>
      <c r="AD544" s="54">
        <v>3217120805880010</v>
      </c>
      <c r="AE544" s="54" t="s">
        <v>2995</v>
      </c>
      <c r="AF544" s="54">
        <v>1990</v>
      </c>
      <c r="AG544" s="54" t="s">
        <v>2361</v>
      </c>
      <c r="AH544" s="54" t="s">
        <v>2365</v>
      </c>
      <c r="AI544" s="54" t="s">
        <v>2366</v>
      </c>
      <c r="AJ544" s="54">
        <v>3217126802900010</v>
      </c>
      <c r="AK544" s="54"/>
      <c r="AL544" s="54"/>
      <c r="AM544" s="54" t="s">
        <v>2367</v>
      </c>
      <c r="AN544" s="54"/>
      <c r="AO544" s="54"/>
      <c r="AP544" s="54"/>
      <c r="AQ544" s="54" t="s">
        <v>8178</v>
      </c>
      <c r="AR544" s="54"/>
      <c r="AS544" s="54"/>
      <c r="AT544" s="54" t="s">
        <v>2359</v>
      </c>
      <c r="AU544" s="54"/>
      <c r="AV544" s="54">
        <v>0</v>
      </c>
      <c r="AW544" s="54"/>
      <c r="AX544" s="54" t="s">
        <v>2996</v>
      </c>
      <c r="AY544" s="54"/>
      <c r="AZ544" s="54"/>
      <c r="BA544" s="54"/>
      <c r="BB544" s="54" t="s">
        <v>2369</v>
      </c>
      <c r="BC544" s="54" t="s">
        <v>2370</v>
      </c>
      <c r="BD544" s="54" t="s">
        <v>2371</v>
      </c>
      <c r="BE544" s="54" t="s">
        <v>2553</v>
      </c>
      <c r="BF544" s="54">
        <v>1</v>
      </c>
      <c r="BG544" s="54">
        <v>-7.0071000000000003</v>
      </c>
      <c r="BH544" s="54">
        <v>107.2358</v>
      </c>
      <c r="BI544" s="54">
        <v>3217121201100000</v>
      </c>
      <c r="BJ544" s="54">
        <v>42</v>
      </c>
      <c r="BK544" s="54">
        <v>138</v>
      </c>
      <c r="BL544" s="54">
        <v>0</v>
      </c>
      <c r="BM544" s="54">
        <v>0</v>
      </c>
      <c r="BN544" s="54">
        <v>0</v>
      </c>
    </row>
    <row r="545" spans="1:66" s="219" customFormat="1" hidden="1" x14ac:dyDescent="0.3">
      <c r="A545" s="54">
        <v>539</v>
      </c>
      <c r="B545" s="54" t="s">
        <v>1889</v>
      </c>
      <c r="C545" s="54" t="s">
        <v>1540</v>
      </c>
      <c r="D545" s="54" t="s">
        <v>52</v>
      </c>
      <c r="E545" s="54">
        <v>99229527</v>
      </c>
      <c r="F545" s="54" t="s">
        <v>2377</v>
      </c>
      <c r="G545" s="108">
        <v>39958</v>
      </c>
      <c r="H545" s="54">
        <v>3217122505090000</v>
      </c>
      <c r="I545" s="54" t="s">
        <v>2353</v>
      </c>
      <c r="J545" s="54" t="s">
        <v>3278</v>
      </c>
      <c r="K545" s="54">
        <v>1</v>
      </c>
      <c r="L545" s="54">
        <v>5</v>
      </c>
      <c r="M545" s="54"/>
      <c r="N545" s="54" t="s">
        <v>2513</v>
      </c>
      <c r="O545" s="54" t="s">
        <v>2356</v>
      </c>
      <c r="P545" s="54">
        <v>40564</v>
      </c>
      <c r="Q545" s="54" t="s">
        <v>2357</v>
      </c>
      <c r="R545" s="54" t="s">
        <v>2358</v>
      </c>
      <c r="S545" s="54"/>
      <c r="T545" s="54">
        <v>81222897328</v>
      </c>
      <c r="U545" s="54"/>
      <c r="V545" s="54"/>
      <c r="W545" s="54" t="s">
        <v>2359</v>
      </c>
      <c r="X545" s="54" t="s">
        <v>3658</v>
      </c>
      <c r="Y545" s="54" t="s">
        <v>3659</v>
      </c>
      <c r="Z545" s="54">
        <v>1988</v>
      </c>
      <c r="AA545" s="54" t="s">
        <v>2361</v>
      </c>
      <c r="AB545" s="54" t="s">
        <v>2362</v>
      </c>
      <c r="AC545" s="54" t="s">
        <v>2363</v>
      </c>
      <c r="AD545" s="54"/>
      <c r="AE545" s="54" t="s">
        <v>3660</v>
      </c>
      <c r="AF545" s="54">
        <v>1990</v>
      </c>
      <c r="AG545" s="54" t="s">
        <v>2361</v>
      </c>
      <c r="AH545" s="54" t="s">
        <v>2365</v>
      </c>
      <c r="AI545" s="54" t="s">
        <v>2366</v>
      </c>
      <c r="AJ545" s="54"/>
      <c r="AK545" s="54"/>
      <c r="AL545" s="54"/>
      <c r="AM545" s="54"/>
      <c r="AN545" s="54"/>
      <c r="AO545" s="54"/>
      <c r="AP545" s="54"/>
      <c r="AQ545" s="54" t="s">
        <v>5147</v>
      </c>
      <c r="AR545" s="54"/>
      <c r="AS545" s="54"/>
      <c r="AT545" s="54" t="s">
        <v>2369</v>
      </c>
      <c r="AU545" s="54" t="s">
        <v>3658</v>
      </c>
      <c r="AV545" s="54">
        <v>0</v>
      </c>
      <c r="AW545" s="54"/>
      <c r="AX545" s="54"/>
      <c r="AY545" s="54" t="s">
        <v>2460</v>
      </c>
      <c r="AZ545" s="54">
        <v>411601004403500</v>
      </c>
      <c r="BA545" s="54" t="s">
        <v>1889</v>
      </c>
      <c r="BB545" s="54" t="s">
        <v>2369</v>
      </c>
      <c r="BC545" s="54"/>
      <c r="BD545" s="54" t="s">
        <v>2371</v>
      </c>
      <c r="BE545" s="54"/>
      <c r="BF545" s="54">
        <v>6</v>
      </c>
      <c r="BG545" s="54">
        <v>-6.9676999999999998</v>
      </c>
      <c r="BH545" s="54">
        <v>107.4117</v>
      </c>
      <c r="BI545" s="54"/>
      <c r="BJ545" s="54">
        <v>43</v>
      </c>
      <c r="BK545" s="54">
        <v>143</v>
      </c>
      <c r="BL545" s="54">
        <v>57</v>
      </c>
      <c r="BM545" s="54">
        <v>1</v>
      </c>
      <c r="BN545" s="54">
        <v>1</v>
      </c>
    </row>
    <row r="546" spans="1:66" hidden="1" x14ac:dyDescent="0.3">
      <c r="A546" s="3">
        <v>540</v>
      </c>
      <c r="B546" s="3" t="s">
        <v>5067</v>
      </c>
      <c r="C546" s="3" t="s">
        <v>4321</v>
      </c>
      <c r="D546" s="3" t="s">
        <v>53</v>
      </c>
      <c r="E546" s="3">
        <v>116684973</v>
      </c>
      <c r="F546" s="3" t="s">
        <v>2373</v>
      </c>
      <c r="G546" s="157">
        <v>40846</v>
      </c>
      <c r="H546" s="3">
        <v>3217127010110000</v>
      </c>
      <c r="I546" s="3" t="s">
        <v>2353</v>
      </c>
      <c r="J546" s="3" t="s">
        <v>2699</v>
      </c>
      <c r="K546" s="3">
        <v>3</v>
      </c>
      <c r="L546" s="3">
        <v>10</v>
      </c>
      <c r="M546" s="3"/>
      <c r="N546" s="3" t="s">
        <v>2395</v>
      </c>
      <c r="O546" s="3" t="s">
        <v>2356</v>
      </c>
      <c r="P546" s="3">
        <v>40764</v>
      </c>
      <c r="Q546" s="3" t="s">
        <v>2357</v>
      </c>
      <c r="R546" s="3" t="s">
        <v>2358</v>
      </c>
      <c r="S546" s="3"/>
      <c r="T546" s="3">
        <v>83821980504</v>
      </c>
      <c r="U546" s="3"/>
      <c r="V546" s="3"/>
      <c r="W546" s="3" t="s">
        <v>2359</v>
      </c>
      <c r="X546" s="3"/>
      <c r="Y546" s="3" t="s">
        <v>5068</v>
      </c>
      <c r="Z546" s="3">
        <v>1983</v>
      </c>
      <c r="AA546" s="3" t="s">
        <v>2361</v>
      </c>
      <c r="AB546" s="3" t="s">
        <v>2362</v>
      </c>
      <c r="AC546" s="3" t="s">
        <v>2375</v>
      </c>
      <c r="AD546" s="3">
        <v>3217120506830030</v>
      </c>
      <c r="AE546" s="3" t="s">
        <v>5069</v>
      </c>
      <c r="AF546" s="3">
        <v>1984</v>
      </c>
      <c r="AG546" s="3" t="s">
        <v>2361</v>
      </c>
      <c r="AH546" s="3" t="s">
        <v>2365</v>
      </c>
      <c r="AI546" s="3" t="s">
        <v>2366</v>
      </c>
      <c r="AJ546" s="3">
        <v>3217125005840030</v>
      </c>
      <c r="AK546" s="3"/>
      <c r="AL546" s="3"/>
      <c r="AM546" s="3" t="s">
        <v>2367</v>
      </c>
      <c r="AN546" s="3"/>
      <c r="AO546" s="3"/>
      <c r="AP546" s="3"/>
      <c r="AQ546" s="3" t="s">
        <v>5150</v>
      </c>
      <c r="AR546" s="3"/>
      <c r="AS546" s="3"/>
      <c r="AT546" s="3" t="s">
        <v>2369</v>
      </c>
      <c r="AU546" s="3"/>
      <c r="AV546" s="3">
        <v>0</v>
      </c>
      <c r="AW546" s="3"/>
      <c r="AX546" s="3" t="s">
        <v>4052</v>
      </c>
      <c r="AY546" s="3"/>
      <c r="AZ546" s="3"/>
      <c r="BA546" s="3"/>
      <c r="BB546" s="3" t="s">
        <v>2369</v>
      </c>
      <c r="BC546" s="3"/>
      <c r="BD546" s="3" t="s">
        <v>2371</v>
      </c>
      <c r="BE546" s="3" t="s">
        <v>2553</v>
      </c>
      <c r="BF546" s="3">
        <v>2</v>
      </c>
      <c r="BG546" s="3">
        <v>-7.0068000000000001</v>
      </c>
      <c r="BH546" s="3">
        <v>107.2349</v>
      </c>
      <c r="BI546" s="3">
        <v>3217122605080100</v>
      </c>
      <c r="BJ546" s="3">
        <v>51</v>
      </c>
      <c r="BK546" s="3">
        <v>143</v>
      </c>
      <c r="BL546" s="3">
        <v>58</v>
      </c>
      <c r="BM546" s="3">
        <v>1</v>
      </c>
      <c r="BN546" s="3">
        <v>2</v>
      </c>
    </row>
    <row r="547" spans="1:66" s="219" customFormat="1" hidden="1" x14ac:dyDescent="0.3">
      <c r="A547" s="54">
        <v>541</v>
      </c>
      <c r="B547" s="54" t="s">
        <v>1834</v>
      </c>
      <c r="C547" s="54" t="s">
        <v>1480</v>
      </c>
      <c r="D547" s="54" t="s">
        <v>53</v>
      </c>
      <c r="E547" s="54">
        <v>87999728</v>
      </c>
      <c r="F547" s="54" t="s">
        <v>2373</v>
      </c>
      <c r="G547" s="108">
        <v>39718</v>
      </c>
      <c r="H547" s="54">
        <v>3217126709080000</v>
      </c>
      <c r="I547" s="54" t="s">
        <v>2353</v>
      </c>
      <c r="J547" s="54" t="s">
        <v>5070</v>
      </c>
      <c r="K547" s="54">
        <v>6</v>
      </c>
      <c r="L547" s="54">
        <v>3</v>
      </c>
      <c r="M547" s="54"/>
      <c r="N547" s="54" t="s">
        <v>3413</v>
      </c>
      <c r="O547" s="54" t="s">
        <v>3414</v>
      </c>
      <c r="P547" s="54">
        <v>15148</v>
      </c>
      <c r="Q547" s="54" t="s">
        <v>2357</v>
      </c>
      <c r="R547" s="54" t="s">
        <v>2358</v>
      </c>
      <c r="S547" s="54"/>
      <c r="T547" s="54">
        <v>83821883324</v>
      </c>
      <c r="U547" s="54"/>
      <c r="V547" s="54"/>
      <c r="W547" s="54" t="s">
        <v>2359</v>
      </c>
      <c r="X547" s="54"/>
      <c r="Y547" s="54" t="s">
        <v>3415</v>
      </c>
      <c r="Z547" s="54">
        <v>1976</v>
      </c>
      <c r="AA547" s="54" t="s">
        <v>2402</v>
      </c>
      <c r="AB547" s="54" t="s">
        <v>2362</v>
      </c>
      <c r="AC547" s="54" t="s">
        <v>2375</v>
      </c>
      <c r="AD547" s="54"/>
      <c r="AE547" s="54" t="s">
        <v>3416</v>
      </c>
      <c r="AF547" s="54">
        <v>1985</v>
      </c>
      <c r="AG547" s="54"/>
      <c r="AH547" s="54" t="s">
        <v>2365</v>
      </c>
      <c r="AI547" s="54" t="s">
        <v>2366</v>
      </c>
      <c r="AJ547" s="54"/>
      <c r="AK547" s="54"/>
      <c r="AL547" s="54"/>
      <c r="AM547" s="54"/>
      <c r="AN547" s="54"/>
      <c r="AO547" s="54"/>
      <c r="AP547" s="54"/>
      <c r="AQ547" s="54" t="s">
        <v>5147</v>
      </c>
      <c r="AR547" s="54"/>
      <c r="AS547" s="54"/>
      <c r="AT547" s="54" t="s">
        <v>2359</v>
      </c>
      <c r="AU547" s="54"/>
      <c r="AV547" s="54">
        <v>0</v>
      </c>
      <c r="AW547" s="54"/>
      <c r="AX547" s="54"/>
      <c r="AY547" s="54"/>
      <c r="AZ547" s="54"/>
      <c r="BA547" s="54"/>
      <c r="BB547" s="54" t="s">
        <v>2369</v>
      </c>
      <c r="BC547" s="54" t="s">
        <v>2370</v>
      </c>
      <c r="BD547" s="54" t="s">
        <v>2371</v>
      </c>
      <c r="BE547" s="54"/>
      <c r="BF547" s="54">
        <v>1</v>
      </c>
      <c r="BG547" s="54">
        <v>-6.9483990990000004</v>
      </c>
      <c r="BH547" s="54">
        <v>107.3898025</v>
      </c>
      <c r="BI547" s="54"/>
      <c r="BJ547" s="54">
        <v>42</v>
      </c>
      <c r="BK547" s="54">
        <v>139</v>
      </c>
      <c r="BL547" s="54">
        <v>52</v>
      </c>
      <c r="BM547" s="54">
        <v>1</v>
      </c>
      <c r="BN547" s="54">
        <v>1</v>
      </c>
    </row>
    <row r="548" spans="1:66" s="219" customFormat="1" hidden="1" x14ac:dyDescent="0.3">
      <c r="A548" s="54">
        <v>542</v>
      </c>
      <c r="B548" s="54" t="s">
        <v>1376</v>
      </c>
      <c r="C548" s="54" t="s">
        <v>1541</v>
      </c>
      <c r="D548" s="54" t="s">
        <v>52</v>
      </c>
      <c r="E548" s="54">
        <v>88673306</v>
      </c>
      <c r="F548" s="54" t="s">
        <v>2446</v>
      </c>
      <c r="G548" s="108">
        <v>39610</v>
      </c>
      <c r="H548" s="54">
        <v>3217111106080000</v>
      </c>
      <c r="I548" s="54" t="s">
        <v>2353</v>
      </c>
      <c r="J548" s="54" t="s">
        <v>2565</v>
      </c>
      <c r="K548" s="54">
        <v>1</v>
      </c>
      <c r="L548" s="54">
        <v>1</v>
      </c>
      <c r="M548" s="54"/>
      <c r="N548" s="54" t="s">
        <v>2566</v>
      </c>
      <c r="O548" s="54" t="s">
        <v>2426</v>
      </c>
      <c r="P548" s="54">
        <v>40562</v>
      </c>
      <c r="Q548" s="54" t="s">
        <v>2357</v>
      </c>
      <c r="R548" s="54" t="s">
        <v>2358</v>
      </c>
      <c r="S548" s="54"/>
      <c r="T548" s="54">
        <v>83824334349</v>
      </c>
      <c r="U548" s="54"/>
      <c r="V548" s="54"/>
      <c r="W548" s="54" t="s">
        <v>2359</v>
      </c>
      <c r="X548" s="54" t="s">
        <v>3661</v>
      </c>
      <c r="Y548" s="54" t="s">
        <v>2746</v>
      </c>
      <c r="Z548" s="54">
        <v>1972</v>
      </c>
      <c r="AA548" s="54" t="s">
        <v>2361</v>
      </c>
      <c r="AB548" s="54" t="s">
        <v>2362</v>
      </c>
      <c r="AC548" s="54" t="s">
        <v>2403</v>
      </c>
      <c r="AD548" s="54">
        <v>3217111101720000</v>
      </c>
      <c r="AE548" s="54" t="s">
        <v>3662</v>
      </c>
      <c r="AF548" s="54">
        <v>1982</v>
      </c>
      <c r="AG548" s="54" t="s">
        <v>2361</v>
      </c>
      <c r="AH548" s="54" t="s">
        <v>2365</v>
      </c>
      <c r="AI548" s="54" t="s">
        <v>2366</v>
      </c>
      <c r="AJ548" s="54">
        <v>3217115006820010</v>
      </c>
      <c r="AK548" s="54"/>
      <c r="AL548" s="54"/>
      <c r="AM548" s="54"/>
      <c r="AN548" s="54"/>
      <c r="AO548" s="54"/>
      <c r="AP548" s="54"/>
      <c r="AQ548" s="54" t="s">
        <v>5147</v>
      </c>
      <c r="AR548" s="54"/>
      <c r="AS548" s="54"/>
      <c r="AT548" s="54" t="s">
        <v>2369</v>
      </c>
      <c r="AU548" s="54" t="s">
        <v>3661</v>
      </c>
      <c r="AV548" s="54">
        <v>0</v>
      </c>
      <c r="AW548" s="54" t="s">
        <v>3663</v>
      </c>
      <c r="AX548" s="54">
        <v>3217112312090000</v>
      </c>
      <c r="AY548" s="54" t="s">
        <v>2460</v>
      </c>
      <c r="AZ548" s="54">
        <v>367101003429504</v>
      </c>
      <c r="BA548" s="54" t="s">
        <v>3664</v>
      </c>
      <c r="BB548" s="54" t="s">
        <v>2369</v>
      </c>
      <c r="BC548" s="54"/>
      <c r="BD548" s="54" t="s">
        <v>2371</v>
      </c>
      <c r="BE548" s="54"/>
      <c r="BF548" s="54">
        <v>1</v>
      </c>
      <c r="BG548" s="54">
        <v>-6.9743000000000004</v>
      </c>
      <c r="BH548" s="54">
        <v>107.43559999999999</v>
      </c>
      <c r="BI548" s="54">
        <v>3217112312090000</v>
      </c>
      <c r="BJ548" s="54">
        <v>35</v>
      </c>
      <c r="BK548" s="54">
        <v>130</v>
      </c>
      <c r="BL548" s="54">
        <v>54</v>
      </c>
      <c r="BM548" s="54">
        <v>2</v>
      </c>
      <c r="BN548" s="54">
        <v>1</v>
      </c>
    </row>
    <row r="549" spans="1:66" s="219" customFormat="1" hidden="1" x14ac:dyDescent="0.3">
      <c r="A549" s="54">
        <v>543</v>
      </c>
      <c r="B549" s="54" t="s">
        <v>1371</v>
      </c>
      <c r="C549" s="54" t="s">
        <v>1517</v>
      </c>
      <c r="D549" s="54" t="s">
        <v>53</v>
      </c>
      <c r="E549" s="54">
        <v>98071380</v>
      </c>
      <c r="F549" s="54" t="s">
        <v>2446</v>
      </c>
      <c r="G549" s="108">
        <v>39997</v>
      </c>
      <c r="H549" s="54">
        <v>3217114307090000</v>
      </c>
      <c r="I549" s="54" t="s">
        <v>2353</v>
      </c>
      <c r="J549" s="54" t="s">
        <v>3563</v>
      </c>
      <c r="K549" s="54"/>
      <c r="L549" s="54"/>
      <c r="M549" s="54"/>
      <c r="N549" s="54" t="s">
        <v>2617</v>
      </c>
      <c r="O549" s="54" t="s">
        <v>2426</v>
      </c>
      <c r="P549" s="54"/>
      <c r="Q549" s="54" t="s">
        <v>2357</v>
      </c>
      <c r="R549" s="54" t="s">
        <v>2358</v>
      </c>
      <c r="S549" s="54"/>
      <c r="T549" s="54">
        <v>88214917721</v>
      </c>
      <c r="U549" s="54"/>
      <c r="V549" s="54"/>
      <c r="W549" s="54" t="s">
        <v>2359</v>
      </c>
      <c r="X549" s="54"/>
      <c r="Y549" s="54" t="s">
        <v>3564</v>
      </c>
      <c r="Z549" s="54"/>
      <c r="AA549" s="54"/>
      <c r="AB549" s="54" t="s">
        <v>2493</v>
      </c>
      <c r="AC549" s="54" t="s">
        <v>2363</v>
      </c>
      <c r="AD549" s="54"/>
      <c r="AE549" s="54" t="s">
        <v>3565</v>
      </c>
      <c r="AF549" s="54"/>
      <c r="AG549" s="54" t="s">
        <v>2390</v>
      </c>
      <c r="AH549" s="54" t="s">
        <v>2472</v>
      </c>
      <c r="AI549" s="54" t="s">
        <v>2403</v>
      </c>
      <c r="AJ549" s="54"/>
      <c r="AK549" s="54"/>
      <c r="AL549" s="54"/>
      <c r="AM549" s="54"/>
      <c r="AN549" s="54"/>
      <c r="AO549" s="54"/>
      <c r="AP549" s="54"/>
      <c r="AQ549" s="54" t="s">
        <v>5147</v>
      </c>
      <c r="AR549" s="54"/>
      <c r="AS549" s="54"/>
      <c r="AT549" s="54" t="s">
        <v>2359</v>
      </c>
      <c r="AU549" s="54"/>
      <c r="AV549" s="54">
        <v>1</v>
      </c>
      <c r="AW549" s="54"/>
      <c r="AX549" s="54"/>
      <c r="AY549" s="54"/>
      <c r="AZ549" s="54"/>
      <c r="BA549" s="54"/>
      <c r="BB549" s="54" t="s">
        <v>2359</v>
      </c>
      <c r="BC549" s="54"/>
      <c r="BD549" s="54" t="s">
        <v>2371</v>
      </c>
      <c r="BE549" s="54"/>
      <c r="BF549" s="54">
        <v>1</v>
      </c>
      <c r="BG549" s="54">
        <v>-6.9450000000000003</v>
      </c>
      <c r="BH549" s="54">
        <v>107.44580000000001</v>
      </c>
      <c r="BI549" s="54"/>
      <c r="BJ549" s="54">
        <v>48</v>
      </c>
      <c r="BK549" s="54">
        <v>145</v>
      </c>
      <c r="BL549" s="54">
        <v>58</v>
      </c>
      <c r="BM549" s="54">
        <v>2</v>
      </c>
      <c r="BN549" s="54">
        <v>2</v>
      </c>
    </row>
    <row r="550" spans="1:66" s="219" customFormat="1" hidden="1" x14ac:dyDescent="0.3">
      <c r="A550" s="54">
        <v>544</v>
      </c>
      <c r="B550" s="54" t="s">
        <v>2997</v>
      </c>
      <c r="C550" s="54" t="s">
        <v>2248</v>
      </c>
      <c r="D550" s="54" t="s">
        <v>53</v>
      </c>
      <c r="E550" s="54">
        <v>103942123</v>
      </c>
      <c r="F550" s="54" t="s">
        <v>2373</v>
      </c>
      <c r="G550" s="108">
        <v>40352</v>
      </c>
      <c r="H550" s="54">
        <v>3217126306100000</v>
      </c>
      <c r="I550" s="54" t="s">
        <v>2353</v>
      </c>
      <c r="J550" s="54" t="s">
        <v>2998</v>
      </c>
      <c r="K550" s="54">
        <v>2</v>
      </c>
      <c r="L550" s="54">
        <v>3</v>
      </c>
      <c r="M550" s="54"/>
      <c r="N550" s="54" t="s">
        <v>2438</v>
      </c>
      <c r="O550" s="54" t="s">
        <v>2356</v>
      </c>
      <c r="P550" s="54">
        <v>40564</v>
      </c>
      <c r="Q550" s="54" t="s">
        <v>2357</v>
      </c>
      <c r="R550" s="54" t="s">
        <v>2358</v>
      </c>
      <c r="S550" s="54"/>
      <c r="T550" s="54">
        <v>83116572254</v>
      </c>
      <c r="U550" s="54"/>
      <c r="V550" s="54"/>
      <c r="W550" s="54" t="s">
        <v>2369</v>
      </c>
      <c r="X550" s="54" t="s">
        <v>2999</v>
      </c>
      <c r="Y550" s="54" t="s">
        <v>3000</v>
      </c>
      <c r="Z550" s="54">
        <v>1973</v>
      </c>
      <c r="AA550" s="54" t="s">
        <v>2402</v>
      </c>
      <c r="AB550" s="54" t="s">
        <v>2362</v>
      </c>
      <c r="AC550" s="54" t="s">
        <v>2403</v>
      </c>
      <c r="AD550" s="54">
        <v>3217123001730000</v>
      </c>
      <c r="AE550" s="54" t="s">
        <v>3001</v>
      </c>
      <c r="AF550" s="54">
        <v>1976</v>
      </c>
      <c r="AG550" s="54" t="s">
        <v>2390</v>
      </c>
      <c r="AH550" s="54" t="s">
        <v>2365</v>
      </c>
      <c r="AI550" s="54" t="s">
        <v>2366</v>
      </c>
      <c r="AJ550" s="54">
        <v>3217124606760000</v>
      </c>
      <c r="AK550" s="54"/>
      <c r="AL550" s="54"/>
      <c r="AM550" s="54" t="s">
        <v>2367</v>
      </c>
      <c r="AN550" s="54"/>
      <c r="AO550" s="54"/>
      <c r="AP550" s="54"/>
      <c r="AQ550" s="54" t="s">
        <v>8178</v>
      </c>
      <c r="AR550" s="54"/>
      <c r="AS550" s="54"/>
      <c r="AT550" s="54" t="s">
        <v>2359</v>
      </c>
      <c r="AU550" s="54"/>
      <c r="AV550" s="54">
        <v>0</v>
      </c>
      <c r="AW550" s="54"/>
      <c r="AX550" s="54" t="s">
        <v>3002</v>
      </c>
      <c r="AY550" s="54"/>
      <c r="AZ550" s="54"/>
      <c r="BA550" s="54"/>
      <c r="BB550" s="54" t="s">
        <v>2369</v>
      </c>
      <c r="BC550" s="54" t="s">
        <v>2443</v>
      </c>
      <c r="BD550" s="54" t="s">
        <v>2371</v>
      </c>
      <c r="BE550" s="54" t="s">
        <v>2880</v>
      </c>
      <c r="BF550" s="54">
        <v>2</v>
      </c>
      <c r="BG550" s="54">
        <v>-6.955800107</v>
      </c>
      <c r="BH550" s="54">
        <v>107.40009070000001</v>
      </c>
      <c r="BI550" s="54"/>
      <c r="BJ550" s="54">
        <v>40</v>
      </c>
      <c r="BK550" s="54">
        <v>136</v>
      </c>
      <c r="BL550" s="54">
        <v>0</v>
      </c>
      <c r="BM550" s="54">
        <v>0</v>
      </c>
      <c r="BN550" s="54">
        <v>0</v>
      </c>
    </row>
    <row r="551" spans="1:66" hidden="1" x14ac:dyDescent="0.3">
      <c r="A551" s="3">
        <v>545</v>
      </c>
      <c r="B551" s="3" t="s">
        <v>5071</v>
      </c>
      <c r="C551" s="3" t="s">
        <v>4386</v>
      </c>
      <c r="D551" s="3" t="s">
        <v>53</v>
      </c>
      <c r="E551" s="3">
        <v>113443207</v>
      </c>
      <c r="F551" s="3" t="s">
        <v>2373</v>
      </c>
      <c r="G551" s="157">
        <v>40609</v>
      </c>
      <c r="H551" s="3">
        <v>3217124703110000</v>
      </c>
      <c r="I551" s="3" t="s">
        <v>2353</v>
      </c>
      <c r="J551" s="3" t="s">
        <v>2507</v>
      </c>
      <c r="K551" s="3">
        <v>2</v>
      </c>
      <c r="L551" s="3">
        <v>3</v>
      </c>
      <c r="M551" s="3">
        <v>2</v>
      </c>
      <c r="N551" s="3" t="s">
        <v>4557</v>
      </c>
      <c r="O551" s="3" t="s">
        <v>2356</v>
      </c>
      <c r="P551" s="3">
        <v>40564</v>
      </c>
      <c r="Q551" s="3" t="s">
        <v>2357</v>
      </c>
      <c r="R551" s="3" t="s">
        <v>2358</v>
      </c>
      <c r="S551" s="3"/>
      <c r="T551" s="3">
        <v>8886393446</v>
      </c>
      <c r="U551" s="3"/>
      <c r="V551" s="3"/>
      <c r="W551" s="3" t="s">
        <v>2359</v>
      </c>
      <c r="X551" s="3"/>
      <c r="Y551" s="3" t="s">
        <v>5072</v>
      </c>
      <c r="Z551" s="3">
        <v>1988</v>
      </c>
      <c r="AA551" s="3" t="s">
        <v>2361</v>
      </c>
      <c r="AB551" s="3" t="s">
        <v>2362</v>
      </c>
      <c r="AC551" s="3" t="s">
        <v>2403</v>
      </c>
      <c r="AD551" s="3">
        <v>3217120101880030</v>
      </c>
      <c r="AE551" s="3" t="s">
        <v>5073</v>
      </c>
      <c r="AF551" s="3">
        <v>1992</v>
      </c>
      <c r="AG551" s="3" t="s">
        <v>2402</v>
      </c>
      <c r="AH551" s="3" t="s">
        <v>2365</v>
      </c>
      <c r="AI551" s="3" t="s">
        <v>2366</v>
      </c>
      <c r="AJ551" s="3">
        <v>3217125909920000</v>
      </c>
      <c r="AK551" s="3"/>
      <c r="AL551" s="3"/>
      <c r="AM551" s="3" t="s">
        <v>2367</v>
      </c>
      <c r="AN551" s="3"/>
      <c r="AO551" s="3"/>
      <c r="AP551" s="3"/>
      <c r="AQ551" s="3" t="s">
        <v>5151</v>
      </c>
      <c r="AR551" s="3"/>
      <c r="AS551" s="3"/>
      <c r="AT551" s="3" t="s">
        <v>2359</v>
      </c>
      <c r="AU551" s="3"/>
      <c r="AV551" s="3">
        <v>0</v>
      </c>
      <c r="AW551" s="3"/>
      <c r="AX551" s="3" t="s">
        <v>5074</v>
      </c>
      <c r="AY551" s="3"/>
      <c r="AZ551" s="3"/>
      <c r="BA551" s="3"/>
      <c r="BB551" s="3" t="s">
        <v>2369</v>
      </c>
      <c r="BC551" s="3" t="s">
        <v>2370</v>
      </c>
      <c r="BD551" s="3" t="s">
        <v>2371</v>
      </c>
      <c r="BE551" s="3" t="s">
        <v>2880</v>
      </c>
      <c r="BF551" s="3">
        <v>1</v>
      </c>
      <c r="BG551" s="3">
        <v>-6.9588459599999997</v>
      </c>
      <c r="BH551" s="3">
        <v>107.39775179999999</v>
      </c>
      <c r="BI551" s="3">
        <v>3204142709180000</v>
      </c>
      <c r="BJ551" s="3">
        <v>48</v>
      </c>
      <c r="BK551" s="3">
        <v>142</v>
      </c>
      <c r="BL551" s="3">
        <v>55</v>
      </c>
      <c r="BM551" s="3">
        <v>1</v>
      </c>
      <c r="BN551" s="3">
        <v>2</v>
      </c>
    </row>
    <row r="552" spans="1:66" s="219" customFormat="1" hidden="1" x14ac:dyDescent="0.3">
      <c r="A552" s="54">
        <v>546</v>
      </c>
      <c r="B552" s="54" t="s">
        <v>1890</v>
      </c>
      <c r="C552" s="54" t="s">
        <v>1542</v>
      </c>
      <c r="D552" s="54" t="s">
        <v>53</v>
      </c>
      <c r="E552" s="54">
        <v>87633012</v>
      </c>
      <c r="F552" s="54" t="s">
        <v>2373</v>
      </c>
      <c r="G552" s="108">
        <v>40176</v>
      </c>
      <c r="H552" s="54">
        <v>3217126912080000</v>
      </c>
      <c r="I552" s="54" t="s">
        <v>2353</v>
      </c>
      <c r="J552" s="54" t="s">
        <v>3467</v>
      </c>
      <c r="K552" s="54">
        <v>2</v>
      </c>
      <c r="L552" s="54">
        <v>8</v>
      </c>
      <c r="M552" s="54" t="s">
        <v>3665</v>
      </c>
      <c r="N552" s="54" t="s">
        <v>3666</v>
      </c>
      <c r="O552" s="54" t="s">
        <v>2356</v>
      </c>
      <c r="P552" s="54">
        <v>40564</v>
      </c>
      <c r="Q552" s="54" t="s">
        <v>2357</v>
      </c>
      <c r="R552" s="54" t="s">
        <v>2358</v>
      </c>
      <c r="S552" s="54"/>
      <c r="T552" s="54"/>
      <c r="U552" s="54"/>
      <c r="V552" s="54"/>
      <c r="W552" s="54" t="s">
        <v>2359</v>
      </c>
      <c r="X552" s="54" t="s">
        <v>3667</v>
      </c>
      <c r="Y552" s="54" t="s">
        <v>3668</v>
      </c>
      <c r="Z552" s="54">
        <v>1982</v>
      </c>
      <c r="AA552" s="54" t="s">
        <v>2361</v>
      </c>
      <c r="AB552" s="54" t="s">
        <v>2362</v>
      </c>
      <c r="AC552" s="54" t="s">
        <v>2403</v>
      </c>
      <c r="AD552" s="54">
        <v>3217120809820010</v>
      </c>
      <c r="AE552" s="54" t="s">
        <v>3669</v>
      </c>
      <c r="AF552" s="54">
        <v>1981</v>
      </c>
      <c r="AG552" s="54" t="s">
        <v>2390</v>
      </c>
      <c r="AH552" s="54" t="s">
        <v>2365</v>
      </c>
      <c r="AI552" s="54" t="s">
        <v>2366</v>
      </c>
      <c r="AJ552" s="54">
        <v>3217127011810000</v>
      </c>
      <c r="AK552" s="54"/>
      <c r="AL552" s="54"/>
      <c r="AM552" s="54"/>
      <c r="AN552" s="54"/>
      <c r="AO552" s="54"/>
      <c r="AP552" s="54"/>
      <c r="AQ552" s="54" t="s">
        <v>5147</v>
      </c>
      <c r="AR552" s="54"/>
      <c r="AS552" s="54"/>
      <c r="AT552" s="54" t="s">
        <v>2369</v>
      </c>
      <c r="AU552" s="54" t="s">
        <v>3667</v>
      </c>
      <c r="AV552" s="54">
        <v>0</v>
      </c>
      <c r="AW552" s="54"/>
      <c r="AX552" s="54"/>
      <c r="AY552" s="54" t="s">
        <v>2460</v>
      </c>
      <c r="AZ552" s="54">
        <v>411601003878508</v>
      </c>
      <c r="BA552" s="54" t="s">
        <v>1890</v>
      </c>
      <c r="BB552" s="54" t="s">
        <v>2369</v>
      </c>
      <c r="BC552" s="54"/>
      <c r="BD552" s="54" t="s">
        <v>2371</v>
      </c>
      <c r="BE552" s="54"/>
      <c r="BF552" s="54">
        <v>1</v>
      </c>
      <c r="BG552" s="54">
        <v>-6.9661</v>
      </c>
      <c r="BH552" s="54">
        <v>107.4057</v>
      </c>
      <c r="BI552" s="54">
        <v>3217121807120020</v>
      </c>
      <c r="BJ552" s="54">
        <v>41</v>
      </c>
      <c r="BK552" s="54">
        <v>127</v>
      </c>
      <c r="BL552" s="54">
        <v>52</v>
      </c>
      <c r="BM552" s="54">
        <v>1</v>
      </c>
      <c r="BN552" s="54">
        <v>1</v>
      </c>
    </row>
    <row r="553" spans="1:66" x14ac:dyDescent="0.3">
      <c r="A553" s="3">
        <v>547</v>
      </c>
      <c r="B553" s="3" t="s">
        <v>3957</v>
      </c>
      <c r="C553" s="3" t="s">
        <v>4418</v>
      </c>
      <c r="D553" s="3" t="s">
        <v>53</v>
      </c>
      <c r="E553" s="3">
        <v>117115228</v>
      </c>
      <c r="F553" s="3" t="s">
        <v>2377</v>
      </c>
      <c r="G553" s="157">
        <v>40730</v>
      </c>
      <c r="H553" s="3">
        <v>3217124607110000</v>
      </c>
      <c r="I553" s="3" t="s">
        <v>2353</v>
      </c>
      <c r="J553" s="3" t="s">
        <v>5075</v>
      </c>
      <c r="K553" s="3">
        <v>2</v>
      </c>
      <c r="L553" s="3">
        <v>9</v>
      </c>
      <c r="M553" s="3" t="s">
        <v>5075</v>
      </c>
      <c r="N553" s="3" t="s">
        <v>4527</v>
      </c>
      <c r="O553" s="3" t="s">
        <v>2356</v>
      </c>
      <c r="P553" s="3">
        <v>40764</v>
      </c>
      <c r="Q553" s="3" t="s">
        <v>2357</v>
      </c>
      <c r="R553" s="3" t="s">
        <v>2358</v>
      </c>
      <c r="S553" s="3"/>
      <c r="T553" s="3">
        <v>83171332226</v>
      </c>
      <c r="U553" s="3"/>
      <c r="V553" s="3"/>
      <c r="W553" s="3" t="s">
        <v>2359</v>
      </c>
      <c r="X553" s="3"/>
      <c r="Y553" s="3" t="s">
        <v>3981</v>
      </c>
      <c r="Z553" s="3">
        <v>1983</v>
      </c>
      <c r="AA553" s="3" t="s">
        <v>2402</v>
      </c>
      <c r="AB553" s="3" t="s">
        <v>2362</v>
      </c>
      <c r="AC553" s="3" t="s">
        <v>2363</v>
      </c>
      <c r="AD553" s="3">
        <v>3217120506830040</v>
      </c>
      <c r="AE553" s="3" t="s">
        <v>5076</v>
      </c>
      <c r="AF553" s="3">
        <v>1988</v>
      </c>
      <c r="AG553" s="3" t="s">
        <v>2402</v>
      </c>
      <c r="AH553" s="3" t="s">
        <v>2365</v>
      </c>
      <c r="AI553" s="3" t="s">
        <v>2366</v>
      </c>
      <c r="AJ553" s="3">
        <v>3217126606880010</v>
      </c>
      <c r="AK553" s="3"/>
      <c r="AL553" s="3"/>
      <c r="AM553" s="3" t="s">
        <v>2367</v>
      </c>
      <c r="AN553" s="3"/>
      <c r="AO553" s="3"/>
      <c r="AP553" s="3"/>
      <c r="AQ553" s="3" t="s">
        <v>5148</v>
      </c>
      <c r="AR553" s="3"/>
      <c r="AS553" s="3"/>
      <c r="AT553" s="3" t="s">
        <v>2369</v>
      </c>
      <c r="AU553" s="3"/>
      <c r="AV553" s="3">
        <v>0</v>
      </c>
      <c r="AW553" s="3"/>
      <c r="AX553" s="3" t="s">
        <v>3980</v>
      </c>
      <c r="AY553" s="3"/>
      <c r="AZ553" s="3"/>
      <c r="BA553" s="3"/>
      <c r="BB553" s="3" t="s">
        <v>2369</v>
      </c>
      <c r="BC553" s="3"/>
      <c r="BD553" s="3" t="s">
        <v>2371</v>
      </c>
      <c r="BE553" s="3" t="s">
        <v>2937</v>
      </c>
      <c r="BF553" s="3">
        <v>1</v>
      </c>
      <c r="BG553" s="3">
        <v>-6.9486999999999997</v>
      </c>
      <c r="BH553" s="3">
        <v>107.3831</v>
      </c>
      <c r="BI553" s="3">
        <v>3217120502140020</v>
      </c>
      <c r="BJ553" s="3">
        <v>42</v>
      </c>
      <c r="BK553" s="3">
        <v>138</v>
      </c>
      <c r="BL553" s="3">
        <v>57</v>
      </c>
      <c r="BM553" s="3">
        <v>1</v>
      </c>
      <c r="BN553" s="3">
        <v>2</v>
      </c>
    </row>
    <row r="554" spans="1:66" s="219" customFormat="1" hidden="1" x14ac:dyDescent="0.3">
      <c r="A554" s="54">
        <v>548</v>
      </c>
      <c r="B554" s="54" t="s">
        <v>1835</v>
      </c>
      <c r="C554" s="54" t="s">
        <v>1481</v>
      </c>
      <c r="D554" s="54" t="s">
        <v>53</v>
      </c>
      <c r="E554" s="54">
        <v>3089234990</v>
      </c>
      <c r="F554" s="54" t="s">
        <v>2373</v>
      </c>
      <c r="G554" s="108">
        <v>39783</v>
      </c>
      <c r="H554" s="54">
        <v>3217114112080000</v>
      </c>
      <c r="I554" s="54" t="s">
        <v>2353</v>
      </c>
      <c r="J554" s="54" t="s">
        <v>2582</v>
      </c>
      <c r="K554" s="54">
        <v>4</v>
      </c>
      <c r="L554" s="54">
        <v>14</v>
      </c>
      <c r="M554" s="54"/>
      <c r="N554" s="54" t="s">
        <v>2425</v>
      </c>
      <c r="O554" s="54" t="s">
        <v>2426</v>
      </c>
      <c r="P554" s="54">
        <v>40562</v>
      </c>
      <c r="Q554" s="54" t="s">
        <v>2357</v>
      </c>
      <c r="R554" s="54" t="s">
        <v>2358</v>
      </c>
      <c r="S554" s="54"/>
      <c r="T554" s="54">
        <v>83101092771</v>
      </c>
      <c r="U554" s="54"/>
      <c r="V554" s="54"/>
      <c r="W554" s="54" t="s">
        <v>2359</v>
      </c>
      <c r="X554" s="54"/>
      <c r="Y554" s="54"/>
      <c r="Z554" s="54">
        <v>1980</v>
      </c>
      <c r="AA554" s="54" t="s">
        <v>2402</v>
      </c>
      <c r="AB554" s="54" t="s">
        <v>2362</v>
      </c>
      <c r="AC554" s="54" t="s">
        <v>2363</v>
      </c>
      <c r="AD554" s="54"/>
      <c r="AE554" s="54" t="s">
        <v>3417</v>
      </c>
      <c r="AF554" s="54">
        <v>1985</v>
      </c>
      <c r="AG554" s="54"/>
      <c r="AH554" s="54" t="s">
        <v>2365</v>
      </c>
      <c r="AI554" s="54" t="s">
        <v>2366</v>
      </c>
      <c r="AJ554" s="54"/>
      <c r="AK554" s="54"/>
      <c r="AL554" s="54"/>
      <c r="AM554" s="54"/>
      <c r="AN554" s="54"/>
      <c r="AO554" s="54"/>
      <c r="AP554" s="54"/>
      <c r="AQ554" s="54" t="s">
        <v>5147</v>
      </c>
      <c r="AR554" s="54"/>
      <c r="AS554" s="54"/>
      <c r="AT554" s="54" t="s">
        <v>2359</v>
      </c>
      <c r="AU554" s="54"/>
      <c r="AV554" s="54">
        <v>0</v>
      </c>
      <c r="AW554" s="54"/>
      <c r="AX554" s="54" t="s">
        <v>3418</v>
      </c>
      <c r="AY554" s="54"/>
      <c r="AZ554" s="54"/>
      <c r="BA554" s="54"/>
      <c r="BB554" s="54" t="s">
        <v>2369</v>
      </c>
      <c r="BC554" s="54" t="s">
        <v>2370</v>
      </c>
      <c r="BD554" s="54" t="s">
        <v>2371</v>
      </c>
      <c r="BE554" s="54"/>
      <c r="BF554" s="54">
        <v>1</v>
      </c>
      <c r="BG554" s="54">
        <v>-6.9625000000000004</v>
      </c>
      <c r="BH554" s="54">
        <v>107.4346</v>
      </c>
      <c r="BI554" s="54">
        <v>3217110704080030</v>
      </c>
      <c r="BJ554" s="54">
        <v>37</v>
      </c>
      <c r="BK554" s="54">
        <v>136</v>
      </c>
      <c r="BL554" s="54">
        <v>55</v>
      </c>
      <c r="BM554" s="54">
        <v>1</v>
      </c>
      <c r="BN554" s="54">
        <v>1</v>
      </c>
    </row>
    <row r="555" spans="1:66" s="219" customFormat="1" hidden="1" x14ac:dyDescent="0.3">
      <c r="A555" s="54">
        <v>549</v>
      </c>
      <c r="B555" s="54" t="s">
        <v>1363</v>
      </c>
      <c r="C555" s="54" t="s">
        <v>1482</v>
      </c>
      <c r="D555" s="54" t="s">
        <v>53</v>
      </c>
      <c r="E555" s="54">
        <v>95781932</v>
      </c>
      <c r="F555" s="54" t="s">
        <v>2446</v>
      </c>
      <c r="G555" s="108">
        <v>40005</v>
      </c>
      <c r="H555" s="54">
        <v>3217115107090000</v>
      </c>
      <c r="I555" s="54" t="s">
        <v>2353</v>
      </c>
      <c r="J555" s="54" t="s">
        <v>3112</v>
      </c>
      <c r="K555" s="54">
        <v>2</v>
      </c>
      <c r="L555" s="54">
        <v>14</v>
      </c>
      <c r="M555" s="54" t="s">
        <v>2582</v>
      </c>
      <c r="N555" s="54" t="s">
        <v>2425</v>
      </c>
      <c r="O555" s="54" t="s">
        <v>2426</v>
      </c>
      <c r="P555" s="54">
        <v>40562</v>
      </c>
      <c r="Q555" s="54" t="s">
        <v>2357</v>
      </c>
      <c r="R555" s="54" t="s">
        <v>2358</v>
      </c>
      <c r="S555" s="54"/>
      <c r="T555" s="54">
        <v>83822754896</v>
      </c>
      <c r="U555" s="54"/>
      <c r="V555" s="54"/>
      <c r="W555" s="54" t="s">
        <v>2359</v>
      </c>
      <c r="X555" s="54"/>
      <c r="Y555" s="54" t="s">
        <v>3419</v>
      </c>
      <c r="Z555" s="54">
        <v>1970</v>
      </c>
      <c r="AA555" s="54" t="s">
        <v>2361</v>
      </c>
      <c r="AB555" s="54" t="s">
        <v>2362</v>
      </c>
      <c r="AC555" s="54" t="s">
        <v>2403</v>
      </c>
      <c r="AD555" s="54"/>
      <c r="AE555" s="54" t="s">
        <v>3420</v>
      </c>
      <c r="AF555" s="54">
        <v>1977</v>
      </c>
      <c r="AG555" s="54" t="s">
        <v>2361</v>
      </c>
      <c r="AH555" s="54" t="s">
        <v>2365</v>
      </c>
      <c r="AI555" s="54" t="s">
        <v>2366</v>
      </c>
      <c r="AJ555" s="54"/>
      <c r="AK555" s="54"/>
      <c r="AL555" s="54"/>
      <c r="AM555" s="54"/>
      <c r="AN555" s="54"/>
      <c r="AO555" s="54"/>
      <c r="AP555" s="54"/>
      <c r="AQ555" s="54" t="s">
        <v>5147</v>
      </c>
      <c r="AR555" s="54"/>
      <c r="AS555" s="54"/>
      <c r="AT555" s="54" t="s">
        <v>2359</v>
      </c>
      <c r="AU555" s="54"/>
      <c r="AV555" s="54">
        <v>0</v>
      </c>
      <c r="AW555" s="54"/>
      <c r="AX555" s="54" t="s">
        <v>3421</v>
      </c>
      <c r="AY555" s="54"/>
      <c r="AZ555" s="54"/>
      <c r="BA555" s="54"/>
      <c r="BB555" s="54" t="s">
        <v>2369</v>
      </c>
      <c r="BC555" s="54" t="s">
        <v>2370</v>
      </c>
      <c r="BD555" s="54" t="s">
        <v>2371</v>
      </c>
      <c r="BE555" s="54"/>
      <c r="BF555" s="54">
        <v>3</v>
      </c>
      <c r="BG555" s="54">
        <v>-6.9514541999999997</v>
      </c>
      <c r="BH555" s="54">
        <v>107.4179645</v>
      </c>
      <c r="BI555" s="54"/>
      <c r="BJ555" s="54">
        <v>42</v>
      </c>
      <c r="BK555" s="54">
        <v>141</v>
      </c>
      <c r="BL555" s="54">
        <v>58</v>
      </c>
      <c r="BM555" s="54">
        <v>2</v>
      </c>
      <c r="BN555" s="54">
        <v>1</v>
      </c>
    </row>
    <row r="556" spans="1:66" s="219" customFormat="1" hidden="1" x14ac:dyDescent="0.3">
      <c r="A556" s="54">
        <v>550</v>
      </c>
      <c r="B556" s="54" t="s">
        <v>1357</v>
      </c>
      <c r="C556" s="54" t="s">
        <v>1453</v>
      </c>
      <c r="D556" s="54" t="s">
        <v>53</v>
      </c>
      <c r="E556" s="54">
        <v>84636682</v>
      </c>
      <c r="F556" s="54" t="s">
        <v>2446</v>
      </c>
      <c r="G556" s="108">
        <v>39777</v>
      </c>
      <c r="H556" s="54">
        <v>3217116511080000</v>
      </c>
      <c r="I556" s="54" t="s">
        <v>2353</v>
      </c>
      <c r="J556" s="54" t="s">
        <v>3165</v>
      </c>
      <c r="K556" s="54">
        <v>3</v>
      </c>
      <c r="L556" s="54">
        <v>9</v>
      </c>
      <c r="M556" s="54"/>
      <c r="N556" s="54" t="s">
        <v>3320</v>
      </c>
      <c r="O556" s="54" t="s">
        <v>2426</v>
      </c>
      <c r="P556" s="54">
        <v>40562</v>
      </c>
      <c r="Q556" s="54" t="s">
        <v>2357</v>
      </c>
      <c r="R556" s="54" t="s">
        <v>2358</v>
      </c>
      <c r="S556" s="54"/>
      <c r="T556" s="54"/>
      <c r="U556" s="54"/>
      <c r="V556" s="54"/>
      <c r="W556" s="54" t="s">
        <v>2369</v>
      </c>
      <c r="X556" s="54" t="s">
        <v>3321</v>
      </c>
      <c r="Y556" s="54" t="s">
        <v>3322</v>
      </c>
      <c r="Z556" s="54">
        <v>1974</v>
      </c>
      <c r="AA556" s="54" t="s">
        <v>2361</v>
      </c>
      <c r="AB556" s="54" t="s">
        <v>2362</v>
      </c>
      <c r="AC556" s="54" t="s">
        <v>2403</v>
      </c>
      <c r="AD556" s="54">
        <v>3217111505740010</v>
      </c>
      <c r="AE556" s="54" t="s">
        <v>3323</v>
      </c>
      <c r="AF556" s="54">
        <v>1979</v>
      </c>
      <c r="AG556" s="54" t="s">
        <v>2361</v>
      </c>
      <c r="AH556" s="54" t="s">
        <v>2365</v>
      </c>
      <c r="AI556" s="54" t="s">
        <v>2366</v>
      </c>
      <c r="AJ556" s="54">
        <v>3217114502790000</v>
      </c>
      <c r="AK556" s="54"/>
      <c r="AL556" s="54"/>
      <c r="AM556" s="54"/>
      <c r="AN556" s="54"/>
      <c r="AO556" s="54"/>
      <c r="AP556" s="54"/>
      <c r="AQ556" s="54" t="s">
        <v>5147</v>
      </c>
      <c r="AR556" s="54"/>
      <c r="AS556" s="54"/>
      <c r="AT556" s="54" t="s">
        <v>2359</v>
      </c>
      <c r="AU556" s="54"/>
      <c r="AV556" s="54">
        <v>0</v>
      </c>
      <c r="AW556" s="54" t="s">
        <v>3324</v>
      </c>
      <c r="AX556" s="54" t="s">
        <v>3325</v>
      </c>
      <c r="AY556" s="54"/>
      <c r="AZ556" s="54"/>
      <c r="BA556" s="54"/>
      <c r="BB556" s="54" t="s">
        <v>2369</v>
      </c>
      <c r="BC556" s="54" t="s">
        <v>2443</v>
      </c>
      <c r="BD556" s="54" t="s">
        <v>2371</v>
      </c>
      <c r="BE556" s="54"/>
      <c r="BF556" s="54">
        <v>3</v>
      </c>
      <c r="BG556" s="54">
        <v>-6.9743000000000004</v>
      </c>
      <c r="BH556" s="54">
        <v>107.43559999999999</v>
      </c>
      <c r="BI556" s="54"/>
      <c r="BJ556" s="54">
        <v>35</v>
      </c>
      <c r="BK556" s="54">
        <v>130</v>
      </c>
      <c r="BL556" s="54">
        <v>55</v>
      </c>
      <c r="BM556" s="54">
        <v>2</v>
      </c>
      <c r="BN556" s="54">
        <v>1</v>
      </c>
    </row>
    <row r="557" spans="1:66" s="219" customFormat="1" hidden="1" x14ac:dyDescent="0.3">
      <c r="A557" s="54">
        <v>551</v>
      </c>
      <c r="B557" s="54" t="s">
        <v>2766</v>
      </c>
      <c r="C557" s="54" t="s">
        <v>2187</v>
      </c>
      <c r="D557" s="54" t="s">
        <v>53</v>
      </c>
      <c r="E557" s="54">
        <v>99052744</v>
      </c>
      <c r="F557" s="54" t="s">
        <v>2373</v>
      </c>
      <c r="G557" s="108">
        <v>40112</v>
      </c>
      <c r="H557" s="54">
        <v>3217126610090000</v>
      </c>
      <c r="I557" s="54" t="s">
        <v>2353</v>
      </c>
      <c r="J557" s="54" t="s">
        <v>2462</v>
      </c>
      <c r="K557" s="54">
        <v>3</v>
      </c>
      <c r="L557" s="54">
        <v>5</v>
      </c>
      <c r="M557" s="54" t="s">
        <v>2463</v>
      </c>
      <c r="N557" s="54" t="s">
        <v>2438</v>
      </c>
      <c r="O557" s="54" t="s">
        <v>2356</v>
      </c>
      <c r="P557" s="54">
        <v>40764</v>
      </c>
      <c r="Q557" s="54" t="s">
        <v>2357</v>
      </c>
      <c r="R557" s="54" t="s">
        <v>2358</v>
      </c>
      <c r="S557" s="54"/>
      <c r="T557" s="54">
        <v>83829354018</v>
      </c>
      <c r="U557" s="54"/>
      <c r="V557" s="54"/>
      <c r="W557" s="54" t="s">
        <v>2369</v>
      </c>
      <c r="X557" s="54"/>
      <c r="Y557" s="54" t="s">
        <v>2767</v>
      </c>
      <c r="Z557" s="54">
        <v>1959</v>
      </c>
      <c r="AA557" s="54" t="s">
        <v>2361</v>
      </c>
      <c r="AB557" s="54" t="s">
        <v>2362</v>
      </c>
      <c r="AC557" s="54" t="s">
        <v>2403</v>
      </c>
      <c r="AD557" s="54">
        <v>3217120102590010</v>
      </c>
      <c r="AE557" s="54" t="s">
        <v>2768</v>
      </c>
      <c r="AF557" s="54">
        <v>1968</v>
      </c>
      <c r="AG557" s="54" t="s">
        <v>2361</v>
      </c>
      <c r="AH557" s="54" t="s">
        <v>2365</v>
      </c>
      <c r="AI557" s="54" t="s">
        <v>2366</v>
      </c>
      <c r="AJ557" s="54">
        <v>3217125306680010</v>
      </c>
      <c r="AK557" s="54"/>
      <c r="AL557" s="54"/>
      <c r="AM557" s="54" t="s">
        <v>2367</v>
      </c>
      <c r="AN557" s="54"/>
      <c r="AO557" s="54"/>
      <c r="AP557" s="54"/>
      <c r="AQ557" s="54" t="s">
        <v>8180</v>
      </c>
      <c r="AR557" s="54"/>
      <c r="AS557" s="54"/>
      <c r="AT557" s="54" t="s">
        <v>2369</v>
      </c>
      <c r="AU557" s="54" t="s">
        <v>2769</v>
      </c>
      <c r="AV557" s="54">
        <v>0</v>
      </c>
      <c r="AW557" s="54" t="s">
        <v>2770</v>
      </c>
      <c r="AX557" s="54" t="s">
        <v>2771</v>
      </c>
      <c r="AY557" s="54" t="s">
        <v>2460</v>
      </c>
      <c r="AZ557" s="54">
        <v>411601003913502</v>
      </c>
      <c r="BA557" s="54" t="s">
        <v>2766</v>
      </c>
      <c r="BB557" s="54" t="s">
        <v>2369</v>
      </c>
      <c r="BC557" s="54"/>
      <c r="BD557" s="54" t="s">
        <v>2371</v>
      </c>
      <c r="BE557" s="54" t="s">
        <v>2444</v>
      </c>
      <c r="BF557" s="54">
        <v>4</v>
      </c>
      <c r="BG557" s="54">
        <v>-6.9530000000000003</v>
      </c>
      <c r="BH557" s="54">
        <v>107.4034</v>
      </c>
      <c r="BI557" s="54">
        <v>3217122811120000</v>
      </c>
      <c r="BJ557" s="54">
        <v>42</v>
      </c>
      <c r="BK557" s="54">
        <v>140</v>
      </c>
      <c r="BL557" s="54">
        <v>0</v>
      </c>
      <c r="BM557" s="54">
        <v>0</v>
      </c>
      <c r="BN557" s="54">
        <v>0</v>
      </c>
    </row>
    <row r="558" spans="1:66" x14ac:dyDescent="0.3">
      <c r="A558" s="3">
        <v>552</v>
      </c>
      <c r="B558" s="3" t="s">
        <v>5077</v>
      </c>
      <c r="C558" s="3" t="s">
        <v>5078</v>
      </c>
      <c r="D558" s="3" t="s">
        <v>53</v>
      </c>
      <c r="E558" s="3">
        <v>3108909895</v>
      </c>
      <c r="F558" s="3" t="s">
        <v>2377</v>
      </c>
      <c r="G558" s="157">
        <v>40305</v>
      </c>
      <c r="H558" s="3">
        <v>3217114705100000</v>
      </c>
      <c r="I558" s="3" t="s">
        <v>2353</v>
      </c>
      <c r="J558" s="3" t="s">
        <v>2695</v>
      </c>
      <c r="K558" s="3"/>
      <c r="L558" s="3"/>
      <c r="M558" s="3"/>
      <c r="N558" s="3" t="s">
        <v>4508</v>
      </c>
      <c r="O558" s="3" t="s">
        <v>2426</v>
      </c>
      <c r="P558" s="3">
        <v>40560</v>
      </c>
      <c r="Q558" s="3" t="s">
        <v>2357</v>
      </c>
      <c r="R558" s="3" t="s">
        <v>2358</v>
      </c>
      <c r="S558" s="3"/>
      <c r="T558" s="3"/>
      <c r="U558" s="3"/>
      <c r="V558" s="3"/>
      <c r="W558" s="3" t="s">
        <v>2359</v>
      </c>
      <c r="X558" s="3"/>
      <c r="Y558" s="3"/>
      <c r="Z558" s="3">
        <v>0</v>
      </c>
      <c r="AA558" s="3"/>
      <c r="AB558" s="3"/>
      <c r="AC558" s="3"/>
      <c r="AD558" s="3"/>
      <c r="AE558" s="3" t="s">
        <v>5079</v>
      </c>
      <c r="AF558" s="3">
        <v>0</v>
      </c>
      <c r="AG558" s="3"/>
      <c r="AH558" s="3" t="s">
        <v>2365</v>
      </c>
      <c r="AI558" s="3" t="s">
        <v>2366</v>
      </c>
      <c r="AJ558" s="3"/>
      <c r="AK558" s="3"/>
      <c r="AL558" s="3"/>
      <c r="AM558" s="3"/>
      <c r="AN558" s="3"/>
      <c r="AO558" s="3"/>
      <c r="AP558" s="3"/>
      <c r="AQ558" s="3" t="s">
        <v>5148</v>
      </c>
      <c r="AR558" s="3" t="s">
        <v>5080</v>
      </c>
      <c r="AS558" s="3" t="s">
        <v>5081</v>
      </c>
      <c r="AT558" s="3" t="s">
        <v>2359</v>
      </c>
      <c r="AU558" s="3"/>
      <c r="AV558" s="3">
        <v>1</v>
      </c>
      <c r="AW558" s="3"/>
      <c r="AX558" s="3"/>
      <c r="AY558" s="3"/>
      <c r="AZ558" s="3"/>
      <c r="BA558" s="3"/>
      <c r="BB558" s="3" t="s">
        <v>2359</v>
      </c>
      <c r="BC558" s="3"/>
      <c r="BD558" s="3" t="s">
        <v>2371</v>
      </c>
      <c r="BE558" s="3" t="s">
        <v>2905</v>
      </c>
      <c r="BF558" s="3">
        <v>1</v>
      </c>
      <c r="BG558" s="3">
        <v>-6.9625000000000004</v>
      </c>
      <c r="BH558" s="3">
        <v>107.4346</v>
      </c>
      <c r="BI558" s="3"/>
      <c r="BJ558" s="3">
        <v>43</v>
      </c>
      <c r="BK558" s="3">
        <v>139</v>
      </c>
      <c r="BL558" s="3">
        <v>55</v>
      </c>
      <c r="BM558" s="3">
        <v>1</v>
      </c>
      <c r="BN558" s="3">
        <v>1</v>
      </c>
    </row>
    <row r="559" spans="1:66" hidden="1" x14ac:dyDescent="0.3">
      <c r="A559" s="3">
        <v>553</v>
      </c>
      <c r="B559" s="3" t="s">
        <v>3807</v>
      </c>
      <c r="C559" s="3" t="s">
        <v>4254</v>
      </c>
      <c r="D559" s="3" t="s">
        <v>53</v>
      </c>
      <c r="E559" s="3">
        <v>107198989</v>
      </c>
      <c r="F559" s="3" t="s">
        <v>3995</v>
      </c>
      <c r="G559" s="157">
        <v>40512</v>
      </c>
      <c r="H559" s="3">
        <v>3203037011100000</v>
      </c>
      <c r="I559" s="3" t="s">
        <v>2353</v>
      </c>
      <c r="J559" s="3" t="s">
        <v>5082</v>
      </c>
      <c r="K559" s="3">
        <v>1</v>
      </c>
      <c r="L559" s="3">
        <v>6</v>
      </c>
      <c r="M559" s="3">
        <v>4</v>
      </c>
      <c r="N559" s="3" t="s">
        <v>4557</v>
      </c>
      <c r="O559" s="3" t="s">
        <v>2356</v>
      </c>
      <c r="P559" s="3">
        <v>40564</v>
      </c>
      <c r="Q559" s="3" t="s">
        <v>2357</v>
      </c>
      <c r="R559" s="3" t="s">
        <v>2358</v>
      </c>
      <c r="S559" s="3"/>
      <c r="T559" s="3">
        <v>83829287322</v>
      </c>
      <c r="U559" s="3"/>
      <c r="V559" s="3"/>
      <c r="W559" s="3" t="s">
        <v>2359</v>
      </c>
      <c r="X559" s="3"/>
      <c r="Y559" s="3" t="s">
        <v>5083</v>
      </c>
      <c r="Z559" s="3">
        <v>1979</v>
      </c>
      <c r="AA559" s="3" t="s">
        <v>2402</v>
      </c>
      <c r="AB559" s="3" t="s">
        <v>2362</v>
      </c>
      <c r="AC559" s="3" t="s">
        <v>2403</v>
      </c>
      <c r="AD559" s="3"/>
      <c r="AE559" s="3" t="s">
        <v>3996</v>
      </c>
      <c r="AF559" s="3">
        <v>1980</v>
      </c>
      <c r="AG559" s="3" t="s">
        <v>2402</v>
      </c>
      <c r="AH559" s="3" t="s">
        <v>2365</v>
      </c>
      <c r="AI559" s="3" t="s">
        <v>2366</v>
      </c>
      <c r="AJ559" s="3">
        <v>3203035706800000</v>
      </c>
      <c r="AK559" s="3"/>
      <c r="AL559" s="3"/>
      <c r="AM559" s="3" t="s">
        <v>2367</v>
      </c>
      <c r="AN559" s="3"/>
      <c r="AO559" s="3"/>
      <c r="AP559" s="3"/>
      <c r="AQ559" s="3" t="s">
        <v>5146</v>
      </c>
      <c r="AR559" s="3"/>
      <c r="AS559" s="3"/>
      <c r="AT559" s="3" t="s">
        <v>2359</v>
      </c>
      <c r="AU559" s="3"/>
      <c r="AV559" s="3">
        <v>0</v>
      </c>
      <c r="AW559" s="3"/>
      <c r="AX559" s="3" t="s">
        <v>5084</v>
      </c>
      <c r="AY559" s="3"/>
      <c r="AZ559" s="3"/>
      <c r="BA559" s="3"/>
      <c r="BB559" s="3" t="s">
        <v>2369</v>
      </c>
      <c r="BC559" s="3" t="s">
        <v>2370</v>
      </c>
      <c r="BD559" s="3" t="s">
        <v>2371</v>
      </c>
      <c r="BE559" s="3" t="s">
        <v>2880</v>
      </c>
      <c r="BF559" s="3">
        <v>1</v>
      </c>
      <c r="BG559" s="3">
        <v>-6.9495166409999998</v>
      </c>
      <c r="BH559" s="3">
        <v>107.4057341</v>
      </c>
      <c r="BI559" s="3">
        <v>3217122004160000</v>
      </c>
      <c r="BJ559" s="3">
        <v>42</v>
      </c>
      <c r="BK559" s="3">
        <v>139</v>
      </c>
      <c r="BL559" s="3">
        <v>54</v>
      </c>
      <c r="BM559" s="3">
        <v>1</v>
      </c>
      <c r="BN559" s="3">
        <v>2</v>
      </c>
    </row>
    <row r="560" spans="1:66" s="219" customFormat="1" hidden="1" x14ac:dyDescent="0.3">
      <c r="A560" s="54">
        <v>554</v>
      </c>
      <c r="B560" s="54" t="s">
        <v>1916</v>
      </c>
      <c r="C560" s="54" t="s">
        <v>1594</v>
      </c>
      <c r="D560" s="54" t="s">
        <v>53</v>
      </c>
      <c r="E560" s="54">
        <v>3090755781</v>
      </c>
      <c r="F560" s="54" t="s">
        <v>2373</v>
      </c>
      <c r="G560" s="108">
        <v>39916</v>
      </c>
      <c r="H560" s="54">
        <v>3217115304090000</v>
      </c>
      <c r="I560" s="54" t="s">
        <v>2353</v>
      </c>
      <c r="J560" s="54" t="s">
        <v>2695</v>
      </c>
      <c r="K560" s="54">
        <v>3</v>
      </c>
      <c r="L560" s="54">
        <v>12</v>
      </c>
      <c r="M560" s="54"/>
      <c r="N560" s="54" t="s">
        <v>2425</v>
      </c>
      <c r="O560" s="54" t="s">
        <v>2426</v>
      </c>
      <c r="P560" s="54">
        <v>40561</v>
      </c>
      <c r="Q560" s="54" t="s">
        <v>2357</v>
      </c>
      <c r="R560" s="54" t="s">
        <v>2358</v>
      </c>
      <c r="S560" s="54"/>
      <c r="T560" s="54">
        <v>83142440290</v>
      </c>
      <c r="U560" s="54"/>
      <c r="V560" s="54"/>
      <c r="W560" s="54" t="s">
        <v>2359</v>
      </c>
      <c r="X560" s="54"/>
      <c r="Y560" s="54"/>
      <c r="Z560" s="54">
        <v>1971</v>
      </c>
      <c r="AA560" s="54" t="s">
        <v>2402</v>
      </c>
      <c r="AB560" s="54" t="s">
        <v>2362</v>
      </c>
      <c r="AC560" s="54" t="s">
        <v>2363</v>
      </c>
      <c r="AD560" s="54"/>
      <c r="AE560" s="54" t="s">
        <v>3767</v>
      </c>
      <c r="AF560" s="54">
        <v>1978</v>
      </c>
      <c r="AG560" s="54" t="s">
        <v>2361</v>
      </c>
      <c r="AH560" s="54" t="s">
        <v>2365</v>
      </c>
      <c r="AI560" s="54" t="s">
        <v>2366</v>
      </c>
      <c r="AJ560" s="54"/>
      <c r="AK560" s="54"/>
      <c r="AL560" s="54"/>
      <c r="AM560" s="54"/>
      <c r="AN560" s="54"/>
      <c r="AO560" s="54"/>
      <c r="AP560" s="54"/>
      <c r="AQ560" s="54" t="s">
        <v>5147</v>
      </c>
      <c r="AR560" s="54"/>
      <c r="AS560" s="54"/>
      <c r="AT560" s="54" t="s">
        <v>2359</v>
      </c>
      <c r="AU560" s="54"/>
      <c r="AV560" s="54">
        <v>0</v>
      </c>
      <c r="AW560" s="54"/>
      <c r="AX560" s="54" t="s">
        <v>3768</v>
      </c>
      <c r="AY560" s="54"/>
      <c r="AZ560" s="54"/>
      <c r="BA560" s="54"/>
      <c r="BB560" s="54" t="s">
        <v>2369</v>
      </c>
      <c r="BC560" s="54" t="s">
        <v>2370</v>
      </c>
      <c r="BD560" s="54" t="s">
        <v>2371</v>
      </c>
      <c r="BE560" s="54"/>
      <c r="BF560" s="54">
        <v>1</v>
      </c>
      <c r="BG560" s="54">
        <v>-6.9625000000000004</v>
      </c>
      <c r="BH560" s="54">
        <v>107.4346</v>
      </c>
      <c r="BI560" s="54">
        <v>3217111304052650</v>
      </c>
      <c r="BJ560" s="54">
        <v>39</v>
      </c>
      <c r="BK560" s="54">
        <v>144</v>
      </c>
      <c r="BL560" s="54">
        <v>57</v>
      </c>
      <c r="BM560" s="54">
        <v>1</v>
      </c>
      <c r="BN560" s="54">
        <v>1</v>
      </c>
    </row>
    <row r="561" spans="1:66" s="219" customFormat="1" hidden="1" x14ac:dyDescent="0.3">
      <c r="A561" s="54">
        <v>555</v>
      </c>
      <c r="B561" s="54" t="s">
        <v>1783</v>
      </c>
      <c r="C561" s="54" t="s">
        <v>1422</v>
      </c>
      <c r="D561" s="54" t="s">
        <v>53</v>
      </c>
      <c r="E561" s="54">
        <v>98740326</v>
      </c>
      <c r="F561" s="54" t="s">
        <v>2446</v>
      </c>
      <c r="G561" s="108">
        <v>40030</v>
      </c>
      <c r="H561" s="54">
        <v>3217114508090000</v>
      </c>
      <c r="I561" s="54" t="s">
        <v>2353</v>
      </c>
      <c r="J561" s="54" t="s">
        <v>3134</v>
      </c>
      <c r="K561" s="54">
        <v>3</v>
      </c>
      <c r="L561" s="54">
        <v>8</v>
      </c>
      <c r="M561" s="54"/>
      <c r="N561" s="54" t="s">
        <v>2425</v>
      </c>
      <c r="O561" s="54" t="s">
        <v>2426</v>
      </c>
      <c r="P561" s="54">
        <v>40562</v>
      </c>
      <c r="Q561" s="54" t="s">
        <v>2357</v>
      </c>
      <c r="R561" s="54" t="s">
        <v>2358</v>
      </c>
      <c r="S561" s="54"/>
      <c r="T561" s="54"/>
      <c r="U561" s="54"/>
      <c r="V561" s="54"/>
      <c r="W561" s="54" t="s">
        <v>2359</v>
      </c>
      <c r="X561" s="54"/>
      <c r="Y561" s="54" t="s">
        <v>3202</v>
      </c>
      <c r="Z561" s="54">
        <v>1973</v>
      </c>
      <c r="AA561" s="54" t="s">
        <v>2402</v>
      </c>
      <c r="AB561" s="54" t="s">
        <v>2362</v>
      </c>
      <c r="AC561" s="54" t="s">
        <v>2363</v>
      </c>
      <c r="AD561" s="54">
        <v>3217111005730010</v>
      </c>
      <c r="AE561" s="54" t="s">
        <v>3203</v>
      </c>
      <c r="AF561" s="54">
        <v>1972</v>
      </c>
      <c r="AG561" s="54" t="s">
        <v>2361</v>
      </c>
      <c r="AH561" s="54" t="s">
        <v>2365</v>
      </c>
      <c r="AI561" s="54" t="s">
        <v>2366</v>
      </c>
      <c r="AJ561" s="54">
        <v>3217114305720000</v>
      </c>
      <c r="AK561" s="54"/>
      <c r="AL561" s="54"/>
      <c r="AM561" s="54"/>
      <c r="AN561" s="54"/>
      <c r="AO561" s="54"/>
      <c r="AP561" s="54"/>
      <c r="AQ561" s="54" t="s">
        <v>5147</v>
      </c>
      <c r="AR561" s="54"/>
      <c r="AS561" s="54"/>
      <c r="AT561" s="54" t="s">
        <v>2359</v>
      </c>
      <c r="AU561" s="54"/>
      <c r="AV561" s="54">
        <v>0</v>
      </c>
      <c r="AW561" s="54"/>
      <c r="AX561" s="54" t="s">
        <v>3204</v>
      </c>
      <c r="AY561" s="54"/>
      <c r="AZ561" s="54"/>
      <c r="BA561" s="54"/>
      <c r="BB561" s="54" t="s">
        <v>2369</v>
      </c>
      <c r="BC561" s="54" t="s">
        <v>2370</v>
      </c>
      <c r="BD561" s="54" t="s">
        <v>2371</v>
      </c>
      <c r="BE561" s="54" t="s">
        <v>2905</v>
      </c>
      <c r="BF561" s="54">
        <v>1</v>
      </c>
      <c r="BG561" s="54">
        <v>-6.9625000000000004</v>
      </c>
      <c r="BH561" s="54">
        <v>107.4346</v>
      </c>
      <c r="BI561" s="54">
        <v>3217112504060020</v>
      </c>
      <c r="BJ561" s="54">
        <v>38</v>
      </c>
      <c r="BK561" s="54">
        <v>136</v>
      </c>
      <c r="BL561" s="54">
        <v>50</v>
      </c>
      <c r="BM561" s="54">
        <v>1</v>
      </c>
      <c r="BN561" s="54">
        <v>1</v>
      </c>
    </row>
    <row r="562" spans="1:66" hidden="1" x14ac:dyDescent="0.3">
      <c r="A562" s="3">
        <v>556</v>
      </c>
      <c r="B562" s="3" t="s">
        <v>5085</v>
      </c>
      <c r="C562" s="3" t="s">
        <v>4322</v>
      </c>
      <c r="D562" s="3" t="s">
        <v>53</v>
      </c>
      <c r="E562" s="3">
        <v>112343017</v>
      </c>
      <c r="F562" s="3" t="s">
        <v>2446</v>
      </c>
      <c r="G562" s="157">
        <v>40650</v>
      </c>
      <c r="H562" s="3">
        <v>3217115704110000</v>
      </c>
      <c r="I562" s="3" t="s">
        <v>2353</v>
      </c>
      <c r="J562" s="3" t="s">
        <v>2424</v>
      </c>
      <c r="K562" s="3">
        <v>2</v>
      </c>
      <c r="L562" s="3">
        <v>14</v>
      </c>
      <c r="M562" s="3"/>
      <c r="N562" s="3" t="s">
        <v>4508</v>
      </c>
      <c r="O562" s="3" t="s">
        <v>2426</v>
      </c>
      <c r="P562" s="3">
        <v>40562</v>
      </c>
      <c r="Q562" s="3" t="s">
        <v>2357</v>
      </c>
      <c r="R562" s="3" t="s">
        <v>2358</v>
      </c>
      <c r="S562" s="3"/>
      <c r="T562" s="3">
        <v>83829200068</v>
      </c>
      <c r="U562" s="3"/>
      <c r="V562" s="3"/>
      <c r="W562" s="3" t="s">
        <v>2359</v>
      </c>
      <c r="X562" s="3"/>
      <c r="Y562" s="3" t="s">
        <v>5086</v>
      </c>
      <c r="Z562" s="3">
        <v>1983</v>
      </c>
      <c r="AA562" s="3" t="s">
        <v>2402</v>
      </c>
      <c r="AB562" s="3" t="s">
        <v>2362</v>
      </c>
      <c r="AC562" s="3" t="s">
        <v>2403</v>
      </c>
      <c r="AD562" s="3"/>
      <c r="AE562" s="3" t="s">
        <v>2892</v>
      </c>
      <c r="AF562" s="3">
        <v>1991</v>
      </c>
      <c r="AG562" s="3" t="s">
        <v>2402</v>
      </c>
      <c r="AH562" s="3" t="s">
        <v>2365</v>
      </c>
      <c r="AI562" s="3" t="s">
        <v>2366</v>
      </c>
      <c r="AJ562" s="3"/>
      <c r="AK562" s="3"/>
      <c r="AL562" s="3"/>
      <c r="AM562" s="3" t="s">
        <v>2367</v>
      </c>
      <c r="AN562" s="3"/>
      <c r="AO562" s="3"/>
      <c r="AP562" s="3"/>
      <c r="AQ562" s="3" t="s">
        <v>5150</v>
      </c>
      <c r="AR562" s="3"/>
      <c r="AS562" s="3"/>
      <c r="AT562" s="3" t="s">
        <v>2359</v>
      </c>
      <c r="AU562" s="3"/>
      <c r="AV562" s="3">
        <v>0</v>
      </c>
      <c r="AW562" s="3"/>
      <c r="AX562" s="3"/>
      <c r="AY562" s="3"/>
      <c r="AZ562" s="3"/>
      <c r="BA562" s="3"/>
      <c r="BB562" s="3" t="s">
        <v>2369</v>
      </c>
      <c r="BC562" s="3" t="s">
        <v>2370</v>
      </c>
      <c r="BD562" s="3" t="s">
        <v>2371</v>
      </c>
      <c r="BE562" s="3" t="s">
        <v>2430</v>
      </c>
      <c r="BF562" s="3">
        <v>1</v>
      </c>
      <c r="BG562" s="3">
        <v>-6.9547999999999996</v>
      </c>
      <c r="BH562" s="3">
        <v>107.41589999999999</v>
      </c>
      <c r="BI562" s="3"/>
      <c r="BJ562" s="3">
        <v>43</v>
      </c>
      <c r="BK562" s="3">
        <v>139</v>
      </c>
      <c r="BL562" s="3">
        <v>54</v>
      </c>
      <c r="BM562" s="3">
        <v>1</v>
      </c>
      <c r="BN562" s="3">
        <v>1</v>
      </c>
    </row>
    <row r="563" spans="1:66" s="219" customFormat="1" hidden="1" x14ac:dyDescent="0.3">
      <c r="A563" s="54">
        <v>557</v>
      </c>
      <c r="B563" s="54" t="s">
        <v>1364</v>
      </c>
      <c r="C563" s="54" t="s">
        <v>1483</v>
      </c>
      <c r="D563" s="54" t="s">
        <v>53</v>
      </c>
      <c r="E563" s="54">
        <v>85463491</v>
      </c>
      <c r="F563" s="54" t="s">
        <v>2446</v>
      </c>
      <c r="G563" s="108">
        <v>39599</v>
      </c>
      <c r="H563" s="54">
        <v>3217117105080000</v>
      </c>
      <c r="I563" s="54" t="s">
        <v>2353</v>
      </c>
      <c r="J563" s="54" t="s">
        <v>3422</v>
      </c>
      <c r="K563" s="54">
        <v>2</v>
      </c>
      <c r="L563" s="54">
        <v>14</v>
      </c>
      <c r="M563" s="54" t="s">
        <v>2424</v>
      </c>
      <c r="N563" s="54" t="s">
        <v>2425</v>
      </c>
      <c r="O563" s="54" t="s">
        <v>2426</v>
      </c>
      <c r="P563" s="54">
        <v>40562</v>
      </c>
      <c r="Q563" s="54" t="s">
        <v>2357</v>
      </c>
      <c r="R563" s="54" t="s">
        <v>2358</v>
      </c>
      <c r="S563" s="54"/>
      <c r="T563" s="54">
        <v>87848540110</v>
      </c>
      <c r="U563" s="54"/>
      <c r="V563" s="54"/>
      <c r="W563" s="54" t="s">
        <v>2369</v>
      </c>
      <c r="X563" s="54" t="s">
        <v>3423</v>
      </c>
      <c r="Y563" s="54" t="s">
        <v>3424</v>
      </c>
      <c r="Z563" s="54">
        <v>1971</v>
      </c>
      <c r="AA563" s="54" t="s">
        <v>2402</v>
      </c>
      <c r="AB563" s="54" t="s">
        <v>2362</v>
      </c>
      <c r="AC563" s="54" t="s">
        <v>2403</v>
      </c>
      <c r="AD563" s="54"/>
      <c r="AE563" s="54" t="s">
        <v>3250</v>
      </c>
      <c r="AF563" s="54">
        <v>1973</v>
      </c>
      <c r="AG563" s="54" t="s">
        <v>2361</v>
      </c>
      <c r="AH563" s="54" t="s">
        <v>2365</v>
      </c>
      <c r="AI563" s="54" t="s">
        <v>2366</v>
      </c>
      <c r="AJ563" s="54"/>
      <c r="AK563" s="54"/>
      <c r="AL563" s="54"/>
      <c r="AM563" s="54"/>
      <c r="AN563" s="54"/>
      <c r="AO563" s="54"/>
      <c r="AP563" s="54"/>
      <c r="AQ563" s="54" t="s">
        <v>5147</v>
      </c>
      <c r="AR563" s="54"/>
      <c r="AS563" s="54"/>
      <c r="AT563" s="54" t="s">
        <v>2359</v>
      </c>
      <c r="AU563" s="54"/>
      <c r="AV563" s="54">
        <v>0</v>
      </c>
      <c r="AW563" s="54" t="s">
        <v>3425</v>
      </c>
      <c r="AX563" s="54" t="s">
        <v>3426</v>
      </c>
      <c r="AY563" s="54"/>
      <c r="AZ563" s="54"/>
      <c r="BA563" s="54"/>
      <c r="BB563" s="54" t="s">
        <v>2369</v>
      </c>
      <c r="BC563" s="54" t="s">
        <v>2443</v>
      </c>
      <c r="BD563" s="54" t="s">
        <v>2371</v>
      </c>
      <c r="BE563" s="54"/>
      <c r="BF563" s="54">
        <v>1</v>
      </c>
      <c r="BG563" s="54">
        <v>-6.9514541999999997</v>
      </c>
      <c r="BH563" s="54">
        <v>107.4179645</v>
      </c>
      <c r="BI563" s="54"/>
      <c r="BJ563" s="54">
        <v>43</v>
      </c>
      <c r="BK563" s="54">
        <v>135</v>
      </c>
      <c r="BL563" s="54">
        <v>56</v>
      </c>
      <c r="BM563" s="54">
        <v>2</v>
      </c>
      <c r="BN563" s="54">
        <v>1</v>
      </c>
    </row>
    <row r="564" spans="1:66" s="219" customFormat="1" hidden="1" x14ac:dyDescent="0.3">
      <c r="A564" s="54">
        <v>558</v>
      </c>
      <c r="B564" s="54" t="s">
        <v>3059</v>
      </c>
      <c r="C564" s="54" t="s">
        <v>2272</v>
      </c>
      <c r="D564" s="54" t="s">
        <v>53</v>
      </c>
      <c r="E564" s="54">
        <v>93471284</v>
      </c>
      <c r="F564" s="54" t="s">
        <v>2373</v>
      </c>
      <c r="G564" s="108">
        <v>39969</v>
      </c>
      <c r="H564" s="54">
        <v>3217124506090000</v>
      </c>
      <c r="I564" s="54" t="s">
        <v>2353</v>
      </c>
      <c r="J564" s="54" t="s">
        <v>2757</v>
      </c>
      <c r="K564" s="54">
        <v>1</v>
      </c>
      <c r="L564" s="54">
        <v>2</v>
      </c>
      <c r="M564" s="54"/>
      <c r="N564" s="54" t="s">
        <v>2513</v>
      </c>
      <c r="O564" s="54" t="s">
        <v>2356</v>
      </c>
      <c r="P564" s="54"/>
      <c r="Q564" s="54" t="s">
        <v>2357</v>
      </c>
      <c r="R564" s="54" t="s">
        <v>2358</v>
      </c>
      <c r="S564" s="54"/>
      <c r="T564" s="54">
        <v>87821112986</v>
      </c>
      <c r="U564" s="54"/>
      <c r="V564" s="54"/>
      <c r="W564" s="54" t="s">
        <v>2359</v>
      </c>
      <c r="X564" s="54"/>
      <c r="Y564" s="54" t="s">
        <v>3060</v>
      </c>
      <c r="Z564" s="54">
        <v>1973</v>
      </c>
      <c r="AA564" s="54" t="s">
        <v>2361</v>
      </c>
      <c r="AB564" s="54" t="s">
        <v>2362</v>
      </c>
      <c r="AC564" s="54" t="s">
        <v>2363</v>
      </c>
      <c r="AD564" s="54">
        <v>3217120302730010</v>
      </c>
      <c r="AE564" s="54" t="s">
        <v>3061</v>
      </c>
      <c r="AF564" s="54">
        <v>1977</v>
      </c>
      <c r="AG564" s="54" t="s">
        <v>2361</v>
      </c>
      <c r="AH564" s="54" t="s">
        <v>2365</v>
      </c>
      <c r="AI564" s="54" t="s">
        <v>2366</v>
      </c>
      <c r="AJ564" s="54">
        <v>3217127112770000</v>
      </c>
      <c r="AK564" s="54"/>
      <c r="AL564" s="54"/>
      <c r="AM564" s="54" t="s">
        <v>2367</v>
      </c>
      <c r="AN564" s="54"/>
      <c r="AO564" s="54"/>
      <c r="AP564" s="54"/>
      <c r="AQ564" s="54" t="s">
        <v>8182</v>
      </c>
      <c r="AR564" s="54"/>
      <c r="AS564" s="54"/>
      <c r="AT564" s="54" t="s">
        <v>2359</v>
      </c>
      <c r="AU564" s="54"/>
      <c r="AV564" s="54">
        <v>0</v>
      </c>
      <c r="AW564" s="54"/>
      <c r="AX564" s="54"/>
      <c r="AY564" s="54"/>
      <c r="AZ564" s="54"/>
      <c r="BA564" s="54"/>
      <c r="BB564" s="54" t="s">
        <v>2369</v>
      </c>
      <c r="BC564" s="54" t="s">
        <v>2370</v>
      </c>
      <c r="BD564" s="54" t="s">
        <v>2371</v>
      </c>
      <c r="BE564" s="54" t="s">
        <v>2553</v>
      </c>
      <c r="BF564" s="54">
        <v>2</v>
      </c>
      <c r="BG564" s="54">
        <v>-7.0068000000000001</v>
      </c>
      <c r="BH564" s="54">
        <v>107.2349</v>
      </c>
      <c r="BI564" s="54">
        <v>3217120509120110</v>
      </c>
      <c r="BJ564" s="54">
        <v>39</v>
      </c>
      <c r="BK564" s="54">
        <v>132</v>
      </c>
      <c r="BL564" s="54">
        <v>0</v>
      </c>
      <c r="BM564" s="54">
        <v>0</v>
      </c>
      <c r="BN564" s="54">
        <v>0</v>
      </c>
    </row>
    <row r="565" spans="1:66" s="219" customFormat="1" hidden="1" x14ac:dyDescent="0.3">
      <c r="A565" s="54">
        <v>559</v>
      </c>
      <c r="B565" s="54" t="s">
        <v>1784</v>
      </c>
      <c r="C565" s="54" t="s">
        <v>1595</v>
      </c>
      <c r="D565" s="54" t="s">
        <v>53</v>
      </c>
      <c r="E565" s="54">
        <v>96452051</v>
      </c>
      <c r="F565" s="54" t="s">
        <v>2446</v>
      </c>
      <c r="G565" s="108">
        <v>39891</v>
      </c>
      <c r="H565" s="54">
        <v>3217125903090000</v>
      </c>
      <c r="I565" s="54" t="s">
        <v>2353</v>
      </c>
      <c r="J565" s="54" t="s">
        <v>2757</v>
      </c>
      <c r="K565" s="54">
        <v>2</v>
      </c>
      <c r="L565" s="54">
        <v>12</v>
      </c>
      <c r="M565" s="54"/>
      <c r="N565" s="54" t="s">
        <v>2513</v>
      </c>
      <c r="O565" s="54" t="s">
        <v>2356</v>
      </c>
      <c r="P565" s="54">
        <v>40562</v>
      </c>
      <c r="Q565" s="54" t="s">
        <v>2357</v>
      </c>
      <c r="R565" s="54" t="s">
        <v>2358</v>
      </c>
      <c r="S565" s="54"/>
      <c r="T565" s="54">
        <v>83834506365</v>
      </c>
      <c r="U565" s="54"/>
      <c r="V565" s="54"/>
      <c r="W565" s="54" t="s">
        <v>2359</v>
      </c>
      <c r="X565" s="54"/>
      <c r="Y565" s="54" t="s">
        <v>3205</v>
      </c>
      <c r="Z565" s="54">
        <v>1977</v>
      </c>
      <c r="AA565" s="54" t="s">
        <v>2402</v>
      </c>
      <c r="AB565" s="54" t="s">
        <v>2362</v>
      </c>
      <c r="AC565" s="54" t="s">
        <v>2363</v>
      </c>
      <c r="AD565" s="54">
        <v>3217121204770020</v>
      </c>
      <c r="AE565" s="54" t="s">
        <v>2579</v>
      </c>
      <c r="AF565" s="54">
        <v>1972</v>
      </c>
      <c r="AG565" s="54" t="s">
        <v>2361</v>
      </c>
      <c r="AH565" s="54" t="s">
        <v>2365</v>
      </c>
      <c r="AI565" s="54" t="s">
        <v>2366</v>
      </c>
      <c r="AJ565" s="54">
        <v>3217124102720030</v>
      </c>
      <c r="AK565" s="54"/>
      <c r="AL565" s="54"/>
      <c r="AM565" s="54"/>
      <c r="AN565" s="54"/>
      <c r="AO565" s="54"/>
      <c r="AP565" s="54"/>
      <c r="AQ565" s="54" t="s">
        <v>5147</v>
      </c>
      <c r="AR565" s="54"/>
      <c r="AS565" s="54"/>
      <c r="AT565" s="54" t="s">
        <v>2359</v>
      </c>
      <c r="AU565" s="54"/>
      <c r="AV565" s="54">
        <v>0</v>
      </c>
      <c r="AW565" s="54"/>
      <c r="AX565" s="54"/>
      <c r="AY565" s="54"/>
      <c r="AZ565" s="54"/>
      <c r="BA565" s="54"/>
      <c r="BB565" s="54" t="s">
        <v>2369</v>
      </c>
      <c r="BC565" s="54" t="s">
        <v>2370</v>
      </c>
      <c r="BD565" s="54" t="s">
        <v>2371</v>
      </c>
      <c r="BE565" s="54"/>
      <c r="BF565" s="54">
        <v>3</v>
      </c>
      <c r="BG565" s="54">
        <v>-7.0068000000000001</v>
      </c>
      <c r="BH565" s="54">
        <v>107.2349</v>
      </c>
      <c r="BI565" s="54">
        <v>3217121209120070</v>
      </c>
      <c r="BJ565" s="54">
        <v>34</v>
      </c>
      <c r="BK565" s="54">
        <v>132</v>
      </c>
      <c r="BL565" s="54">
        <v>55</v>
      </c>
      <c r="BM565" s="54">
        <v>2</v>
      </c>
      <c r="BN565" s="54">
        <v>1</v>
      </c>
    </row>
    <row r="566" spans="1:66" hidden="1" x14ac:dyDescent="0.3">
      <c r="A566" s="3">
        <v>560</v>
      </c>
      <c r="B566" s="3" t="s">
        <v>3897</v>
      </c>
      <c r="C566" s="3" t="s">
        <v>4356</v>
      </c>
      <c r="D566" s="3" t="s">
        <v>53</v>
      </c>
      <c r="E566" s="3">
        <v>104467773</v>
      </c>
      <c r="F566" s="3" t="s">
        <v>2377</v>
      </c>
      <c r="G566" s="157">
        <v>40251</v>
      </c>
      <c r="H566" s="3">
        <v>3217115403100000</v>
      </c>
      <c r="I566" s="3" t="s">
        <v>2353</v>
      </c>
      <c r="J566" s="3" t="s">
        <v>3165</v>
      </c>
      <c r="K566" s="3">
        <v>2</v>
      </c>
      <c r="L566" s="3">
        <v>9</v>
      </c>
      <c r="M566" s="3"/>
      <c r="N566" s="3" t="s">
        <v>4508</v>
      </c>
      <c r="O566" s="3" t="s">
        <v>2426</v>
      </c>
      <c r="P566" s="3">
        <v>40562</v>
      </c>
      <c r="Q566" s="3" t="s">
        <v>2357</v>
      </c>
      <c r="R566" s="3" t="s">
        <v>2358</v>
      </c>
      <c r="S566" s="3"/>
      <c r="T566" s="3">
        <v>83824334362</v>
      </c>
      <c r="U566" s="3"/>
      <c r="V566" s="3"/>
      <c r="W566" s="3" t="s">
        <v>2359</v>
      </c>
      <c r="X566" s="3"/>
      <c r="Y566" s="3" t="s">
        <v>5087</v>
      </c>
      <c r="Z566" s="3">
        <v>1965</v>
      </c>
      <c r="AA566" s="3" t="s">
        <v>2361</v>
      </c>
      <c r="AB566" s="3" t="s">
        <v>2362</v>
      </c>
      <c r="AC566" s="3" t="s">
        <v>2403</v>
      </c>
      <c r="AD566" s="3">
        <v>3217110508650000</v>
      </c>
      <c r="AE566" s="3" t="s">
        <v>4069</v>
      </c>
      <c r="AF566" s="3">
        <v>1971</v>
      </c>
      <c r="AG566" s="3" t="s">
        <v>2361</v>
      </c>
      <c r="AH566" s="3" t="s">
        <v>2365</v>
      </c>
      <c r="AI566" s="3" t="s">
        <v>2366</v>
      </c>
      <c r="AJ566" s="3">
        <v>3217114606710000</v>
      </c>
      <c r="AK566" s="3"/>
      <c r="AL566" s="3"/>
      <c r="AM566" s="3" t="s">
        <v>2367</v>
      </c>
      <c r="AN566" s="3"/>
      <c r="AO566" s="3"/>
      <c r="AP566" s="3"/>
      <c r="AQ566" s="3" t="s">
        <v>5152</v>
      </c>
      <c r="AR566" s="3"/>
      <c r="AS566" s="3"/>
      <c r="AT566" s="3" t="s">
        <v>2369</v>
      </c>
      <c r="AU566" s="3"/>
      <c r="AV566" s="3">
        <v>0</v>
      </c>
      <c r="AW566" s="3"/>
      <c r="AX566" s="3" t="s">
        <v>4068</v>
      </c>
      <c r="AY566" s="3"/>
      <c r="AZ566" s="3"/>
      <c r="BA566" s="3"/>
      <c r="BB566" s="3" t="s">
        <v>2369</v>
      </c>
      <c r="BC566" s="3"/>
      <c r="BD566" s="3" t="s">
        <v>2371</v>
      </c>
      <c r="BE566" s="3" t="s">
        <v>2691</v>
      </c>
      <c r="BF566" s="3">
        <v>2</v>
      </c>
      <c r="BG566" s="3">
        <v>-6.9743000000000004</v>
      </c>
      <c r="BH566" s="3">
        <v>107.43559999999999</v>
      </c>
      <c r="BI566" s="3">
        <v>3217111204059040</v>
      </c>
      <c r="BJ566" s="3">
        <v>30</v>
      </c>
      <c r="BK566" s="3">
        <v>130</v>
      </c>
      <c r="BL566" s="3">
        <v>0</v>
      </c>
      <c r="BM566" s="3">
        <v>0</v>
      </c>
      <c r="BN566" s="3">
        <v>1</v>
      </c>
    </row>
    <row r="567" spans="1:66" s="219" customFormat="1" hidden="1" x14ac:dyDescent="0.3">
      <c r="A567" s="54">
        <v>561</v>
      </c>
      <c r="B567" s="54" t="s">
        <v>3062</v>
      </c>
      <c r="C567" s="54" t="s">
        <v>2271</v>
      </c>
      <c r="D567" s="54" t="s">
        <v>53</v>
      </c>
      <c r="E567" s="54">
        <v>93735063</v>
      </c>
      <c r="F567" s="54" t="s">
        <v>2352</v>
      </c>
      <c r="G567" s="108">
        <v>40126</v>
      </c>
      <c r="H567" s="54">
        <v>3217144911090000</v>
      </c>
      <c r="I567" s="54" t="s">
        <v>2353</v>
      </c>
      <c r="J567" s="54" t="s">
        <v>3063</v>
      </c>
      <c r="K567" s="54">
        <v>4</v>
      </c>
      <c r="L567" s="54">
        <v>6</v>
      </c>
      <c r="M567" s="54"/>
      <c r="N567" s="54" t="s">
        <v>3064</v>
      </c>
      <c r="O567" s="54" t="s">
        <v>3065</v>
      </c>
      <c r="P567" s="54">
        <v>40563</v>
      </c>
      <c r="Q567" s="54" t="s">
        <v>2357</v>
      </c>
      <c r="R567" s="54" t="s">
        <v>2358</v>
      </c>
      <c r="S567" s="54"/>
      <c r="T567" s="54">
        <v>87722577071</v>
      </c>
      <c r="U567" s="54"/>
      <c r="V567" s="54"/>
      <c r="W567" s="54" t="s">
        <v>2369</v>
      </c>
      <c r="X567" s="54" t="s">
        <v>3066</v>
      </c>
      <c r="Y567" s="54" t="s">
        <v>3067</v>
      </c>
      <c r="Z567" s="54">
        <v>1971</v>
      </c>
      <c r="AA567" s="54" t="s">
        <v>2361</v>
      </c>
      <c r="AB567" s="54" t="s">
        <v>2362</v>
      </c>
      <c r="AC567" s="54" t="s">
        <v>2363</v>
      </c>
      <c r="AD567" s="54">
        <v>3217140601710000</v>
      </c>
      <c r="AE567" s="54" t="s">
        <v>3068</v>
      </c>
      <c r="AF567" s="54">
        <v>1981</v>
      </c>
      <c r="AG567" s="54" t="s">
        <v>2361</v>
      </c>
      <c r="AH567" s="54" t="s">
        <v>2365</v>
      </c>
      <c r="AI567" s="54" t="s">
        <v>2366</v>
      </c>
      <c r="AJ567" s="54">
        <v>3217144707810020</v>
      </c>
      <c r="AK567" s="54"/>
      <c r="AL567" s="54"/>
      <c r="AM567" s="54" t="s">
        <v>2367</v>
      </c>
      <c r="AN567" s="54"/>
      <c r="AO567" s="54"/>
      <c r="AP567" s="54"/>
      <c r="AQ567" s="54" t="s">
        <v>8182</v>
      </c>
      <c r="AR567" s="54"/>
      <c r="AS567" s="54"/>
      <c r="AT567" s="54" t="s">
        <v>2359</v>
      </c>
      <c r="AU567" s="54"/>
      <c r="AV567" s="54">
        <v>0</v>
      </c>
      <c r="AW567" s="54"/>
      <c r="AX567" s="54"/>
      <c r="AY567" s="54"/>
      <c r="AZ567" s="54"/>
      <c r="BA567" s="54"/>
      <c r="BB567" s="54" t="s">
        <v>2369</v>
      </c>
      <c r="BC567" s="54" t="s">
        <v>2443</v>
      </c>
      <c r="BD567" s="54" t="s">
        <v>2371</v>
      </c>
      <c r="BE567" s="54" t="s">
        <v>2372</v>
      </c>
      <c r="BF567" s="54"/>
      <c r="BG567" s="54">
        <v>-6.9676999999999998</v>
      </c>
      <c r="BH567" s="54">
        <v>107.4117</v>
      </c>
      <c r="BI567" s="54"/>
      <c r="BJ567" s="54">
        <v>40</v>
      </c>
      <c r="BK567" s="54">
        <v>138</v>
      </c>
      <c r="BL567" s="54">
        <v>0</v>
      </c>
      <c r="BM567" s="54">
        <v>0</v>
      </c>
      <c r="BN567" s="54">
        <v>0</v>
      </c>
    </row>
    <row r="568" spans="1:66" s="219" customFormat="1" hidden="1" x14ac:dyDescent="0.3">
      <c r="A568" s="54">
        <v>562</v>
      </c>
      <c r="B568" s="54" t="s">
        <v>1372</v>
      </c>
      <c r="C568" s="54" t="s">
        <v>1518</v>
      </c>
      <c r="D568" s="54" t="s">
        <v>53</v>
      </c>
      <c r="E568" s="54">
        <v>89777909</v>
      </c>
      <c r="F568" s="54" t="s">
        <v>2446</v>
      </c>
      <c r="G568" s="108">
        <v>39726</v>
      </c>
      <c r="H568" s="54">
        <v>3217114510080000</v>
      </c>
      <c r="I568" s="54" t="s">
        <v>2353</v>
      </c>
      <c r="J568" s="54" t="s">
        <v>3112</v>
      </c>
      <c r="K568" s="54">
        <v>4</v>
      </c>
      <c r="L568" s="54">
        <v>8</v>
      </c>
      <c r="M568" s="54" t="s">
        <v>2424</v>
      </c>
      <c r="N568" s="54" t="s">
        <v>2425</v>
      </c>
      <c r="O568" s="54" t="s">
        <v>2426</v>
      </c>
      <c r="P568" s="54">
        <v>40562</v>
      </c>
      <c r="Q568" s="54" t="s">
        <v>2357</v>
      </c>
      <c r="R568" s="54" t="s">
        <v>2358</v>
      </c>
      <c r="S568" s="54"/>
      <c r="T568" s="54">
        <v>83149071525</v>
      </c>
      <c r="U568" s="54"/>
      <c r="V568" s="54"/>
      <c r="W568" s="54" t="s">
        <v>2359</v>
      </c>
      <c r="X568" s="54"/>
      <c r="Y568" s="54" t="s">
        <v>3566</v>
      </c>
      <c r="Z568" s="54">
        <v>1965</v>
      </c>
      <c r="AA568" s="54" t="s">
        <v>2402</v>
      </c>
      <c r="AB568" s="54" t="s">
        <v>2362</v>
      </c>
      <c r="AC568" s="54" t="s">
        <v>2403</v>
      </c>
      <c r="AD568" s="54"/>
      <c r="AE568" s="54" t="s">
        <v>3567</v>
      </c>
      <c r="AF568" s="54">
        <v>1970</v>
      </c>
      <c r="AG568" s="54" t="s">
        <v>2361</v>
      </c>
      <c r="AH568" s="54" t="s">
        <v>2365</v>
      </c>
      <c r="AI568" s="54" t="s">
        <v>2366</v>
      </c>
      <c r="AJ568" s="54"/>
      <c r="AK568" s="54"/>
      <c r="AL568" s="54"/>
      <c r="AM568" s="54"/>
      <c r="AN568" s="54"/>
      <c r="AO568" s="54"/>
      <c r="AP568" s="54"/>
      <c r="AQ568" s="54" t="s">
        <v>5147</v>
      </c>
      <c r="AR568" s="54"/>
      <c r="AS568" s="54"/>
      <c r="AT568" s="54" t="s">
        <v>2359</v>
      </c>
      <c r="AU568" s="54"/>
      <c r="AV568" s="54">
        <v>0</v>
      </c>
      <c r="AW568" s="54"/>
      <c r="AX568" s="54" t="s">
        <v>3568</v>
      </c>
      <c r="AY568" s="54"/>
      <c r="AZ568" s="54"/>
      <c r="BA568" s="54"/>
      <c r="BB568" s="54" t="s">
        <v>2369</v>
      </c>
      <c r="BC568" s="54" t="s">
        <v>2370</v>
      </c>
      <c r="BD568" s="54" t="s">
        <v>2371</v>
      </c>
      <c r="BE568" s="54"/>
      <c r="BF568" s="54">
        <v>3</v>
      </c>
      <c r="BG568" s="54">
        <v>-6.9514541999999997</v>
      </c>
      <c r="BH568" s="54">
        <v>107.4179645</v>
      </c>
      <c r="BI568" s="54"/>
      <c r="BJ568" s="54">
        <v>15</v>
      </c>
      <c r="BK568" s="54">
        <v>109</v>
      </c>
      <c r="BL568" s="54">
        <v>58</v>
      </c>
      <c r="BM568" s="54">
        <v>2</v>
      </c>
      <c r="BN568" s="54">
        <v>1</v>
      </c>
    </row>
    <row r="569" spans="1:66" s="219" customFormat="1" hidden="1" x14ac:dyDescent="0.3">
      <c r="A569" s="54">
        <v>563</v>
      </c>
      <c r="B569" s="54" t="s">
        <v>2890</v>
      </c>
      <c r="C569" s="54" t="s">
        <v>2213</v>
      </c>
      <c r="D569" s="54" t="s">
        <v>53</v>
      </c>
      <c r="E569" s="54">
        <v>102042539</v>
      </c>
      <c r="F569" s="54" t="s">
        <v>2373</v>
      </c>
      <c r="G569" s="108">
        <v>40406</v>
      </c>
      <c r="H569" s="54">
        <v>3217125608100000</v>
      </c>
      <c r="I569" s="54" t="s">
        <v>2353</v>
      </c>
      <c r="J569" s="54" t="s">
        <v>2686</v>
      </c>
      <c r="K569" s="54">
        <v>2</v>
      </c>
      <c r="L569" s="54">
        <v>6</v>
      </c>
      <c r="M569" s="54"/>
      <c r="N569" s="54" t="s">
        <v>2513</v>
      </c>
      <c r="O569" s="54" t="s">
        <v>2356</v>
      </c>
      <c r="P569" s="54">
        <v>40764</v>
      </c>
      <c r="Q569" s="54" t="s">
        <v>2357</v>
      </c>
      <c r="R569" s="54" t="s">
        <v>2358</v>
      </c>
      <c r="S569" s="54"/>
      <c r="T569" s="54"/>
      <c r="U569" s="54"/>
      <c r="V569" s="54"/>
      <c r="W569" s="54" t="s">
        <v>2359</v>
      </c>
      <c r="X569" s="54"/>
      <c r="Y569" s="54" t="s">
        <v>2891</v>
      </c>
      <c r="Z569" s="54">
        <v>1976</v>
      </c>
      <c r="AA569" s="54" t="s">
        <v>2361</v>
      </c>
      <c r="AB569" s="54" t="s">
        <v>2362</v>
      </c>
      <c r="AC569" s="54" t="s">
        <v>2403</v>
      </c>
      <c r="AD569" s="54">
        <v>3217120108760020</v>
      </c>
      <c r="AE569" s="54" t="s">
        <v>2892</v>
      </c>
      <c r="AF569" s="54">
        <v>1979</v>
      </c>
      <c r="AG569" s="54" t="s">
        <v>2402</v>
      </c>
      <c r="AH569" s="54" t="s">
        <v>2365</v>
      </c>
      <c r="AI569" s="54" t="s">
        <v>2366</v>
      </c>
      <c r="AJ569" s="54">
        <v>3217125006790020</v>
      </c>
      <c r="AK569" s="54"/>
      <c r="AL569" s="54"/>
      <c r="AM569" s="54" t="s">
        <v>2367</v>
      </c>
      <c r="AN569" s="54"/>
      <c r="AO569" s="54"/>
      <c r="AP569" s="54"/>
      <c r="AQ569" s="54" t="s">
        <v>8179</v>
      </c>
      <c r="AR569" s="54"/>
      <c r="AS569" s="54"/>
      <c r="AT569" s="54" t="s">
        <v>2359</v>
      </c>
      <c r="AU569" s="54"/>
      <c r="AV569" s="54">
        <v>0</v>
      </c>
      <c r="AW569" s="54"/>
      <c r="AX569" s="54">
        <v>9530115752</v>
      </c>
      <c r="AY569" s="54"/>
      <c r="AZ569" s="54"/>
      <c r="BA569" s="54"/>
      <c r="BB569" s="54" t="s">
        <v>2369</v>
      </c>
      <c r="BC569" s="54" t="s">
        <v>2370</v>
      </c>
      <c r="BD569" s="54" t="s">
        <v>2371</v>
      </c>
      <c r="BE569" s="54" t="s">
        <v>2691</v>
      </c>
      <c r="BF569" s="54">
        <v>1</v>
      </c>
      <c r="BG569" s="54">
        <v>-6.9743000000000004</v>
      </c>
      <c r="BH569" s="54">
        <v>107.43559999999999</v>
      </c>
      <c r="BI569" s="54"/>
      <c r="BJ569" s="54">
        <v>46</v>
      </c>
      <c r="BK569" s="54">
        <v>139</v>
      </c>
      <c r="BL569" s="54">
        <v>0</v>
      </c>
      <c r="BM569" s="54">
        <v>0</v>
      </c>
      <c r="BN569" s="54">
        <v>0</v>
      </c>
    </row>
    <row r="570" spans="1:66" s="219" customFormat="1" hidden="1" x14ac:dyDescent="0.3">
      <c r="A570" s="54">
        <v>564</v>
      </c>
      <c r="B570" s="54" t="s">
        <v>2893</v>
      </c>
      <c r="C570" s="54" t="s">
        <v>2214</v>
      </c>
      <c r="D570" s="54" t="s">
        <v>52</v>
      </c>
      <c r="E570" s="54"/>
      <c r="F570" s="54" t="s">
        <v>2373</v>
      </c>
      <c r="G570" s="108">
        <v>39966</v>
      </c>
      <c r="H570" s="54">
        <v>3217114206090000</v>
      </c>
      <c r="I570" s="54" t="s">
        <v>2353</v>
      </c>
      <c r="J570" s="54" t="s">
        <v>2810</v>
      </c>
      <c r="K570" s="54">
        <v>1</v>
      </c>
      <c r="L570" s="54">
        <v>6</v>
      </c>
      <c r="M570" s="54"/>
      <c r="N570" s="54" t="s">
        <v>2425</v>
      </c>
      <c r="O570" s="54" t="s">
        <v>2426</v>
      </c>
      <c r="P570" s="54">
        <v>40562</v>
      </c>
      <c r="Q570" s="54" t="s">
        <v>2357</v>
      </c>
      <c r="R570" s="54" t="s">
        <v>2358</v>
      </c>
      <c r="S570" s="54"/>
      <c r="T570" s="54"/>
      <c r="U570" s="54"/>
      <c r="V570" s="54"/>
      <c r="W570" s="54" t="s">
        <v>2359</v>
      </c>
      <c r="X570" s="54"/>
      <c r="Y570" s="54" t="s">
        <v>5088</v>
      </c>
      <c r="Z570" s="54">
        <v>1953</v>
      </c>
      <c r="AA570" s="54" t="s">
        <v>2361</v>
      </c>
      <c r="AB570" s="54" t="s">
        <v>2362</v>
      </c>
      <c r="AC570" s="54" t="s">
        <v>2363</v>
      </c>
      <c r="AD570" s="54">
        <v>3217110203530000</v>
      </c>
      <c r="AE570" s="54" t="s">
        <v>2894</v>
      </c>
      <c r="AF570" s="54">
        <v>1965</v>
      </c>
      <c r="AG570" s="54" t="s">
        <v>2361</v>
      </c>
      <c r="AH570" s="54" t="s">
        <v>2365</v>
      </c>
      <c r="AI570" s="54" t="s">
        <v>2366</v>
      </c>
      <c r="AJ570" s="54">
        <v>3217114302650000</v>
      </c>
      <c r="AK570" s="54"/>
      <c r="AL570" s="54"/>
      <c r="AM570" s="54"/>
      <c r="AN570" s="54"/>
      <c r="AO570" s="54"/>
      <c r="AP570" s="54"/>
      <c r="AQ570" s="54" t="s">
        <v>8179</v>
      </c>
      <c r="AR570" s="54"/>
      <c r="AS570" s="54"/>
      <c r="AT570" s="54" t="s">
        <v>2369</v>
      </c>
      <c r="AU570" s="54"/>
      <c r="AV570" s="54">
        <v>1</v>
      </c>
      <c r="AW570" s="54"/>
      <c r="AX570" s="54"/>
      <c r="AY570" s="54"/>
      <c r="AZ570" s="54"/>
      <c r="BA570" s="54"/>
      <c r="BB570" s="54" t="s">
        <v>2369</v>
      </c>
      <c r="BC570" s="54"/>
      <c r="BD570" s="54" t="s">
        <v>2371</v>
      </c>
      <c r="BE570" s="54"/>
      <c r="BF570" s="54">
        <v>1</v>
      </c>
      <c r="BG570" s="54">
        <v>-6.9625000000000004</v>
      </c>
      <c r="BH570" s="54">
        <v>107.4346</v>
      </c>
      <c r="BI570" s="54">
        <v>3217111304050880</v>
      </c>
      <c r="BJ570" s="54">
        <v>42</v>
      </c>
      <c r="BK570" s="54">
        <v>137</v>
      </c>
      <c r="BL570" s="54">
        <v>54</v>
      </c>
      <c r="BM570" s="54">
        <v>1</v>
      </c>
      <c r="BN570" s="54">
        <v>1</v>
      </c>
    </row>
    <row r="571" spans="1:66" s="219" customFormat="1" hidden="1" x14ac:dyDescent="0.3">
      <c r="A571" s="54">
        <v>565</v>
      </c>
      <c r="B571" s="54" t="s">
        <v>2772</v>
      </c>
      <c r="C571" s="54" t="s">
        <v>2184</v>
      </c>
      <c r="D571" s="54" t="s">
        <v>53</v>
      </c>
      <c r="E571" s="54">
        <v>92308026</v>
      </c>
      <c r="F571" s="54" t="s">
        <v>2373</v>
      </c>
      <c r="G571" s="108">
        <v>40128</v>
      </c>
      <c r="H571" s="54">
        <v>3217115111090000</v>
      </c>
      <c r="I571" s="54" t="s">
        <v>2353</v>
      </c>
      <c r="J571" s="54" t="s">
        <v>2582</v>
      </c>
      <c r="K571" s="54">
        <v>4</v>
      </c>
      <c r="L571" s="54">
        <v>14</v>
      </c>
      <c r="M571" s="54" t="s">
        <v>2582</v>
      </c>
      <c r="N571" s="54" t="s">
        <v>2425</v>
      </c>
      <c r="O571" s="54" t="s">
        <v>2426</v>
      </c>
      <c r="P571" s="54">
        <v>40562</v>
      </c>
      <c r="Q571" s="54" t="s">
        <v>2357</v>
      </c>
      <c r="R571" s="54" t="s">
        <v>2358</v>
      </c>
      <c r="S571" s="54"/>
      <c r="T571" s="54">
        <v>83874696476</v>
      </c>
      <c r="U571" s="54"/>
      <c r="V571" s="54"/>
      <c r="W571" s="54" t="s">
        <v>2369</v>
      </c>
      <c r="X571" s="54" t="s">
        <v>2773</v>
      </c>
      <c r="Y571" s="54" t="s">
        <v>2774</v>
      </c>
      <c r="Z571" s="54">
        <v>1975</v>
      </c>
      <c r="AA571" s="54" t="s">
        <v>2361</v>
      </c>
      <c r="AB571" s="54" t="s">
        <v>2362</v>
      </c>
      <c r="AC571" s="54" t="s">
        <v>2403</v>
      </c>
      <c r="AD571" s="54">
        <v>3217110902750000</v>
      </c>
      <c r="AE571" s="54" t="s">
        <v>2775</v>
      </c>
      <c r="AF571" s="54">
        <v>1991</v>
      </c>
      <c r="AG571" s="54" t="s">
        <v>2402</v>
      </c>
      <c r="AH571" s="54" t="s">
        <v>2365</v>
      </c>
      <c r="AI571" s="54" t="s">
        <v>2366</v>
      </c>
      <c r="AJ571" s="54">
        <v>3217114507910010</v>
      </c>
      <c r="AK571" s="54"/>
      <c r="AL571" s="54"/>
      <c r="AM571" s="54" t="s">
        <v>2367</v>
      </c>
      <c r="AN571" s="54"/>
      <c r="AO571" s="54"/>
      <c r="AP571" s="54"/>
      <c r="AQ571" s="54" t="s">
        <v>8180</v>
      </c>
      <c r="AR571" s="54"/>
      <c r="AS571" s="54"/>
      <c r="AT571" s="54" t="s">
        <v>2359</v>
      </c>
      <c r="AU571" s="54"/>
      <c r="AV571" s="54">
        <v>0</v>
      </c>
      <c r="AW571" s="54"/>
      <c r="AX571" s="54" t="s">
        <v>2776</v>
      </c>
      <c r="AY571" s="54"/>
      <c r="AZ571" s="54"/>
      <c r="BA571" s="54"/>
      <c r="BB571" s="54" t="s">
        <v>2369</v>
      </c>
      <c r="BC571" s="54" t="s">
        <v>2370</v>
      </c>
      <c r="BD571" s="54" t="s">
        <v>2371</v>
      </c>
      <c r="BE571" s="54" t="s">
        <v>2430</v>
      </c>
      <c r="BF571" s="54">
        <v>2</v>
      </c>
      <c r="BG571" s="54">
        <v>-6.9514541999999997</v>
      </c>
      <c r="BH571" s="54">
        <v>107.4179645</v>
      </c>
      <c r="BI571" s="54"/>
      <c r="BJ571" s="54">
        <v>43</v>
      </c>
      <c r="BK571" s="54">
        <v>139</v>
      </c>
      <c r="BL571" s="54">
        <v>0</v>
      </c>
      <c r="BM571" s="54">
        <v>0</v>
      </c>
      <c r="BN571" s="54">
        <v>0</v>
      </c>
    </row>
    <row r="572" spans="1:66" s="219" customFormat="1" hidden="1" x14ac:dyDescent="0.3">
      <c r="A572" s="54">
        <v>566</v>
      </c>
      <c r="B572" s="54" t="s">
        <v>1785</v>
      </c>
      <c r="C572" s="54" t="s">
        <v>1423</v>
      </c>
      <c r="D572" s="54" t="s">
        <v>53</v>
      </c>
      <c r="E572" s="54">
        <v>3080851673</v>
      </c>
      <c r="F572" s="54" t="s">
        <v>2446</v>
      </c>
      <c r="G572" s="108">
        <v>39783</v>
      </c>
      <c r="H572" s="54">
        <v>3217114112080000</v>
      </c>
      <c r="I572" s="54" t="s">
        <v>2353</v>
      </c>
      <c r="J572" s="54" t="s">
        <v>2593</v>
      </c>
      <c r="K572" s="54">
        <v>2</v>
      </c>
      <c r="L572" s="54">
        <v>2</v>
      </c>
      <c r="M572" s="54"/>
      <c r="N572" s="54" t="s">
        <v>2425</v>
      </c>
      <c r="O572" s="54" t="s">
        <v>2426</v>
      </c>
      <c r="P572" s="54">
        <v>40562</v>
      </c>
      <c r="Q572" s="54" t="s">
        <v>2357</v>
      </c>
      <c r="R572" s="54" t="s">
        <v>2358</v>
      </c>
      <c r="S572" s="54"/>
      <c r="T572" s="54"/>
      <c r="U572" s="54"/>
      <c r="V572" s="54"/>
      <c r="W572" s="54" t="s">
        <v>2359</v>
      </c>
      <c r="X572" s="54"/>
      <c r="Y572" s="54" t="s">
        <v>3206</v>
      </c>
      <c r="Z572" s="54">
        <v>1972</v>
      </c>
      <c r="AA572" s="54" t="s">
        <v>2402</v>
      </c>
      <c r="AB572" s="54" t="s">
        <v>2362</v>
      </c>
      <c r="AC572" s="54" t="s">
        <v>2363</v>
      </c>
      <c r="AD572" s="54">
        <v>3217112308720000</v>
      </c>
      <c r="AE572" s="54" t="s">
        <v>3207</v>
      </c>
      <c r="AF572" s="54">
        <v>1985</v>
      </c>
      <c r="AG572" s="54" t="s">
        <v>2361</v>
      </c>
      <c r="AH572" s="54" t="s">
        <v>2365</v>
      </c>
      <c r="AI572" s="54" t="s">
        <v>2366</v>
      </c>
      <c r="AJ572" s="54">
        <v>3217116001850000</v>
      </c>
      <c r="AK572" s="54"/>
      <c r="AL572" s="54"/>
      <c r="AM572" s="54"/>
      <c r="AN572" s="54"/>
      <c r="AO572" s="54"/>
      <c r="AP572" s="54"/>
      <c r="AQ572" s="54" t="s">
        <v>5147</v>
      </c>
      <c r="AR572" s="54"/>
      <c r="AS572" s="54"/>
      <c r="AT572" s="54" t="s">
        <v>2359</v>
      </c>
      <c r="AU572" s="54"/>
      <c r="AV572" s="54">
        <v>0</v>
      </c>
      <c r="AW572" s="54"/>
      <c r="AX572" s="54" t="s">
        <v>3208</v>
      </c>
      <c r="AY572" s="54"/>
      <c r="AZ572" s="54"/>
      <c r="BA572" s="54"/>
      <c r="BB572" s="54" t="s">
        <v>2369</v>
      </c>
      <c r="BC572" s="54" t="s">
        <v>2370</v>
      </c>
      <c r="BD572" s="54" t="s">
        <v>2371</v>
      </c>
      <c r="BE572" s="54"/>
      <c r="BF572" s="54">
        <v>1</v>
      </c>
      <c r="BG572" s="54">
        <v>-6.9625000000000004</v>
      </c>
      <c r="BH572" s="54">
        <v>107.4346</v>
      </c>
      <c r="BI572" s="54">
        <v>3217113110080000</v>
      </c>
      <c r="BJ572" s="54">
        <v>43</v>
      </c>
      <c r="BK572" s="54">
        <v>138</v>
      </c>
      <c r="BL572" s="54">
        <v>54</v>
      </c>
      <c r="BM572" s="54">
        <v>1</v>
      </c>
      <c r="BN572" s="54">
        <v>1</v>
      </c>
    </row>
    <row r="573" spans="1:66" s="219" customFormat="1" hidden="1" x14ac:dyDescent="0.3">
      <c r="A573" s="54">
        <v>567</v>
      </c>
      <c r="B573" s="54" t="s">
        <v>1814</v>
      </c>
      <c r="C573" s="54" t="s">
        <v>1454</v>
      </c>
      <c r="D573" s="54" t="s">
        <v>53</v>
      </c>
      <c r="E573" s="54">
        <v>92795790</v>
      </c>
      <c r="F573" s="54" t="s">
        <v>2373</v>
      </c>
      <c r="G573" s="108">
        <v>39898</v>
      </c>
      <c r="H573" s="54">
        <v>3217116603090000</v>
      </c>
      <c r="I573" s="54" t="s">
        <v>2353</v>
      </c>
      <c r="J573" s="54" t="s">
        <v>2593</v>
      </c>
      <c r="K573" s="54">
        <v>2</v>
      </c>
      <c r="L573" s="54">
        <v>13</v>
      </c>
      <c r="M573" s="54" t="s">
        <v>3326</v>
      </c>
      <c r="N573" s="54" t="s">
        <v>4508</v>
      </c>
      <c r="O573" s="54" t="s">
        <v>2426</v>
      </c>
      <c r="P573" s="54">
        <v>40562</v>
      </c>
      <c r="Q573" s="54" t="s">
        <v>2357</v>
      </c>
      <c r="R573" s="54" t="s">
        <v>2358</v>
      </c>
      <c r="S573" s="54"/>
      <c r="T573" s="54">
        <v>83101092743</v>
      </c>
      <c r="U573" s="54"/>
      <c r="V573" s="54"/>
      <c r="W573" s="54" t="s">
        <v>2359</v>
      </c>
      <c r="X573" s="54"/>
      <c r="Y573" s="54" t="s">
        <v>3327</v>
      </c>
      <c r="Z573" s="54">
        <v>1964</v>
      </c>
      <c r="AA573" s="54"/>
      <c r="AB573" s="54" t="s">
        <v>2362</v>
      </c>
      <c r="AC573" s="54" t="s">
        <v>2363</v>
      </c>
      <c r="AD573" s="54">
        <v>3217111501640000</v>
      </c>
      <c r="AE573" s="54" t="s">
        <v>3328</v>
      </c>
      <c r="AF573" s="54">
        <v>1973</v>
      </c>
      <c r="AG573" s="54" t="s">
        <v>2361</v>
      </c>
      <c r="AH573" s="54" t="s">
        <v>2365</v>
      </c>
      <c r="AI573" s="54" t="s">
        <v>2366</v>
      </c>
      <c r="AJ573" s="54">
        <v>3217114508730000</v>
      </c>
      <c r="AK573" s="54"/>
      <c r="AL573" s="54"/>
      <c r="AM573" s="54"/>
      <c r="AN573" s="54"/>
      <c r="AO573" s="54"/>
      <c r="AP573" s="54"/>
      <c r="AQ573" s="54" t="s">
        <v>5147</v>
      </c>
      <c r="AR573" s="54"/>
      <c r="AS573" s="54"/>
      <c r="AT573" s="54" t="s">
        <v>2359</v>
      </c>
      <c r="AU573" s="54"/>
      <c r="AV573" s="54">
        <v>0</v>
      </c>
      <c r="AW573" s="54"/>
      <c r="AX573" s="54" t="s">
        <v>3329</v>
      </c>
      <c r="AY573" s="54"/>
      <c r="AZ573" s="54"/>
      <c r="BA573" s="54"/>
      <c r="BB573" s="54" t="s">
        <v>2369</v>
      </c>
      <c r="BC573" s="54" t="s">
        <v>2370</v>
      </c>
      <c r="BD573" s="54" t="s">
        <v>2371</v>
      </c>
      <c r="BE573" s="54" t="s">
        <v>2905</v>
      </c>
      <c r="BF573" s="54">
        <v>2</v>
      </c>
      <c r="BG573" s="54">
        <v>-6.9625000000000004</v>
      </c>
      <c r="BH573" s="54">
        <v>107.4346</v>
      </c>
      <c r="BI573" s="54">
        <v>3217111304056470</v>
      </c>
      <c r="BJ573" s="54">
        <v>42</v>
      </c>
      <c r="BK573" s="54">
        <v>139</v>
      </c>
      <c r="BL573" s="54">
        <v>57</v>
      </c>
      <c r="BM573" s="54">
        <v>1</v>
      </c>
      <c r="BN573" s="54">
        <v>1</v>
      </c>
    </row>
    <row r="574" spans="1:66" hidden="1" x14ac:dyDescent="0.3">
      <c r="A574" s="3">
        <v>568</v>
      </c>
      <c r="B574" s="3" t="s">
        <v>3842</v>
      </c>
      <c r="C574" s="3" t="s">
        <v>4290</v>
      </c>
      <c r="D574" s="3" t="s">
        <v>53</v>
      </c>
      <c r="E574" s="3">
        <v>3110306713</v>
      </c>
      <c r="F574" s="3" t="s">
        <v>2377</v>
      </c>
      <c r="G574" s="157">
        <v>40562</v>
      </c>
      <c r="H574" s="3">
        <v>3217115901110000</v>
      </c>
      <c r="I574" s="3" t="s">
        <v>2353</v>
      </c>
      <c r="J574" s="3" t="s">
        <v>3134</v>
      </c>
      <c r="K574" s="3">
        <v>1</v>
      </c>
      <c r="L574" s="3">
        <v>8</v>
      </c>
      <c r="M574" s="3"/>
      <c r="N574" s="3" t="s">
        <v>4508</v>
      </c>
      <c r="O574" s="3" t="s">
        <v>2426</v>
      </c>
      <c r="P574" s="3">
        <v>40562</v>
      </c>
      <c r="Q574" s="3" t="s">
        <v>2357</v>
      </c>
      <c r="R574" s="3" t="s">
        <v>2358</v>
      </c>
      <c r="S574" s="3"/>
      <c r="T574" s="3"/>
      <c r="U574" s="3"/>
      <c r="V574" s="3"/>
      <c r="W574" s="3" t="s">
        <v>2359</v>
      </c>
      <c r="X574" s="3"/>
      <c r="Y574" s="3" t="s">
        <v>5089</v>
      </c>
      <c r="Z574" s="3">
        <v>1977</v>
      </c>
      <c r="AA574" s="3" t="s">
        <v>2390</v>
      </c>
      <c r="AB574" s="3" t="s">
        <v>2362</v>
      </c>
      <c r="AC574" s="3" t="s">
        <v>2403</v>
      </c>
      <c r="AD574" s="3">
        <v>3217111408770010</v>
      </c>
      <c r="AE574" s="3" t="s">
        <v>5090</v>
      </c>
      <c r="AF574" s="3">
        <v>1981</v>
      </c>
      <c r="AG574" s="3" t="s">
        <v>2390</v>
      </c>
      <c r="AH574" s="3" t="s">
        <v>2365</v>
      </c>
      <c r="AI574" s="3" t="s">
        <v>2366</v>
      </c>
      <c r="AJ574" s="3">
        <v>3217115005810020</v>
      </c>
      <c r="AK574" s="3"/>
      <c r="AL574" s="3"/>
      <c r="AM574" s="3"/>
      <c r="AN574" s="3"/>
      <c r="AO574" s="3"/>
      <c r="AP574" s="3"/>
      <c r="AQ574" s="3" t="s">
        <v>5149</v>
      </c>
      <c r="AR574" s="3"/>
      <c r="AS574" s="3"/>
      <c r="AT574" s="3" t="s">
        <v>2359</v>
      </c>
      <c r="AU574" s="3"/>
      <c r="AV574" s="3">
        <v>1</v>
      </c>
      <c r="AW574" s="3"/>
      <c r="AX574" s="3" t="s">
        <v>4128</v>
      </c>
      <c r="AY574" s="3"/>
      <c r="AZ574" s="3"/>
      <c r="BA574" s="3"/>
      <c r="BB574" s="3" t="s">
        <v>2369</v>
      </c>
      <c r="BC574" s="3" t="s">
        <v>2370</v>
      </c>
      <c r="BD574" s="3" t="s">
        <v>2371</v>
      </c>
      <c r="BE574" s="3" t="s">
        <v>2905</v>
      </c>
      <c r="BF574" s="3">
        <v>1</v>
      </c>
      <c r="BG574" s="3">
        <v>-6.9625000000000004</v>
      </c>
      <c r="BH574" s="3">
        <v>107.4346</v>
      </c>
      <c r="BI574" s="3">
        <v>3217112702080020</v>
      </c>
      <c r="BJ574" s="3">
        <v>38</v>
      </c>
      <c r="BK574" s="3">
        <v>137</v>
      </c>
      <c r="BL574" s="3">
        <v>49</v>
      </c>
      <c r="BM574" s="3">
        <v>1</v>
      </c>
      <c r="BN574" s="3">
        <v>1</v>
      </c>
    </row>
    <row r="575" spans="1:66" s="219" customFormat="1" hidden="1" x14ac:dyDescent="0.3">
      <c r="A575" s="54">
        <v>569</v>
      </c>
      <c r="B575" s="54" t="s">
        <v>1891</v>
      </c>
      <c r="C575" s="54" t="s">
        <v>1543</v>
      </c>
      <c r="D575" s="54" t="s">
        <v>53</v>
      </c>
      <c r="E575" s="54">
        <v>99918416</v>
      </c>
      <c r="F575" s="54" t="s">
        <v>2377</v>
      </c>
      <c r="G575" s="108">
        <v>39865</v>
      </c>
      <c r="H575" s="54">
        <v>3217126102090000</v>
      </c>
      <c r="I575" s="54" t="s">
        <v>2353</v>
      </c>
      <c r="J575" s="54" t="s">
        <v>2831</v>
      </c>
      <c r="K575" s="54">
        <v>1</v>
      </c>
      <c r="L575" s="54">
        <v>4</v>
      </c>
      <c r="M575" s="54"/>
      <c r="N575" s="54" t="s">
        <v>2513</v>
      </c>
      <c r="O575" s="54" t="s">
        <v>2356</v>
      </c>
      <c r="P575" s="54">
        <v>40564</v>
      </c>
      <c r="Q575" s="54" t="s">
        <v>2357</v>
      </c>
      <c r="R575" s="54" t="s">
        <v>2358</v>
      </c>
      <c r="S575" s="54"/>
      <c r="T575" s="54">
        <v>85794677719</v>
      </c>
      <c r="U575" s="54"/>
      <c r="V575" s="54"/>
      <c r="W575" s="54" t="s">
        <v>2359</v>
      </c>
      <c r="X575" s="54"/>
      <c r="Y575" s="54" t="s">
        <v>3670</v>
      </c>
      <c r="Z575" s="54">
        <v>1963</v>
      </c>
      <c r="AA575" s="54" t="s">
        <v>2361</v>
      </c>
      <c r="AB575" s="54" t="s">
        <v>2362</v>
      </c>
      <c r="AC575" s="54" t="s">
        <v>2363</v>
      </c>
      <c r="AD575" s="54"/>
      <c r="AE575" s="54" t="s">
        <v>3671</v>
      </c>
      <c r="AF575" s="54">
        <v>1965</v>
      </c>
      <c r="AG575" s="54" t="s">
        <v>2361</v>
      </c>
      <c r="AH575" s="54" t="s">
        <v>2365</v>
      </c>
      <c r="AI575" s="54" t="s">
        <v>2366</v>
      </c>
      <c r="AJ575" s="54"/>
      <c r="AK575" s="54"/>
      <c r="AL575" s="54"/>
      <c r="AM575" s="54"/>
      <c r="AN575" s="54"/>
      <c r="AO575" s="54"/>
      <c r="AP575" s="54"/>
      <c r="AQ575" s="54" t="s">
        <v>5147</v>
      </c>
      <c r="AR575" s="54"/>
      <c r="AS575" s="54"/>
      <c r="AT575" s="54" t="s">
        <v>2359</v>
      </c>
      <c r="AU575" s="54"/>
      <c r="AV575" s="54">
        <v>0</v>
      </c>
      <c r="AW575" s="54"/>
      <c r="AX575" s="54"/>
      <c r="AY575" s="54"/>
      <c r="AZ575" s="54"/>
      <c r="BA575" s="54"/>
      <c r="BB575" s="54" t="s">
        <v>2369</v>
      </c>
      <c r="BC575" s="54" t="s">
        <v>2370</v>
      </c>
      <c r="BD575" s="54" t="s">
        <v>2371</v>
      </c>
      <c r="BE575" s="54"/>
      <c r="BF575" s="54">
        <v>3</v>
      </c>
      <c r="BG575" s="54">
        <v>-6.9676999999999998</v>
      </c>
      <c r="BH575" s="54">
        <v>107.4117</v>
      </c>
      <c r="BI575" s="54"/>
      <c r="BJ575" s="54">
        <v>21</v>
      </c>
      <c r="BK575" s="54">
        <v>121</v>
      </c>
      <c r="BL575" s="54">
        <v>55</v>
      </c>
      <c r="BM575" s="54">
        <v>2</v>
      </c>
      <c r="BN575" s="54">
        <v>1</v>
      </c>
    </row>
    <row r="576" spans="1:66" s="219" customFormat="1" hidden="1" x14ac:dyDescent="0.3">
      <c r="A576" s="54">
        <v>570</v>
      </c>
      <c r="B576" s="54" t="s">
        <v>2088</v>
      </c>
      <c r="C576" s="54" t="s">
        <v>2270</v>
      </c>
      <c r="D576" s="54" t="s">
        <v>53</v>
      </c>
      <c r="E576" s="54">
        <v>3107854955</v>
      </c>
      <c r="F576" s="54" t="s">
        <v>2373</v>
      </c>
      <c r="G576" s="108">
        <v>40232</v>
      </c>
      <c r="H576" s="54">
        <v>3217116302100000</v>
      </c>
      <c r="I576" s="54" t="s">
        <v>2353</v>
      </c>
      <c r="J576" s="54" t="s">
        <v>2616</v>
      </c>
      <c r="K576" s="54">
        <v>5</v>
      </c>
      <c r="L576" s="54">
        <v>7</v>
      </c>
      <c r="M576" s="54"/>
      <c r="N576" s="54" t="s">
        <v>2617</v>
      </c>
      <c r="O576" s="54" t="s">
        <v>2426</v>
      </c>
      <c r="P576" s="54">
        <v>40562</v>
      </c>
      <c r="Q576" s="54" t="s">
        <v>2357</v>
      </c>
      <c r="R576" s="54" t="s">
        <v>2358</v>
      </c>
      <c r="S576" s="54"/>
      <c r="T576" s="54"/>
      <c r="U576" s="54"/>
      <c r="V576" s="54"/>
      <c r="W576" s="54" t="s">
        <v>2359</v>
      </c>
      <c r="X576" s="54"/>
      <c r="Y576" s="54"/>
      <c r="Z576" s="54">
        <v>0</v>
      </c>
      <c r="AA576" s="54"/>
      <c r="AB576" s="54" t="s">
        <v>2362</v>
      </c>
      <c r="AC576" s="54" t="s">
        <v>2375</v>
      </c>
      <c r="AD576" s="54"/>
      <c r="AE576" s="54" t="s">
        <v>3069</v>
      </c>
      <c r="AF576" s="54">
        <v>0</v>
      </c>
      <c r="AG576" s="54"/>
      <c r="AH576" s="54" t="s">
        <v>2365</v>
      </c>
      <c r="AI576" s="54" t="s">
        <v>2366</v>
      </c>
      <c r="AJ576" s="54"/>
      <c r="AK576" s="54"/>
      <c r="AL576" s="54"/>
      <c r="AM576" s="54"/>
      <c r="AN576" s="54"/>
      <c r="AO576" s="54"/>
      <c r="AP576" s="54"/>
      <c r="AQ576" s="54" t="s">
        <v>8182</v>
      </c>
      <c r="AR576" s="54"/>
      <c r="AS576" s="54"/>
      <c r="AT576" s="54" t="s">
        <v>2359</v>
      </c>
      <c r="AU576" s="54"/>
      <c r="AV576" s="54">
        <v>1</v>
      </c>
      <c r="AW576" s="54"/>
      <c r="AX576" s="54"/>
      <c r="AY576" s="54"/>
      <c r="AZ576" s="54"/>
      <c r="BA576" s="54"/>
      <c r="BB576" s="54" t="s">
        <v>2359</v>
      </c>
      <c r="BC576" s="54"/>
      <c r="BD576" s="54" t="s">
        <v>2371</v>
      </c>
      <c r="BE576" s="54" t="s">
        <v>2376</v>
      </c>
      <c r="BF576" s="54">
        <v>1</v>
      </c>
      <c r="BG576" s="54">
        <v>-6.9625000000000004</v>
      </c>
      <c r="BH576" s="54">
        <v>107.4346</v>
      </c>
      <c r="BI576" s="54"/>
      <c r="BJ576" s="54">
        <v>42</v>
      </c>
      <c r="BK576" s="54">
        <v>136</v>
      </c>
      <c r="BL576" s="54">
        <v>55</v>
      </c>
      <c r="BM576" s="54">
        <v>1</v>
      </c>
      <c r="BN576" s="54">
        <v>2</v>
      </c>
    </row>
    <row r="577" spans="1:66" s="219" customFormat="1" hidden="1" x14ac:dyDescent="0.3">
      <c r="A577" s="54">
        <v>571</v>
      </c>
      <c r="B577" s="54" t="s">
        <v>1836</v>
      </c>
      <c r="C577" s="54" t="s">
        <v>1484</v>
      </c>
      <c r="D577" s="54" t="s">
        <v>53</v>
      </c>
      <c r="E577" s="54">
        <v>86821906</v>
      </c>
      <c r="F577" s="54" t="s">
        <v>2352</v>
      </c>
      <c r="G577" s="108">
        <v>39751</v>
      </c>
      <c r="H577" s="54">
        <v>3217117010080000</v>
      </c>
      <c r="I577" s="54" t="s">
        <v>2353</v>
      </c>
      <c r="J577" s="54" t="s">
        <v>3245</v>
      </c>
      <c r="K577" s="54">
        <v>3</v>
      </c>
      <c r="L577" s="54">
        <v>2</v>
      </c>
      <c r="M577" s="54"/>
      <c r="N577" s="54" t="s">
        <v>3105</v>
      </c>
      <c r="O577" s="54" t="s">
        <v>2426</v>
      </c>
      <c r="P577" s="54">
        <v>40562</v>
      </c>
      <c r="Q577" s="54" t="s">
        <v>2357</v>
      </c>
      <c r="R577" s="54" t="s">
        <v>2358</v>
      </c>
      <c r="S577" s="54"/>
      <c r="T577" s="54">
        <v>87717081500</v>
      </c>
      <c r="U577" s="54"/>
      <c r="V577" s="54"/>
      <c r="W577" s="54" t="s">
        <v>2369</v>
      </c>
      <c r="X577" s="54" t="s">
        <v>3427</v>
      </c>
      <c r="Y577" s="54" t="s">
        <v>3428</v>
      </c>
      <c r="Z577" s="54">
        <v>1965</v>
      </c>
      <c r="AA577" s="54" t="s">
        <v>2361</v>
      </c>
      <c r="AB577" s="54" t="s">
        <v>2362</v>
      </c>
      <c r="AC577" s="54" t="s">
        <v>2363</v>
      </c>
      <c r="AD577" s="54">
        <v>3217110810650000</v>
      </c>
      <c r="AE577" s="54" t="s">
        <v>3429</v>
      </c>
      <c r="AF577" s="54">
        <v>1979</v>
      </c>
      <c r="AG577" s="54" t="s">
        <v>2390</v>
      </c>
      <c r="AH577" s="54" t="s">
        <v>2365</v>
      </c>
      <c r="AI577" s="54" t="s">
        <v>2366</v>
      </c>
      <c r="AJ577" s="54">
        <v>3217116907790000</v>
      </c>
      <c r="AK577" s="54"/>
      <c r="AL577" s="54"/>
      <c r="AM577" s="54"/>
      <c r="AN577" s="54"/>
      <c r="AO577" s="54"/>
      <c r="AP577" s="54"/>
      <c r="AQ577" s="54" t="s">
        <v>5147</v>
      </c>
      <c r="AR577" s="54"/>
      <c r="AS577" s="54"/>
      <c r="AT577" s="54" t="s">
        <v>2359</v>
      </c>
      <c r="AU577" s="54"/>
      <c r="AV577" s="54">
        <v>0</v>
      </c>
      <c r="AW577" s="54" t="s">
        <v>3430</v>
      </c>
      <c r="AX577" s="54" t="s">
        <v>3431</v>
      </c>
      <c r="AY577" s="54"/>
      <c r="AZ577" s="54"/>
      <c r="BA577" s="54"/>
      <c r="BB577" s="54" t="s">
        <v>2369</v>
      </c>
      <c r="BC577" s="54" t="s">
        <v>2443</v>
      </c>
      <c r="BD577" s="54" t="s">
        <v>2371</v>
      </c>
      <c r="BE577" s="54"/>
      <c r="BF577" s="54">
        <v>1</v>
      </c>
      <c r="BG577" s="54">
        <v>-6.9668999999999999</v>
      </c>
      <c r="BH577" s="54">
        <v>107.4242</v>
      </c>
      <c r="BI577" s="54"/>
      <c r="BJ577" s="54">
        <v>25</v>
      </c>
      <c r="BK577" s="54">
        <v>130</v>
      </c>
      <c r="BL577" s="54">
        <v>45</v>
      </c>
      <c r="BM577" s="54">
        <v>2</v>
      </c>
      <c r="BN577" s="54">
        <v>1</v>
      </c>
    </row>
    <row r="578" spans="1:66" s="219" customFormat="1" hidden="1" x14ac:dyDescent="0.3">
      <c r="A578" s="54">
        <v>572</v>
      </c>
      <c r="B578" s="54" t="s">
        <v>1384</v>
      </c>
      <c r="C578" s="54" t="s">
        <v>1570</v>
      </c>
      <c r="D578" s="54" t="s">
        <v>53</v>
      </c>
      <c r="E578" s="54">
        <v>96217200</v>
      </c>
      <c r="F578" s="54" t="s">
        <v>2446</v>
      </c>
      <c r="G578" s="108">
        <v>39842</v>
      </c>
      <c r="H578" s="54">
        <v>3217116901090000</v>
      </c>
      <c r="I578" s="54" t="s">
        <v>2353</v>
      </c>
      <c r="J578" s="54" t="s">
        <v>2574</v>
      </c>
      <c r="K578" s="54">
        <v>1</v>
      </c>
      <c r="L578" s="54">
        <v>3</v>
      </c>
      <c r="M578" s="54"/>
      <c r="N578" s="54" t="s">
        <v>2513</v>
      </c>
      <c r="O578" s="54" t="s">
        <v>2356</v>
      </c>
      <c r="P578" s="54">
        <v>49764</v>
      </c>
      <c r="Q578" s="54" t="s">
        <v>2357</v>
      </c>
      <c r="R578" s="54" t="s">
        <v>2358</v>
      </c>
      <c r="S578" s="54"/>
      <c r="T578" s="54">
        <v>83143307707</v>
      </c>
      <c r="U578" s="54"/>
      <c r="V578" s="54"/>
      <c r="W578" s="54" t="s">
        <v>2359</v>
      </c>
      <c r="X578" s="54"/>
      <c r="Y578" s="54" t="s">
        <v>3769</v>
      </c>
      <c r="Z578" s="54">
        <v>1987</v>
      </c>
      <c r="AA578" s="54" t="s">
        <v>2390</v>
      </c>
      <c r="AB578" s="54" t="s">
        <v>2362</v>
      </c>
      <c r="AC578" s="54" t="s">
        <v>2363</v>
      </c>
      <c r="AD578" s="54"/>
      <c r="AE578" s="54" t="s">
        <v>3770</v>
      </c>
      <c r="AF578" s="54">
        <v>1989</v>
      </c>
      <c r="AG578" s="54"/>
      <c r="AH578" s="54" t="s">
        <v>2365</v>
      </c>
      <c r="AI578" s="54" t="s">
        <v>2366</v>
      </c>
      <c r="AJ578" s="54"/>
      <c r="AK578" s="54"/>
      <c r="AL578" s="54"/>
      <c r="AM578" s="54"/>
      <c r="AN578" s="54"/>
      <c r="AO578" s="54"/>
      <c r="AP578" s="54"/>
      <c r="AQ578" s="54" t="s">
        <v>5147</v>
      </c>
      <c r="AR578" s="54"/>
      <c r="AS578" s="54"/>
      <c r="AT578" s="54" t="s">
        <v>2369</v>
      </c>
      <c r="AU578" s="54" t="s">
        <v>3771</v>
      </c>
      <c r="AV578" s="54">
        <v>0</v>
      </c>
      <c r="AW578" s="54"/>
      <c r="AX578" s="54"/>
      <c r="AY578" s="54" t="s">
        <v>2460</v>
      </c>
      <c r="AZ578" s="54">
        <v>411601003457506</v>
      </c>
      <c r="BA578" s="54" t="s">
        <v>3772</v>
      </c>
      <c r="BB578" s="54" t="s">
        <v>2369</v>
      </c>
      <c r="BC578" s="54"/>
      <c r="BD578" s="54" t="s">
        <v>2371</v>
      </c>
      <c r="BE578" s="54"/>
      <c r="BF578" s="54">
        <v>1</v>
      </c>
      <c r="BG578" s="54">
        <v>-7.0068000000000001</v>
      </c>
      <c r="BH578" s="54">
        <v>107.2349</v>
      </c>
      <c r="BI578" s="54">
        <v>3217121604057670</v>
      </c>
      <c r="BJ578" s="54">
        <v>12</v>
      </c>
      <c r="BK578" s="54">
        <v>121</v>
      </c>
      <c r="BL578" s="54">
        <v>55</v>
      </c>
      <c r="BM578" s="54">
        <v>2</v>
      </c>
      <c r="BN578" s="54">
        <v>1</v>
      </c>
    </row>
    <row r="579" spans="1:66" hidden="1" x14ac:dyDescent="0.3">
      <c r="A579" s="3">
        <v>573</v>
      </c>
      <c r="B579" s="3" t="s">
        <v>3808</v>
      </c>
      <c r="C579" s="3" t="s">
        <v>4255</v>
      </c>
      <c r="D579" s="3" t="s">
        <v>53</v>
      </c>
      <c r="E579" s="3">
        <v>3119544039</v>
      </c>
      <c r="F579" s="3" t="s">
        <v>2377</v>
      </c>
      <c r="G579" s="157">
        <v>40580</v>
      </c>
      <c r="H579" s="3">
        <v>3217124602110000</v>
      </c>
      <c r="I579" s="3" t="s">
        <v>2353</v>
      </c>
      <c r="J579" s="3" t="s">
        <v>5091</v>
      </c>
      <c r="K579" s="3">
        <v>2</v>
      </c>
      <c r="L579" s="3">
        <v>4</v>
      </c>
      <c r="M579" s="3"/>
      <c r="N579" s="3" t="s">
        <v>4676</v>
      </c>
      <c r="O579" s="3" t="s">
        <v>2356</v>
      </c>
      <c r="P579" s="3"/>
      <c r="Q579" s="3" t="s">
        <v>2357</v>
      </c>
      <c r="R579" s="3" t="s">
        <v>2374</v>
      </c>
      <c r="S579" s="3"/>
      <c r="T579" s="3"/>
      <c r="U579" s="3"/>
      <c r="V579" s="3"/>
      <c r="W579" s="3" t="s">
        <v>2359</v>
      </c>
      <c r="X579" s="3"/>
      <c r="Y579" s="3" t="s">
        <v>5092</v>
      </c>
      <c r="Z579" s="3">
        <v>1973</v>
      </c>
      <c r="AA579" s="3" t="s">
        <v>2361</v>
      </c>
      <c r="AB579" s="3" t="s">
        <v>2362</v>
      </c>
      <c r="AC579" s="3" t="s">
        <v>2363</v>
      </c>
      <c r="AD579" s="3">
        <v>3217120108730000</v>
      </c>
      <c r="AE579" s="3" t="s">
        <v>2922</v>
      </c>
      <c r="AF579" s="3">
        <v>1983</v>
      </c>
      <c r="AG579" s="3" t="s">
        <v>2361</v>
      </c>
      <c r="AH579" s="3" t="s">
        <v>2365</v>
      </c>
      <c r="AI579" s="3" t="s">
        <v>2366</v>
      </c>
      <c r="AJ579" s="3">
        <v>3217125206830000</v>
      </c>
      <c r="AK579" s="3"/>
      <c r="AL579" s="3"/>
      <c r="AM579" s="3"/>
      <c r="AN579" s="3"/>
      <c r="AO579" s="3"/>
      <c r="AP579" s="3"/>
      <c r="AQ579" s="3" t="s">
        <v>5146</v>
      </c>
      <c r="AR579" s="3"/>
      <c r="AS579" s="3"/>
      <c r="AT579" s="3" t="s">
        <v>2359</v>
      </c>
      <c r="AU579" s="3"/>
      <c r="AV579" s="3">
        <v>1</v>
      </c>
      <c r="AW579" s="3"/>
      <c r="AX579" s="3" t="s">
        <v>4028</v>
      </c>
      <c r="AY579" s="3"/>
      <c r="AZ579" s="3"/>
      <c r="BA579" s="3"/>
      <c r="BB579" s="3" t="s">
        <v>2369</v>
      </c>
      <c r="BC579" s="3" t="s">
        <v>2370</v>
      </c>
      <c r="BD579" s="3" t="s">
        <v>2371</v>
      </c>
      <c r="BE579" s="3"/>
      <c r="BF579" s="3">
        <v>1</v>
      </c>
      <c r="BG579" s="3">
        <v>-6.9625000000000004</v>
      </c>
      <c r="BH579" s="3">
        <v>107.4346</v>
      </c>
      <c r="BI579" s="3">
        <v>3217122201080020</v>
      </c>
      <c r="BJ579" s="3">
        <v>41</v>
      </c>
      <c r="BK579" s="3">
        <v>139</v>
      </c>
      <c r="BL579" s="3">
        <v>52</v>
      </c>
      <c r="BM579" s="3">
        <v>1</v>
      </c>
      <c r="BN579" s="3">
        <v>3</v>
      </c>
    </row>
    <row r="580" spans="1:66" hidden="1" x14ac:dyDescent="0.3">
      <c r="A580" s="3">
        <v>574</v>
      </c>
      <c r="B580" s="3" t="s">
        <v>5093</v>
      </c>
      <c r="C580" s="3" t="s">
        <v>4387</v>
      </c>
      <c r="D580" s="3" t="s">
        <v>53</v>
      </c>
      <c r="E580" s="3">
        <v>109752932</v>
      </c>
      <c r="F580" s="3" t="s">
        <v>2373</v>
      </c>
      <c r="G580" s="157">
        <v>40474</v>
      </c>
      <c r="H580" s="3">
        <v>3217116310100000</v>
      </c>
      <c r="I580" s="3" t="s">
        <v>2353</v>
      </c>
      <c r="J580" s="3" t="s">
        <v>2424</v>
      </c>
      <c r="K580" s="3">
        <v>1</v>
      </c>
      <c r="L580" s="3">
        <v>14</v>
      </c>
      <c r="M580" s="3"/>
      <c r="N580" s="3" t="s">
        <v>4508</v>
      </c>
      <c r="O580" s="3" t="s">
        <v>2426</v>
      </c>
      <c r="P580" s="3">
        <v>40562</v>
      </c>
      <c r="Q580" s="3" t="s">
        <v>2357</v>
      </c>
      <c r="R580" s="3" t="s">
        <v>2358</v>
      </c>
      <c r="S580" s="3"/>
      <c r="T580" s="3">
        <v>85315025359</v>
      </c>
      <c r="U580" s="3"/>
      <c r="V580" s="3"/>
      <c r="W580" s="3" t="s">
        <v>2359</v>
      </c>
      <c r="X580" s="3"/>
      <c r="Y580" s="3" t="s">
        <v>5094</v>
      </c>
      <c r="Z580" s="3">
        <v>1962</v>
      </c>
      <c r="AA580" s="3" t="s">
        <v>2402</v>
      </c>
      <c r="AB580" s="3" t="s">
        <v>2362</v>
      </c>
      <c r="AC580" s="3" t="s">
        <v>2403</v>
      </c>
      <c r="AD580" s="3">
        <v>3217110612620000</v>
      </c>
      <c r="AE580" s="3" t="s">
        <v>5095</v>
      </c>
      <c r="AF580" s="3">
        <v>1970</v>
      </c>
      <c r="AG580" s="3" t="s">
        <v>2402</v>
      </c>
      <c r="AH580" s="3" t="s">
        <v>2365</v>
      </c>
      <c r="AI580" s="3" t="s">
        <v>2366</v>
      </c>
      <c r="AJ580" s="3">
        <v>3217114296700010</v>
      </c>
      <c r="AK580" s="3"/>
      <c r="AL580" s="3"/>
      <c r="AM580" s="3" t="s">
        <v>2367</v>
      </c>
      <c r="AN580" s="3"/>
      <c r="AO580" s="3"/>
      <c r="AP580" s="3"/>
      <c r="AQ580" s="3" t="s">
        <v>5151</v>
      </c>
      <c r="AR580" s="3"/>
      <c r="AS580" s="3"/>
      <c r="AT580" s="3" t="s">
        <v>2359</v>
      </c>
      <c r="AU580" s="3"/>
      <c r="AV580" s="3">
        <v>0</v>
      </c>
      <c r="AW580" s="3"/>
      <c r="AX580" s="3" t="s">
        <v>4108</v>
      </c>
      <c r="AY580" s="3"/>
      <c r="AZ580" s="3"/>
      <c r="BA580" s="3"/>
      <c r="BB580" s="3" t="s">
        <v>2369</v>
      </c>
      <c r="BC580" s="3" t="s">
        <v>2370</v>
      </c>
      <c r="BD580" s="3" t="s">
        <v>2371</v>
      </c>
      <c r="BE580" s="3" t="s">
        <v>2430</v>
      </c>
      <c r="BF580" s="3">
        <v>1</v>
      </c>
      <c r="BG580" s="3">
        <v>-6.9514541999999997</v>
      </c>
      <c r="BH580" s="3">
        <v>107.4179645</v>
      </c>
      <c r="BI580" s="3">
        <v>3217110407060010</v>
      </c>
      <c r="BJ580" s="3">
        <v>41</v>
      </c>
      <c r="BK580" s="3">
        <v>136</v>
      </c>
      <c r="BL580" s="3">
        <v>52</v>
      </c>
      <c r="BM580" s="3">
        <v>0</v>
      </c>
      <c r="BN580" s="3">
        <v>2</v>
      </c>
    </row>
    <row r="581" spans="1:66" hidden="1" x14ac:dyDescent="0.3">
      <c r="A581" s="3">
        <v>575</v>
      </c>
      <c r="B581" s="3" t="s">
        <v>5096</v>
      </c>
      <c r="C581" s="3" t="s">
        <v>4357</v>
      </c>
      <c r="D581" s="3" t="s">
        <v>53</v>
      </c>
      <c r="E581" s="3">
        <v>103642217</v>
      </c>
      <c r="F581" s="3" t="s">
        <v>2446</v>
      </c>
      <c r="G581" s="157">
        <v>40519</v>
      </c>
      <c r="H581" s="3">
        <v>3217124712100000</v>
      </c>
      <c r="I581" s="3" t="s">
        <v>2353</v>
      </c>
      <c r="J581" s="3" t="s">
        <v>4765</v>
      </c>
      <c r="K581" s="3">
        <v>2</v>
      </c>
      <c r="L581" s="3">
        <v>7</v>
      </c>
      <c r="M581" s="3">
        <v>2</v>
      </c>
      <c r="N581" s="3" t="s">
        <v>4527</v>
      </c>
      <c r="O581" s="3" t="s">
        <v>2356</v>
      </c>
      <c r="P581" s="3">
        <v>40762</v>
      </c>
      <c r="Q581" s="3" t="s">
        <v>2357</v>
      </c>
      <c r="R581" s="3" t="s">
        <v>2374</v>
      </c>
      <c r="S581" s="3"/>
      <c r="T581" s="3">
        <v>83833675851</v>
      </c>
      <c r="U581" s="3"/>
      <c r="V581" s="3"/>
      <c r="W581" s="3" t="s">
        <v>2359</v>
      </c>
      <c r="X581" s="3"/>
      <c r="Y581" s="3" t="s">
        <v>5097</v>
      </c>
      <c r="Z581" s="3">
        <v>1975</v>
      </c>
      <c r="AA581" s="3" t="s">
        <v>2402</v>
      </c>
      <c r="AB581" s="3" t="s">
        <v>2362</v>
      </c>
      <c r="AC581" s="3" t="s">
        <v>2403</v>
      </c>
      <c r="AD581" s="3">
        <v>3217121506750020</v>
      </c>
      <c r="AE581" s="3" t="s">
        <v>5098</v>
      </c>
      <c r="AF581" s="3">
        <v>1983</v>
      </c>
      <c r="AG581" s="3" t="s">
        <v>2402</v>
      </c>
      <c r="AH581" s="3" t="s">
        <v>2362</v>
      </c>
      <c r="AI581" s="3" t="s">
        <v>2363</v>
      </c>
      <c r="AJ581" s="3">
        <v>3217124606530020</v>
      </c>
      <c r="AK581" s="3"/>
      <c r="AL581" s="3"/>
      <c r="AM581" s="3" t="s">
        <v>2367</v>
      </c>
      <c r="AN581" s="3"/>
      <c r="AO581" s="3"/>
      <c r="AP581" s="3"/>
      <c r="AQ581" s="3" t="s">
        <v>5152</v>
      </c>
      <c r="AR581" s="3"/>
      <c r="AS581" s="3" t="s">
        <v>5099</v>
      </c>
      <c r="AT581" s="3" t="s">
        <v>2359</v>
      </c>
      <c r="AU581" s="3"/>
      <c r="AV581" s="3">
        <v>0</v>
      </c>
      <c r="AW581" s="3"/>
      <c r="AX581" s="3" t="s">
        <v>5100</v>
      </c>
      <c r="AY581" s="3"/>
      <c r="AZ581" s="3"/>
      <c r="BA581" s="3"/>
      <c r="BB581" s="3" t="s">
        <v>2369</v>
      </c>
      <c r="BC581" s="3" t="s">
        <v>2370</v>
      </c>
      <c r="BD581" s="3" t="s">
        <v>2371</v>
      </c>
      <c r="BE581" s="3" t="s">
        <v>2413</v>
      </c>
      <c r="BF581" s="3">
        <v>2</v>
      </c>
      <c r="BG581" s="3">
        <v>-6.9546286200000003</v>
      </c>
      <c r="BH581" s="3">
        <v>107.3802853</v>
      </c>
      <c r="BI581" s="3"/>
      <c r="BJ581" s="3">
        <v>43</v>
      </c>
      <c r="BK581" s="3">
        <v>136</v>
      </c>
      <c r="BL581" s="3">
        <v>54</v>
      </c>
      <c r="BM581" s="3">
        <v>1</v>
      </c>
      <c r="BN581" s="3">
        <v>3</v>
      </c>
    </row>
    <row r="582" spans="1:66" hidden="1" x14ac:dyDescent="0.3">
      <c r="A582" s="3">
        <v>576</v>
      </c>
      <c r="B582" s="3" t="s">
        <v>3899</v>
      </c>
      <c r="C582" s="3" t="s">
        <v>4358</v>
      </c>
      <c r="D582" s="3" t="s">
        <v>53</v>
      </c>
      <c r="E582" s="3">
        <v>115587594</v>
      </c>
      <c r="F582" s="3" t="s">
        <v>2446</v>
      </c>
      <c r="G582" s="157">
        <v>40765</v>
      </c>
      <c r="H582" s="3">
        <v>3217115008110000</v>
      </c>
      <c r="I582" s="3" t="s">
        <v>2353</v>
      </c>
      <c r="J582" s="3" t="s">
        <v>2565</v>
      </c>
      <c r="K582" s="3">
        <v>4</v>
      </c>
      <c r="L582" s="3">
        <v>1</v>
      </c>
      <c r="M582" s="3"/>
      <c r="N582" s="3" t="s">
        <v>4604</v>
      </c>
      <c r="O582" s="3" t="s">
        <v>2426</v>
      </c>
      <c r="P582" s="3">
        <v>40560</v>
      </c>
      <c r="Q582" s="3" t="s">
        <v>2357</v>
      </c>
      <c r="R582" s="3" t="s">
        <v>2374</v>
      </c>
      <c r="S582" s="3"/>
      <c r="T582" s="3"/>
      <c r="U582" s="3"/>
      <c r="V582" s="3"/>
      <c r="W582" s="3" t="s">
        <v>2359</v>
      </c>
      <c r="X582" s="3"/>
      <c r="Y582" s="3" t="s">
        <v>4097</v>
      </c>
      <c r="Z582" s="3">
        <v>1975</v>
      </c>
      <c r="AA582" s="3" t="s">
        <v>2361</v>
      </c>
      <c r="AB582" s="3" t="s">
        <v>2365</v>
      </c>
      <c r="AC582" s="3" t="s">
        <v>2366</v>
      </c>
      <c r="AD582" s="3">
        <v>3217110408750010</v>
      </c>
      <c r="AE582" s="3" t="s">
        <v>2861</v>
      </c>
      <c r="AF582" s="3">
        <v>1984</v>
      </c>
      <c r="AG582" s="3" t="s">
        <v>2361</v>
      </c>
      <c r="AH582" s="3" t="s">
        <v>2365</v>
      </c>
      <c r="AI582" s="3" t="s">
        <v>2366</v>
      </c>
      <c r="AJ582" s="3">
        <v>3217115808840000</v>
      </c>
      <c r="AK582" s="3"/>
      <c r="AL582" s="3"/>
      <c r="AM582" s="3" t="s">
        <v>2367</v>
      </c>
      <c r="AN582" s="3"/>
      <c r="AO582" s="3"/>
      <c r="AP582" s="3"/>
      <c r="AQ582" s="3" t="s">
        <v>5152</v>
      </c>
      <c r="AR582" s="3"/>
      <c r="AS582" s="3"/>
      <c r="AT582" s="3" t="s">
        <v>2369</v>
      </c>
      <c r="AU582" s="3"/>
      <c r="AV582" s="3">
        <v>0</v>
      </c>
      <c r="AW582" s="3"/>
      <c r="AX582" s="3" t="s">
        <v>4096</v>
      </c>
      <c r="AY582" s="3"/>
      <c r="AZ582" s="3"/>
      <c r="BA582" s="3"/>
      <c r="BB582" s="3" t="s">
        <v>2369</v>
      </c>
      <c r="BC582" s="3"/>
      <c r="BD582" s="3" t="s">
        <v>2371</v>
      </c>
      <c r="BE582" s="3" t="s">
        <v>2691</v>
      </c>
      <c r="BF582" s="3">
        <v>2</v>
      </c>
      <c r="BG582" s="3">
        <v>-6.9743000000000004</v>
      </c>
      <c r="BH582" s="3">
        <v>107.43559999999999</v>
      </c>
      <c r="BI582" s="3">
        <v>3217110504130000</v>
      </c>
      <c r="BJ582" s="3">
        <v>30</v>
      </c>
      <c r="BK582" s="3">
        <v>130</v>
      </c>
      <c r="BL582" s="3">
        <v>0</v>
      </c>
      <c r="BM582" s="3">
        <v>0</v>
      </c>
      <c r="BN582" s="3">
        <v>1</v>
      </c>
    </row>
    <row r="583" spans="1:66" s="219" customFormat="1" hidden="1" x14ac:dyDescent="0.3">
      <c r="A583" s="54">
        <v>577</v>
      </c>
      <c r="B583" s="54" t="s">
        <v>1645</v>
      </c>
      <c r="C583" s="54" t="s">
        <v>2125</v>
      </c>
      <c r="D583" s="54" t="s">
        <v>53</v>
      </c>
      <c r="E583" s="54"/>
      <c r="F583" s="54" t="s">
        <v>2373</v>
      </c>
      <c r="G583" s="108">
        <v>39899</v>
      </c>
      <c r="H583" s="54">
        <v>3217110211120000</v>
      </c>
      <c r="I583" s="54" t="s">
        <v>2353</v>
      </c>
      <c r="J583" s="54" t="s">
        <v>2530</v>
      </c>
      <c r="K583" s="54">
        <v>3</v>
      </c>
      <c r="L583" s="54">
        <v>8</v>
      </c>
      <c r="M583" s="54"/>
      <c r="N583" s="54" t="s">
        <v>2425</v>
      </c>
      <c r="O583" s="54" t="s">
        <v>2426</v>
      </c>
      <c r="P583" s="54">
        <v>40562</v>
      </c>
      <c r="Q583" s="54" t="s">
        <v>2357</v>
      </c>
      <c r="R583" s="54" t="s">
        <v>2358</v>
      </c>
      <c r="S583" s="54"/>
      <c r="T583" s="54"/>
      <c r="U583" s="54"/>
      <c r="V583" s="54"/>
      <c r="W583" s="54" t="s">
        <v>2359</v>
      </c>
      <c r="X583" s="54"/>
      <c r="Y583" s="54"/>
      <c r="Z583" s="54">
        <v>0</v>
      </c>
      <c r="AA583" s="54"/>
      <c r="AB583" s="54" t="s">
        <v>2362</v>
      </c>
      <c r="AC583" s="54" t="s">
        <v>2375</v>
      </c>
      <c r="AD583" s="54"/>
      <c r="AE583" s="54" t="s">
        <v>2531</v>
      </c>
      <c r="AF583" s="54">
        <v>0</v>
      </c>
      <c r="AG583" s="54"/>
      <c r="AH583" s="54" t="s">
        <v>2365</v>
      </c>
      <c r="AI583" s="54" t="s">
        <v>2366</v>
      </c>
      <c r="AJ583" s="54"/>
      <c r="AK583" s="54"/>
      <c r="AL583" s="54"/>
      <c r="AM583" s="54"/>
      <c r="AN583" s="54"/>
      <c r="AO583" s="54"/>
      <c r="AP583" s="54"/>
      <c r="AQ583" s="54" t="s">
        <v>8177</v>
      </c>
      <c r="AR583" s="54"/>
      <c r="AS583" s="54"/>
      <c r="AT583" s="54" t="s">
        <v>2359</v>
      </c>
      <c r="AU583" s="54"/>
      <c r="AV583" s="54">
        <v>1</v>
      </c>
      <c r="AW583" s="54"/>
      <c r="AX583" s="54"/>
      <c r="AY583" s="54"/>
      <c r="AZ583" s="54"/>
      <c r="BA583" s="54"/>
      <c r="BB583" s="54" t="s">
        <v>2359</v>
      </c>
      <c r="BC583" s="54"/>
      <c r="BD583" s="54" t="s">
        <v>2371</v>
      </c>
      <c r="BE583" s="54" t="s">
        <v>2376</v>
      </c>
      <c r="BF583" s="54">
        <v>1</v>
      </c>
      <c r="BG583" s="54">
        <v>-6.9625000000000004</v>
      </c>
      <c r="BH583" s="54">
        <v>107.4346</v>
      </c>
      <c r="BI583" s="54"/>
      <c r="BJ583" s="54">
        <v>30</v>
      </c>
      <c r="BK583" s="54">
        <v>137</v>
      </c>
      <c r="BL583" s="54">
        <v>47</v>
      </c>
      <c r="BM583" s="54">
        <v>2</v>
      </c>
      <c r="BN583" s="54">
        <v>1</v>
      </c>
    </row>
    <row r="584" spans="1:66" s="219" customFormat="1" hidden="1" x14ac:dyDescent="0.3">
      <c r="A584" s="54">
        <v>578</v>
      </c>
      <c r="B584" s="54" t="s">
        <v>1648</v>
      </c>
      <c r="C584" s="54" t="s">
        <v>2126</v>
      </c>
      <c r="D584" s="54" t="s">
        <v>53</v>
      </c>
      <c r="E584" s="54">
        <v>99620150</v>
      </c>
      <c r="F584" s="54" t="s">
        <v>2446</v>
      </c>
      <c r="G584" s="108">
        <v>40086</v>
      </c>
      <c r="H584" s="54">
        <v>3217127009090000</v>
      </c>
      <c r="I584" s="54" t="s">
        <v>2353</v>
      </c>
      <c r="J584" s="54" t="s">
        <v>2500</v>
      </c>
      <c r="K584" s="54">
        <v>4</v>
      </c>
      <c r="L584" s="54">
        <v>5</v>
      </c>
      <c r="M584" s="54" t="s">
        <v>2463</v>
      </c>
      <c r="N584" s="54" t="s">
        <v>2438</v>
      </c>
      <c r="O584" s="54" t="s">
        <v>2356</v>
      </c>
      <c r="P584" s="54">
        <v>40764</v>
      </c>
      <c r="Q584" s="54" t="s">
        <v>2357</v>
      </c>
      <c r="R584" s="54" t="s">
        <v>2358</v>
      </c>
      <c r="S584" s="54"/>
      <c r="T584" s="54">
        <v>83108208445</v>
      </c>
      <c r="U584" s="54"/>
      <c r="V584" s="54"/>
      <c r="W584" s="54" t="s">
        <v>2359</v>
      </c>
      <c r="X584" s="54"/>
      <c r="Y584" s="54" t="s">
        <v>2532</v>
      </c>
      <c r="Z584" s="54">
        <v>1982</v>
      </c>
      <c r="AA584" s="54" t="s">
        <v>2390</v>
      </c>
      <c r="AB584" s="54" t="s">
        <v>2362</v>
      </c>
      <c r="AC584" s="54" t="s">
        <v>2403</v>
      </c>
      <c r="AD584" s="54">
        <v>3217121503820020</v>
      </c>
      <c r="AE584" s="54" t="s">
        <v>1075</v>
      </c>
      <c r="AF584" s="54">
        <v>1990</v>
      </c>
      <c r="AG584" s="54" t="s">
        <v>2390</v>
      </c>
      <c r="AH584" s="54" t="s">
        <v>2365</v>
      </c>
      <c r="AI584" s="54" t="s">
        <v>2366</v>
      </c>
      <c r="AJ584" s="54">
        <v>3217124406900010</v>
      </c>
      <c r="AK584" s="54"/>
      <c r="AL584" s="54"/>
      <c r="AM584" s="54" t="s">
        <v>2367</v>
      </c>
      <c r="AN584" s="54"/>
      <c r="AO584" s="54"/>
      <c r="AP584" s="54"/>
      <c r="AQ584" s="54" t="s">
        <v>8177</v>
      </c>
      <c r="AR584" s="54"/>
      <c r="AS584" s="54"/>
      <c r="AT584" s="54" t="s">
        <v>2359</v>
      </c>
      <c r="AU584" s="54"/>
      <c r="AV584" s="54">
        <v>0</v>
      </c>
      <c r="AW584" s="54"/>
      <c r="AX584" s="54" t="s">
        <v>2533</v>
      </c>
      <c r="AY584" s="54"/>
      <c r="AZ584" s="54"/>
      <c r="BA584" s="54"/>
      <c r="BB584" s="54" t="s">
        <v>2369</v>
      </c>
      <c r="BC584" s="54" t="s">
        <v>2370</v>
      </c>
      <c r="BD584" s="54" t="s">
        <v>2371</v>
      </c>
      <c r="BE584" s="54" t="s">
        <v>2444</v>
      </c>
      <c r="BF584" s="54">
        <v>1</v>
      </c>
      <c r="BG584" s="54">
        <v>-6.9530000000000003</v>
      </c>
      <c r="BH584" s="54">
        <v>107.4034</v>
      </c>
      <c r="BI584" s="54">
        <v>3217122105080040</v>
      </c>
      <c r="BJ584" s="54">
        <v>47</v>
      </c>
      <c r="BK584" s="54">
        <v>138</v>
      </c>
      <c r="BL584" s="54">
        <v>0</v>
      </c>
      <c r="BM584" s="54">
        <v>0</v>
      </c>
      <c r="BN584" s="54">
        <v>0</v>
      </c>
    </row>
    <row r="585" spans="1:66" hidden="1" x14ac:dyDescent="0.3">
      <c r="A585" s="3">
        <v>579</v>
      </c>
      <c r="B585" s="3" t="s">
        <v>3900</v>
      </c>
      <c r="C585" s="3" t="s">
        <v>4359</v>
      </c>
      <c r="D585" s="3" t="s">
        <v>52</v>
      </c>
      <c r="E585" s="3">
        <v>3106850841</v>
      </c>
      <c r="F585" s="3" t="s">
        <v>2446</v>
      </c>
      <c r="G585" s="157">
        <v>40461</v>
      </c>
      <c r="H585" s="3">
        <v>3673051010100010</v>
      </c>
      <c r="I585" s="3" t="s">
        <v>2353</v>
      </c>
      <c r="J585" s="3" t="s">
        <v>2424</v>
      </c>
      <c r="K585" s="3">
        <v>4</v>
      </c>
      <c r="L585" s="3">
        <v>5</v>
      </c>
      <c r="M585" s="3"/>
      <c r="N585" s="3" t="s">
        <v>5101</v>
      </c>
      <c r="O585" s="3" t="s">
        <v>2356</v>
      </c>
      <c r="P585" s="3"/>
      <c r="Q585" s="3" t="s">
        <v>2357</v>
      </c>
      <c r="R585" s="3" t="s">
        <v>2374</v>
      </c>
      <c r="S585" s="3"/>
      <c r="T585" s="3"/>
      <c r="U585" s="3"/>
      <c r="V585" s="3"/>
      <c r="W585" s="3" t="s">
        <v>2359</v>
      </c>
      <c r="X585" s="3"/>
      <c r="Y585" s="3" t="s">
        <v>5102</v>
      </c>
      <c r="Z585" s="3">
        <v>1976</v>
      </c>
      <c r="AA585" s="3" t="s">
        <v>2387</v>
      </c>
      <c r="AB585" s="3" t="s">
        <v>2388</v>
      </c>
      <c r="AC585" s="3" t="s">
        <v>2666</v>
      </c>
      <c r="AD585" s="3">
        <v>3673051712760000</v>
      </c>
      <c r="AE585" s="3" t="s">
        <v>5103</v>
      </c>
      <c r="AF585" s="3">
        <v>0</v>
      </c>
      <c r="AG585" s="3" t="s">
        <v>2390</v>
      </c>
      <c r="AH585" s="3" t="s">
        <v>2365</v>
      </c>
      <c r="AI585" s="3" t="s">
        <v>2366</v>
      </c>
      <c r="AJ585" s="3"/>
      <c r="AK585" s="3"/>
      <c r="AL585" s="3"/>
      <c r="AM585" s="3"/>
      <c r="AN585" s="3"/>
      <c r="AO585" s="3"/>
      <c r="AP585" s="3"/>
      <c r="AQ585" s="3" t="s">
        <v>5152</v>
      </c>
      <c r="AR585" s="3"/>
      <c r="AS585" s="3" t="s">
        <v>5104</v>
      </c>
      <c r="AT585" s="3" t="s">
        <v>2359</v>
      </c>
      <c r="AU585" s="3"/>
      <c r="AV585" s="3">
        <v>1</v>
      </c>
      <c r="AW585" s="3"/>
      <c r="AX585" s="3"/>
      <c r="AY585" s="3"/>
      <c r="AZ585" s="3"/>
      <c r="BA585" s="3"/>
      <c r="BB585" s="3" t="s">
        <v>2359</v>
      </c>
      <c r="BC585" s="3"/>
      <c r="BD585" s="3" t="s">
        <v>2371</v>
      </c>
      <c r="BE585" s="3" t="s">
        <v>2430</v>
      </c>
      <c r="BF585" s="3">
        <v>3</v>
      </c>
      <c r="BG585" s="3">
        <v>-6.9535142619999997</v>
      </c>
      <c r="BH585" s="3">
        <v>107.415601</v>
      </c>
      <c r="BI585" s="3">
        <v>3601331412220000</v>
      </c>
      <c r="BJ585" s="3">
        <v>42</v>
      </c>
      <c r="BK585" s="3">
        <v>140</v>
      </c>
      <c r="BL585" s="3">
        <v>1</v>
      </c>
      <c r="BM585" s="3">
        <v>1</v>
      </c>
      <c r="BN585" s="3">
        <v>3</v>
      </c>
    </row>
    <row r="586" spans="1:66" s="219" customFormat="1" hidden="1" x14ac:dyDescent="0.3">
      <c r="A586" s="54">
        <v>580</v>
      </c>
      <c r="B586" s="54" t="s">
        <v>1917</v>
      </c>
      <c r="C586" s="54" t="s">
        <v>1572</v>
      </c>
      <c r="D586" s="54" t="s">
        <v>52</v>
      </c>
      <c r="E586" s="54">
        <v>3091199667</v>
      </c>
      <c r="F586" s="54" t="s">
        <v>2373</v>
      </c>
      <c r="G586" s="108">
        <v>39853</v>
      </c>
      <c r="H586" s="54">
        <v>3217115902090000</v>
      </c>
      <c r="I586" s="54" t="s">
        <v>2353</v>
      </c>
      <c r="J586" s="54" t="s">
        <v>3489</v>
      </c>
      <c r="K586" s="54">
        <v>2</v>
      </c>
      <c r="L586" s="54">
        <v>4</v>
      </c>
      <c r="M586" s="54"/>
      <c r="N586" s="54" t="s">
        <v>2425</v>
      </c>
      <c r="O586" s="54" t="s">
        <v>2426</v>
      </c>
      <c r="P586" s="54">
        <v>40559</v>
      </c>
      <c r="Q586" s="54" t="s">
        <v>2357</v>
      </c>
      <c r="R586" s="54" t="s">
        <v>2374</v>
      </c>
      <c r="S586" s="54"/>
      <c r="T586" s="54">
        <v>82125644952</v>
      </c>
      <c r="U586" s="54"/>
      <c r="V586" s="54"/>
      <c r="W586" s="54" t="s">
        <v>2359</v>
      </c>
      <c r="X586" s="54"/>
      <c r="Y586" s="54"/>
      <c r="Z586" s="54">
        <v>1983</v>
      </c>
      <c r="AA586" s="54" t="s">
        <v>2390</v>
      </c>
      <c r="AB586" s="54" t="s">
        <v>2362</v>
      </c>
      <c r="AC586" s="54" t="s">
        <v>2375</v>
      </c>
      <c r="AD586" s="54"/>
      <c r="AE586" s="54" t="s">
        <v>3773</v>
      </c>
      <c r="AF586" s="54">
        <v>1988</v>
      </c>
      <c r="AG586" s="54" t="s">
        <v>2390</v>
      </c>
      <c r="AH586" s="54" t="s">
        <v>2365</v>
      </c>
      <c r="AI586" s="54" t="s">
        <v>2366</v>
      </c>
      <c r="AJ586" s="54"/>
      <c r="AK586" s="54"/>
      <c r="AL586" s="54"/>
      <c r="AM586" s="54"/>
      <c r="AN586" s="54" t="s">
        <v>2365</v>
      </c>
      <c r="AO586" s="54"/>
      <c r="AP586" s="54"/>
      <c r="AQ586" s="54" t="s">
        <v>5147</v>
      </c>
      <c r="AR586" s="54"/>
      <c r="AS586" s="54"/>
      <c r="AT586" s="54" t="s">
        <v>2359</v>
      </c>
      <c r="AU586" s="54"/>
      <c r="AV586" s="54">
        <v>0</v>
      </c>
      <c r="AW586" s="54"/>
      <c r="AX586" s="54" t="s">
        <v>3774</v>
      </c>
      <c r="AY586" s="54"/>
      <c r="AZ586" s="54"/>
      <c r="BA586" s="54"/>
      <c r="BB586" s="54" t="s">
        <v>2369</v>
      </c>
      <c r="BC586" s="54" t="s">
        <v>2370</v>
      </c>
      <c r="BD586" s="54" t="s">
        <v>2371</v>
      </c>
      <c r="BE586" s="54"/>
      <c r="BF586" s="54">
        <v>1</v>
      </c>
      <c r="BG586" s="54">
        <v>-6.9625000000000004</v>
      </c>
      <c r="BH586" s="54">
        <v>107.4346</v>
      </c>
      <c r="BI586" s="54">
        <v>3217112205080000</v>
      </c>
      <c r="BJ586" s="54">
        <v>45</v>
      </c>
      <c r="BK586" s="54">
        <v>143</v>
      </c>
      <c r="BL586" s="54">
        <v>57</v>
      </c>
      <c r="BM586" s="54">
        <v>3</v>
      </c>
      <c r="BN586" s="54">
        <v>1</v>
      </c>
    </row>
    <row r="587" spans="1:66" s="219" customFormat="1" hidden="1" x14ac:dyDescent="0.3">
      <c r="A587" s="54">
        <v>581</v>
      </c>
      <c r="B587" s="54" t="s">
        <v>1786</v>
      </c>
      <c r="C587" s="54" t="s">
        <v>1596</v>
      </c>
      <c r="D587" s="54" t="s">
        <v>53</v>
      </c>
      <c r="E587" s="54">
        <v>91302175</v>
      </c>
      <c r="F587" s="54" t="s">
        <v>2377</v>
      </c>
      <c r="G587" s="108">
        <v>39898</v>
      </c>
      <c r="H587" s="54">
        <v>3217126603090000</v>
      </c>
      <c r="I587" s="54" t="s">
        <v>2353</v>
      </c>
      <c r="J587" s="54" t="s">
        <v>3200</v>
      </c>
      <c r="K587" s="54">
        <v>1</v>
      </c>
      <c r="L587" s="54">
        <v>8</v>
      </c>
      <c r="M587" s="54" t="s">
        <v>2398</v>
      </c>
      <c r="N587" s="54" t="s">
        <v>2399</v>
      </c>
      <c r="O587" s="54" t="s">
        <v>2356</v>
      </c>
      <c r="P587" s="54">
        <v>40564</v>
      </c>
      <c r="Q587" s="54" t="s">
        <v>2357</v>
      </c>
      <c r="R587" s="54" t="s">
        <v>2358</v>
      </c>
      <c r="S587" s="54"/>
      <c r="T587" s="54">
        <v>83829390391</v>
      </c>
      <c r="U587" s="54"/>
      <c r="V587" s="54"/>
      <c r="W587" s="54" t="s">
        <v>2359</v>
      </c>
      <c r="X587" s="54"/>
      <c r="Y587" s="54" t="s">
        <v>3209</v>
      </c>
      <c r="Z587" s="54">
        <v>1973</v>
      </c>
      <c r="AA587" s="54" t="s">
        <v>2390</v>
      </c>
      <c r="AB587" s="54" t="s">
        <v>2362</v>
      </c>
      <c r="AC587" s="54" t="s">
        <v>2363</v>
      </c>
      <c r="AD587" s="54"/>
      <c r="AE587" s="54" t="s">
        <v>3210</v>
      </c>
      <c r="AF587" s="54">
        <v>1977</v>
      </c>
      <c r="AG587" s="54" t="s">
        <v>2402</v>
      </c>
      <c r="AH587" s="54" t="s">
        <v>2365</v>
      </c>
      <c r="AI587" s="54" t="s">
        <v>2366</v>
      </c>
      <c r="AJ587" s="54"/>
      <c r="AK587" s="54"/>
      <c r="AL587" s="54"/>
      <c r="AM587" s="54"/>
      <c r="AN587" s="54"/>
      <c r="AO587" s="54"/>
      <c r="AP587" s="54"/>
      <c r="AQ587" s="54" t="s">
        <v>5147</v>
      </c>
      <c r="AR587" s="54"/>
      <c r="AS587" s="54"/>
      <c r="AT587" s="54" t="s">
        <v>2359</v>
      </c>
      <c r="AU587" s="54"/>
      <c r="AV587" s="54">
        <v>0</v>
      </c>
      <c r="AW587" s="54"/>
      <c r="AX587" s="54"/>
      <c r="AY587" s="54"/>
      <c r="AZ587" s="54"/>
      <c r="BA587" s="54"/>
      <c r="BB587" s="54" t="s">
        <v>2369</v>
      </c>
      <c r="BC587" s="54" t="s">
        <v>2370</v>
      </c>
      <c r="BD587" s="54" t="s">
        <v>2371</v>
      </c>
      <c r="BE587" s="54"/>
      <c r="BF587" s="54">
        <v>2</v>
      </c>
      <c r="BG587" s="54">
        <v>-6.9486999999999997</v>
      </c>
      <c r="BH587" s="54">
        <v>107.3831</v>
      </c>
      <c r="BI587" s="54">
        <v>3217121106130020</v>
      </c>
      <c r="BJ587" s="54">
        <v>39</v>
      </c>
      <c r="BK587" s="54">
        <v>133</v>
      </c>
      <c r="BL587" s="54">
        <v>57</v>
      </c>
      <c r="BM587" s="54">
        <v>1</v>
      </c>
      <c r="BN587" s="54">
        <v>1</v>
      </c>
    </row>
    <row r="588" spans="1:66" s="219" customFormat="1" hidden="1" x14ac:dyDescent="0.3">
      <c r="A588" s="54">
        <v>582</v>
      </c>
      <c r="B588" s="54" t="s">
        <v>1764</v>
      </c>
      <c r="C588" s="54" t="s">
        <v>2273</v>
      </c>
      <c r="D588" s="54" t="s">
        <v>53</v>
      </c>
      <c r="E588" s="54">
        <v>3105925694</v>
      </c>
      <c r="F588" s="54" t="s">
        <v>2373</v>
      </c>
      <c r="G588" s="108">
        <v>40190</v>
      </c>
      <c r="H588" s="54">
        <v>3217115201100000</v>
      </c>
      <c r="I588" s="54" t="s">
        <v>2353</v>
      </c>
      <c r="J588" s="54" t="s">
        <v>2530</v>
      </c>
      <c r="K588" s="54">
        <v>1</v>
      </c>
      <c r="L588" s="54">
        <v>7</v>
      </c>
      <c r="M588" s="54"/>
      <c r="N588" s="54" t="s">
        <v>2425</v>
      </c>
      <c r="O588" s="54" t="s">
        <v>2426</v>
      </c>
      <c r="P588" s="54">
        <v>40561</v>
      </c>
      <c r="Q588" s="54" t="s">
        <v>2357</v>
      </c>
      <c r="R588" s="54" t="s">
        <v>2358</v>
      </c>
      <c r="S588" s="54"/>
      <c r="T588" s="54"/>
      <c r="U588" s="54"/>
      <c r="V588" s="54"/>
      <c r="W588" s="54" t="s">
        <v>2359</v>
      </c>
      <c r="X588" s="54"/>
      <c r="Y588" s="54"/>
      <c r="Z588" s="54">
        <v>0</v>
      </c>
      <c r="AA588" s="54"/>
      <c r="AB588" s="54" t="s">
        <v>2362</v>
      </c>
      <c r="AC588" s="54" t="s">
        <v>2363</v>
      </c>
      <c r="AD588" s="54"/>
      <c r="AE588" s="54" t="s">
        <v>3070</v>
      </c>
      <c r="AF588" s="54">
        <v>0</v>
      </c>
      <c r="AG588" s="54"/>
      <c r="AH588" s="54" t="s">
        <v>2365</v>
      </c>
      <c r="AI588" s="54" t="s">
        <v>2366</v>
      </c>
      <c r="AJ588" s="54"/>
      <c r="AK588" s="54"/>
      <c r="AL588" s="54"/>
      <c r="AM588" s="54"/>
      <c r="AN588" s="54"/>
      <c r="AO588" s="54"/>
      <c r="AP588" s="54"/>
      <c r="AQ588" s="54" t="s">
        <v>8182</v>
      </c>
      <c r="AR588" s="54"/>
      <c r="AS588" s="54"/>
      <c r="AT588" s="54" t="s">
        <v>2359</v>
      </c>
      <c r="AU588" s="54"/>
      <c r="AV588" s="54">
        <v>1</v>
      </c>
      <c r="AW588" s="54"/>
      <c r="AX588" s="54"/>
      <c r="AY588" s="54"/>
      <c r="AZ588" s="54"/>
      <c r="BA588" s="54"/>
      <c r="BB588" s="54" t="s">
        <v>2359</v>
      </c>
      <c r="BC588" s="54"/>
      <c r="BD588" s="54" t="s">
        <v>2371</v>
      </c>
      <c r="BE588" s="54" t="s">
        <v>2376</v>
      </c>
      <c r="BF588" s="54">
        <v>1</v>
      </c>
      <c r="BG588" s="54">
        <v>-6.9625000000000004</v>
      </c>
      <c r="BH588" s="54">
        <v>107.4346</v>
      </c>
      <c r="BI588" s="54"/>
      <c r="BJ588" s="54">
        <v>55</v>
      </c>
      <c r="BK588" s="54">
        <v>143</v>
      </c>
      <c r="BL588" s="54">
        <v>58</v>
      </c>
      <c r="BM588" s="54">
        <v>1</v>
      </c>
      <c r="BN588" s="54">
        <v>1</v>
      </c>
    </row>
    <row r="589" spans="1:66" s="219" customFormat="1" hidden="1" x14ac:dyDescent="0.3">
      <c r="A589" s="54">
        <v>583</v>
      </c>
      <c r="B589" s="54" t="s">
        <v>1837</v>
      </c>
      <c r="C589" s="54" t="s">
        <v>1485</v>
      </c>
      <c r="D589" s="54" t="s">
        <v>53</v>
      </c>
      <c r="E589" s="54">
        <v>3095539194</v>
      </c>
      <c r="F589" s="54" t="s">
        <v>2373</v>
      </c>
      <c r="G589" s="108">
        <v>40060</v>
      </c>
      <c r="H589" s="54">
        <v>3217114409090000</v>
      </c>
      <c r="I589" s="54" t="s">
        <v>2353</v>
      </c>
      <c r="J589" s="54" t="s">
        <v>2616</v>
      </c>
      <c r="K589" s="54">
        <v>3</v>
      </c>
      <c r="L589" s="54">
        <v>6</v>
      </c>
      <c r="M589" s="54"/>
      <c r="N589" s="54" t="s">
        <v>2617</v>
      </c>
      <c r="O589" s="54" t="s">
        <v>2426</v>
      </c>
      <c r="P589" s="54">
        <v>40562</v>
      </c>
      <c r="Q589" s="54" t="s">
        <v>2357</v>
      </c>
      <c r="R589" s="54" t="s">
        <v>2358</v>
      </c>
      <c r="S589" s="54"/>
      <c r="T589" s="54">
        <v>83130453257</v>
      </c>
      <c r="U589" s="54"/>
      <c r="V589" s="54"/>
      <c r="W589" s="54" t="s">
        <v>2359</v>
      </c>
      <c r="X589" s="54"/>
      <c r="Y589" s="54" t="s">
        <v>3432</v>
      </c>
      <c r="Z589" s="54">
        <v>1978</v>
      </c>
      <c r="AA589" s="54" t="s">
        <v>2402</v>
      </c>
      <c r="AB589" s="54" t="s">
        <v>2362</v>
      </c>
      <c r="AC589" s="54" t="s">
        <v>2363</v>
      </c>
      <c r="AD589" s="54">
        <v>3217110101780040</v>
      </c>
      <c r="AE589" s="54" t="s">
        <v>3433</v>
      </c>
      <c r="AF589" s="54">
        <v>1985</v>
      </c>
      <c r="AG589" s="54" t="s">
        <v>2402</v>
      </c>
      <c r="AH589" s="54" t="s">
        <v>2365</v>
      </c>
      <c r="AI589" s="54" t="s">
        <v>2366</v>
      </c>
      <c r="AJ589" s="54">
        <v>3217114103850030</v>
      </c>
      <c r="AK589" s="54"/>
      <c r="AL589" s="54"/>
      <c r="AM589" s="54"/>
      <c r="AN589" s="54"/>
      <c r="AO589" s="54"/>
      <c r="AP589" s="54"/>
      <c r="AQ589" s="54" t="s">
        <v>5147</v>
      </c>
      <c r="AR589" s="54"/>
      <c r="AS589" s="54"/>
      <c r="AT589" s="54" t="s">
        <v>2359</v>
      </c>
      <c r="AU589" s="54"/>
      <c r="AV589" s="54">
        <v>0</v>
      </c>
      <c r="AW589" s="54"/>
      <c r="AX589" s="54" t="s">
        <v>3434</v>
      </c>
      <c r="AY589" s="54"/>
      <c r="AZ589" s="54"/>
      <c r="BA589" s="54"/>
      <c r="BB589" s="54" t="s">
        <v>2369</v>
      </c>
      <c r="BC589" s="54" t="s">
        <v>2370</v>
      </c>
      <c r="BD589" s="54" t="s">
        <v>2371</v>
      </c>
      <c r="BE589" s="54"/>
      <c r="BF589" s="54">
        <v>1</v>
      </c>
      <c r="BG589" s="54">
        <v>-6.9625000000000004</v>
      </c>
      <c r="BH589" s="54">
        <v>107.4346</v>
      </c>
      <c r="BI589" s="54">
        <v>3217112102060030</v>
      </c>
      <c r="BJ589" s="54">
        <v>41</v>
      </c>
      <c r="BK589" s="54">
        <v>139</v>
      </c>
      <c r="BL589" s="54">
        <v>54</v>
      </c>
      <c r="BM589" s="54">
        <v>1</v>
      </c>
      <c r="BN589" s="54">
        <v>2</v>
      </c>
    </row>
    <row r="590" spans="1:66" s="219" customFormat="1" hidden="1" x14ac:dyDescent="0.3">
      <c r="A590" s="54">
        <v>584</v>
      </c>
      <c r="B590" s="54" t="s">
        <v>1918</v>
      </c>
      <c r="C590" s="54" t="s">
        <v>1573</v>
      </c>
      <c r="D590" s="54" t="s">
        <v>53</v>
      </c>
      <c r="E590" s="54">
        <v>89612776</v>
      </c>
      <c r="F590" s="54" t="s">
        <v>2352</v>
      </c>
      <c r="G590" s="108">
        <v>39683</v>
      </c>
      <c r="H590" s="54">
        <v>3273156308080000</v>
      </c>
      <c r="I590" s="54" t="s">
        <v>2353</v>
      </c>
      <c r="J590" s="54" t="s">
        <v>2831</v>
      </c>
      <c r="K590" s="54">
        <v>3</v>
      </c>
      <c r="L590" s="54">
        <v>4</v>
      </c>
      <c r="M590" s="54"/>
      <c r="N590" s="54" t="s">
        <v>2513</v>
      </c>
      <c r="O590" s="54" t="s">
        <v>2356</v>
      </c>
      <c r="P590" s="54">
        <v>40564</v>
      </c>
      <c r="Q590" s="54" t="s">
        <v>2357</v>
      </c>
      <c r="R590" s="54" t="s">
        <v>2358</v>
      </c>
      <c r="S590" s="54"/>
      <c r="T590" s="54">
        <v>85838955265</v>
      </c>
      <c r="U590" s="54"/>
      <c r="V590" s="54"/>
      <c r="W590" s="54" t="s">
        <v>2359</v>
      </c>
      <c r="X590" s="54"/>
      <c r="Y590" s="54" t="s">
        <v>3775</v>
      </c>
      <c r="Z590" s="54">
        <v>1979</v>
      </c>
      <c r="AA590" s="54" t="s">
        <v>2402</v>
      </c>
      <c r="AB590" s="54" t="s">
        <v>2493</v>
      </c>
      <c r="AC590" s="54" t="s">
        <v>2363</v>
      </c>
      <c r="AD590" s="54"/>
      <c r="AE590" s="54" t="s">
        <v>3776</v>
      </c>
      <c r="AF590" s="54">
        <v>1984</v>
      </c>
      <c r="AG590" s="54" t="s">
        <v>2402</v>
      </c>
      <c r="AH590" s="54" t="s">
        <v>2365</v>
      </c>
      <c r="AI590" s="54" t="s">
        <v>2366</v>
      </c>
      <c r="AJ590" s="54"/>
      <c r="AK590" s="54"/>
      <c r="AL590" s="54"/>
      <c r="AM590" s="54"/>
      <c r="AN590" s="54"/>
      <c r="AO590" s="54"/>
      <c r="AP590" s="54"/>
      <c r="AQ590" s="54" t="s">
        <v>5147</v>
      </c>
      <c r="AR590" s="54"/>
      <c r="AS590" s="54"/>
      <c r="AT590" s="54" t="s">
        <v>2359</v>
      </c>
      <c r="AU590" s="54"/>
      <c r="AV590" s="54">
        <v>0</v>
      </c>
      <c r="AW590" s="54"/>
      <c r="AX590" s="54"/>
      <c r="AY590" s="54"/>
      <c r="AZ590" s="54"/>
      <c r="BA590" s="54"/>
      <c r="BB590" s="54" t="s">
        <v>2369</v>
      </c>
      <c r="BC590" s="54" t="s">
        <v>2370</v>
      </c>
      <c r="BD590" s="54" t="s">
        <v>2371</v>
      </c>
      <c r="BE590" s="54"/>
      <c r="BF590" s="54">
        <v>2</v>
      </c>
      <c r="BG590" s="54">
        <v>-6.9676999999999998</v>
      </c>
      <c r="BH590" s="54">
        <v>107.4117</v>
      </c>
      <c r="BI590" s="54"/>
      <c r="BJ590" s="54">
        <v>43</v>
      </c>
      <c r="BK590" s="54">
        <v>138</v>
      </c>
      <c r="BL590" s="54">
        <v>58</v>
      </c>
      <c r="BM590" s="54">
        <v>1</v>
      </c>
      <c r="BN590" s="54">
        <v>1</v>
      </c>
    </row>
    <row r="591" spans="1:66" s="219" customFormat="1" hidden="1" x14ac:dyDescent="0.3">
      <c r="A591" s="54">
        <v>585</v>
      </c>
      <c r="B591" s="54" t="s">
        <v>555</v>
      </c>
      <c r="C591" s="167">
        <v>0.89035879629629633</v>
      </c>
      <c r="D591" s="54" t="s">
        <v>53</v>
      </c>
      <c r="E591" s="54">
        <v>88883900</v>
      </c>
      <c r="F591" s="54" t="s">
        <v>2377</v>
      </c>
      <c r="G591" s="108">
        <v>39673</v>
      </c>
      <c r="H591" s="54">
        <v>3217125308080000</v>
      </c>
      <c r="I591" s="54" t="s">
        <v>2353</v>
      </c>
      <c r="J591" s="54" t="s">
        <v>2354</v>
      </c>
      <c r="K591" s="54">
        <v>2</v>
      </c>
      <c r="L591" s="54">
        <v>4</v>
      </c>
      <c r="M591" s="54"/>
      <c r="N591" s="54" t="s">
        <v>2355</v>
      </c>
      <c r="O591" s="54" t="s">
        <v>2356</v>
      </c>
      <c r="P591" s="54">
        <v>40564</v>
      </c>
      <c r="Q591" s="54" t="s">
        <v>2357</v>
      </c>
      <c r="R591" s="54" t="s">
        <v>2358</v>
      </c>
      <c r="S591" s="54"/>
      <c r="T591" s="54">
        <v>83875759681</v>
      </c>
      <c r="U591" s="54"/>
      <c r="V591" s="54"/>
      <c r="W591" s="54" t="s">
        <v>2359</v>
      </c>
      <c r="X591" s="54"/>
      <c r="Y591" s="54" t="s">
        <v>3777</v>
      </c>
      <c r="Z591" s="54">
        <v>1978</v>
      </c>
      <c r="AA591" s="54" t="s">
        <v>2402</v>
      </c>
      <c r="AB591" s="54" t="s">
        <v>2362</v>
      </c>
      <c r="AC591" s="54" t="s">
        <v>2363</v>
      </c>
      <c r="AD591" s="54">
        <v>3217120811780000</v>
      </c>
      <c r="AE591" s="54" t="s">
        <v>3778</v>
      </c>
      <c r="AF591" s="54">
        <v>1983</v>
      </c>
      <c r="AG591" s="54" t="s">
        <v>2402</v>
      </c>
      <c r="AH591" s="54" t="s">
        <v>2365</v>
      </c>
      <c r="AI591" s="54" t="s">
        <v>2366</v>
      </c>
      <c r="AJ591" s="54">
        <v>3217124606830030</v>
      </c>
      <c r="AK591" s="54"/>
      <c r="AL591" s="54"/>
      <c r="AM591" s="54" t="s">
        <v>2367</v>
      </c>
      <c r="AN591" s="54"/>
      <c r="AO591" s="54"/>
      <c r="AP591" s="54"/>
      <c r="AQ591" s="54" t="s">
        <v>5147</v>
      </c>
      <c r="AR591" s="54"/>
      <c r="AS591" s="54"/>
      <c r="AT591" s="54" t="s">
        <v>2359</v>
      </c>
      <c r="AU591" s="54"/>
      <c r="AV591" s="54">
        <v>0</v>
      </c>
      <c r="AW591" s="54"/>
      <c r="AX591" s="54" t="s">
        <v>3779</v>
      </c>
      <c r="AY591" s="54"/>
      <c r="AZ591" s="54"/>
      <c r="BA591" s="54"/>
      <c r="BB591" s="54" t="s">
        <v>2369</v>
      </c>
      <c r="BC591" s="54" t="s">
        <v>2370</v>
      </c>
      <c r="BD591" s="54" t="s">
        <v>2371</v>
      </c>
      <c r="BE591" s="54" t="s">
        <v>2372</v>
      </c>
      <c r="BF591" s="54"/>
      <c r="BG591" s="54">
        <v>-6.9676999999999998</v>
      </c>
      <c r="BH591" s="54">
        <v>107.4117</v>
      </c>
      <c r="BI591" s="54"/>
      <c r="BJ591" s="54">
        <v>40</v>
      </c>
      <c r="BK591" s="54">
        <v>137</v>
      </c>
      <c r="BL591" s="54">
        <v>0</v>
      </c>
      <c r="BM591" s="54">
        <v>0</v>
      </c>
      <c r="BN591" s="54">
        <v>0</v>
      </c>
    </row>
    <row r="592" spans="1:66" hidden="1" x14ac:dyDescent="0.3">
      <c r="A592" s="3">
        <v>586</v>
      </c>
      <c r="B592" s="3" t="s">
        <v>5105</v>
      </c>
      <c r="C592" s="3" t="s">
        <v>4388</v>
      </c>
      <c r="D592" s="3" t="s">
        <v>53</v>
      </c>
      <c r="E592" s="3">
        <v>111546414</v>
      </c>
      <c r="F592" s="3" t="s">
        <v>2373</v>
      </c>
      <c r="G592" s="157">
        <v>40618</v>
      </c>
      <c r="H592" s="3">
        <v>3217115603110000</v>
      </c>
      <c r="I592" s="3" t="s">
        <v>2353</v>
      </c>
      <c r="J592" s="3" t="s">
        <v>2967</v>
      </c>
      <c r="K592" s="3">
        <v>1</v>
      </c>
      <c r="L592" s="3">
        <v>15</v>
      </c>
      <c r="M592" s="3"/>
      <c r="N592" s="3" t="s">
        <v>2425</v>
      </c>
      <c r="O592" s="3" t="s">
        <v>2426</v>
      </c>
      <c r="P592" s="3">
        <v>40562</v>
      </c>
      <c r="Q592" s="3" t="s">
        <v>2357</v>
      </c>
      <c r="R592" s="3" t="s">
        <v>2358</v>
      </c>
      <c r="S592" s="3"/>
      <c r="T592" s="3">
        <v>83875754815</v>
      </c>
      <c r="U592" s="3"/>
      <c r="V592" s="3"/>
      <c r="W592" s="3" t="s">
        <v>2359</v>
      </c>
      <c r="X592" s="3"/>
      <c r="Y592" s="3" t="s">
        <v>5106</v>
      </c>
      <c r="Z592" s="3">
        <v>0</v>
      </c>
      <c r="AA592" s="3" t="s">
        <v>2390</v>
      </c>
      <c r="AB592" s="3" t="s">
        <v>2493</v>
      </c>
      <c r="AC592" s="3" t="s">
        <v>2363</v>
      </c>
      <c r="AD592" s="3"/>
      <c r="AE592" s="3" t="s">
        <v>2884</v>
      </c>
      <c r="AF592" s="3">
        <v>0</v>
      </c>
      <c r="AG592" s="3" t="s">
        <v>2390</v>
      </c>
      <c r="AH592" s="3" t="s">
        <v>2365</v>
      </c>
      <c r="AI592" s="3" t="s">
        <v>2366</v>
      </c>
      <c r="AJ592" s="3"/>
      <c r="AK592" s="3"/>
      <c r="AL592" s="3"/>
      <c r="AM592" s="3" t="s">
        <v>2367</v>
      </c>
      <c r="AN592" s="3"/>
      <c r="AO592" s="3"/>
      <c r="AP592" s="3"/>
      <c r="AQ592" s="3" t="s">
        <v>5151</v>
      </c>
      <c r="AR592" s="3"/>
      <c r="AS592" s="3"/>
      <c r="AT592" s="3" t="s">
        <v>2359</v>
      </c>
      <c r="AU592" s="3"/>
      <c r="AV592" s="3">
        <v>0</v>
      </c>
      <c r="AW592" s="3"/>
      <c r="AX592" s="3" t="s">
        <v>5107</v>
      </c>
      <c r="AY592" s="3"/>
      <c r="AZ592" s="3"/>
      <c r="BA592" s="3"/>
      <c r="BB592" s="3" t="s">
        <v>2369</v>
      </c>
      <c r="BC592" s="3" t="s">
        <v>2370</v>
      </c>
      <c r="BD592" s="3" t="s">
        <v>2371</v>
      </c>
      <c r="BE592" s="3" t="s">
        <v>2430</v>
      </c>
      <c r="BF592" s="3">
        <v>4</v>
      </c>
      <c r="BG592" s="3">
        <v>-6.9547999999999996</v>
      </c>
      <c r="BH592" s="3">
        <v>107.41589999999999</v>
      </c>
      <c r="BI592" s="3"/>
      <c r="BJ592" s="3">
        <v>45</v>
      </c>
      <c r="BK592" s="3">
        <v>143</v>
      </c>
      <c r="BL592" s="3">
        <v>58</v>
      </c>
      <c r="BM592" s="3">
        <v>1</v>
      </c>
      <c r="BN592" s="3">
        <v>2</v>
      </c>
    </row>
    <row r="593" spans="1:66" s="219" customFormat="1" hidden="1" x14ac:dyDescent="0.3">
      <c r="A593" s="54">
        <v>587</v>
      </c>
      <c r="B593" s="54" t="s">
        <v>1815</v>
      </c>
      <c r="C593" s="54" t="s">
        <v>1455</v>
      </c>
      <c r="D593" s="54" t="s">
        <v>53</v>
      </c>
      <c r="E593" s="54">
        <v>3095172471</v>
      </c>
      <c r="F593" s="54" t="s">
        <v>2446</v>
      </c>
      <c r="G593" s="108">
        <v>40130</v>
      </c>
      <c r="H593" s="54">
        <v>3217115311080000</v>
      </c>
      <c r="I593" s="54" t="s">
        <v>2353</v>
      </c>
      <c r="J593" s="54" t="s">
        <v>3330</v>
      </c>
      <c r="K593" s="54">
        <v>1</v>
      </c>
      <c r="L593" s="54">
        <v>4</v>
      </c>
      <c r="M593" s="54"/>
      <c r="N593" s="54" t="s">
        <v>2425</v>
      </c>
      <c r="O593" s="54" t="s">
        <v>2426</v>
      </c>
      <c r="P593" s="54">
        <v>40561</v>
      </c>
      <c r="Q593" s="54" t="s">
        <v>2357</v>
      </c>
      <c r="R593" s="54" t="s">
        <v>2374</v>
      </c>
      <c r="S593" s="54"/>
      <c r="T593" s="54">
        <v>81318672085</v>
      </c>
      <c r="U593" s="54"/>
      <c r="V593" s="54"/>
      <c r="W593" s="54" t="s">
        <v>2359</v>
      </c>
      <c r="X593" s="54"/>
      <c r="Y593" s="54"/>
      <c r="Z593" s="54">
        <v>1979</v>
      </c>
      <c r="AA593" s="54" t="s">
        <v>2390</v>
      </c>
      <c r="AB593" s="54" t="s">
        <v>2493</v>
      </c>
      <c r="AC593" s="54" t="s">
        <v>2375</v>
      </c>
      <c r="AD593" s="54"/>
      <c r="AE593" s="54" t="s">
        <v>3331</v>
      </c>
      <c r="AF593" s="54">
        <v>1984</v>
      </c>
      <c r="AG593" s="54" t="s">
        <v>2390</v>
      </c>
      <c r="AH593" s="54" t="s">
        <v>2365</v>
      </c>
      <c r="AI593" s="54" t="s">
        <v>2366</v>
      </c>
      <c r="AJ593" s="54"/>
      <c r="AK593" s="54"/>
      <c r="AL593" s="54"/>
      <c r="AM593" s="54"/>
      <c r="AN593" s="54"/>
      <c r="AO593" s="54"/>
      <c r="AP593" s="54"/>
      <c r="AQ593" s="54" t="s">
        <v>5147</v>
      </c>
      <c r="AR593" s="54"/>
      <c r="AS593" s="54"/>
      <c r="AT593" s="54" t="s">
        <v>2359</v>
      </c>
      <c r="AU593" s="54"/>
      <c r="AV593" s="54">
        <v>0</v>
      </c>
      <c r="AW593" s="54"/>
      <c r="AX593" s="54" t="s">
        <v>3332</v>
      </c>
      <c r="AY593" s="54"/>
      <c r="AZ593" s="54"/>
      <c r="BA593" s="54"/>
      <c r="BB593" s="54" t="s">
        <v>2359</v>
      </c>
      <c r="BC593" s="54"/>
      <c r="BD593" s="54" t="s">
        <v>2371</v>
      </c>
      <c r="BE593" s="54"/>
      <c r="BF593" s="54">
        <v>1</v>
      </c>
      <c r="BG593" s="54">
        <v>-6.9625000000000004</v>
      </c>
      <c r="BH593" s="54">
        <v>107.4346</v>
      </c>
      <c r="BI593" s="54">
        <v>3217110712050050</v>
      </c>
      <c r="BJ593" s="54">
        <v>58</v>
      </c>
      <c r="BK593" s="54">
        <v>145</v>
      </c>
      <c r="BL593" s="54">
        <v>49</v>
      </c>
      <c r="BM593" s="54">
        <v>1</v>
      </c>
      <c r="BN593" s="54">
        <v>1</v>
      </c>
    </row>
    <row r="594" spans="1:66" s="219" customFormat="1" hidden="1" x14ac:dyDescent="0.3">
      <c r="A594" s="54">
        <v>588</v>
      </c>
      <c r="B594" s="54" t="s">
        <v>2777</v>
      </c>
      <c r="C594" s="54" t="s">
        <v>2188</v>
      </c>
      <c r="D594" s="54" t="s">
        <v>52</v>
      </c>
      <c r="E594" s="54">
        <v>94735539</v>
      </c>
      <c r="F594" s="54" t="s">
        <v>2373</v>
      </c>
      <c r="G594" s="108">
        <v>40145</v>
      </c>
      <c r="H594" s="54">
        <v>3217122811090000</v>
      </c>
      <c r="I594" s="54" t="s">
        <v>2353</v>
      </c>
      <c r="J594" s="54" t="s">
        <v>2778</v>
      </c>
      <c r="K594" s="54">
        <v>3</v>
      </c>
      <c r="L594" s="54">
        <v>6</v>
      </c>
      <c r="M594" s="54"/>
      <c r="N594" s="54" t="s">
        <v>2513</v>
      </c>
      <c r="O594" s="54" t="s">
        <v>2356</v>
      </c>
      <c r="P594" s="54">
        <v>40764</v>
      </c>
      <c r="Q594" s="54" t="s">
        <v>2357</v>
      </c>
      <c r="R594" s="54" t="s">
        <v>2358</v>
      </c>
      <c r="S594" s="54"/>
      <c r="T594" s="54">
        <v>83100617764</v>
      </c>
      <c r="U594" s="54"/>
      <c r="V594" s="54"/>
      <c r="W594" s="54" t="s">
        <v>2359</v>
      </c>
      <c r="X594" s="54"/>
      <c r="Y594" s="54" t="s">
        <v>2779</v>
      </c>
      <c r="Z594" s="54">
        <v>1966</v>
      </c>
      <c r="AA594" s="54" t="s">
        <v>2361</v>
      </c>
      <c r="AB594" s="54" t="s">
        <v>2362</v>
      </c>
      <c r="AC594" s="54" t="s">
        <v>2403</v>
      </c>
      <c r="AD594" s="54">
        <v>3217120602660000</v>
      </c>
      <c r="AE594" s="54" t="s">
        <v>2780</v>
      </c>
      <c r="AF594" s="54">
        <v>1970</v>
      </c>
      <c r="AG594" s="54" t="s">
        <v>2390</v>
      </c>
      <c r="AH594" s="54" t="s">
        <v>2365</v>
      </c>
      <c r="AI594" s="54" t="s">
        <v>2366</v>
      </c>
      <c r="AJ594" s="54"/>
      <c r="AK594" s="54"/>
      <c r="AL594" s="54"/>
      <c r="AM594" s="54" t="s">
        <v>2367</v>
      </c>
      <c r="AN594" s="54"/>
      <c r="AO594" s="54"/>
      <c r="AP594" s="54"/>
      <c r="AQ594" s="54" t="s">
        <v>8180</v>
      </c>
      <c r="AR594" s="54"/>
      <c r="AS594" s="54"/>
      <c r="AT594" s="54" t="s">
        <v>2369</v>
      </c>
      <c r="AU594" s="54" t="s">
        <v>2781</v>
      </c>
      <c r="AV594" s="54">
        <v>0</v>
      </c>
      <c r="AW594" s="54" t="s">
        <v>2690</v>
      </c>
      <c r="AX594" s="54"/>
      <c r="AY594" s="54" t="s">
        <v>2460</v>
      </c>
      <c r="AZ594" s="54">
        <v>367101002965507</v>
      </c>
      <c r="BA594" s="54" t="s">
        <v>1681</v>
      </c>
      <c r="BB594" s="54" t="s">
        <v>2369</v>
      </c>
      <c r="BC594" s="54"/>
      <c r="BD594" s="54" t="s">
        <v>2371</v>
      </c>
      <c r="BE594" s="54" t="s">
        <v>2691</v>
      </c>
      <c r="BF594" s="54">
        <v>1</v>
      </c>
      <c r="BG594" s="54">
        <v>-6.9743000000000004</v>
      </c>
      <c r="BH594" s="54">
        <v>107.43559999999999</v>
      </c>
      <c r="BI594" s="54"/>
      <c r="BJ594" s="54">
        <v>52</v>
      </c>
      <c r="BK594" s="54">
        <v>146</v>
      </c>
      <c r="BL594" s="54">
        <v>55</v>
      </c>
      <c r="BM594" s="54">
        <v>1</v>
      </c>
      <c r="BN594" s="54">
        <v>2</v>
      </c>
    </row>
    <row r="595" spans="1:66" s="219" customFormat="1" hidden="1" x14ac:dyDescent="0.3">
      <c r="A595" s="54">
        <v>589</v>
      </c>
      <c r="B595" s="54" t="s">
        <v>2051</v>
      </c>
      <c r="C595" s="54" t="s">
        <v>2189</v>
      </c>
      <c r="D595" s="54" t="s">
        <v>52</v>
      </c>
      <c r="E595" s="54">
        <v>105713062</v>
      </c>
      <c r="F595" s="54" t="s">
        <v>2373</v>
      </c>
      <c r="G595" s="108">
        <v>40363</v>
      </c>
      <c r="H595" s="54">
        <v>3217120407100000</v>
      </c>
      <c r="I595" s="54" t="s">
        <v>2353</v>
      </c>
      <c r="J595" s="54" t="s">
        <v>2544</v>
      </c>
      <c r="K595" s="54">
        <v>2</v>
      </c>
      <c r="L595" s="54">
        <v>8</v>
      </c>
      <c r="M595" s="54"/>
      <c r="N595" s="54" t="s">
        <v>2513</v>
      </c>
      <c r="O595" s="54" t="s">
        <v>2356</v>
      </c>
      <c r="P595" s="54">
        <v>40764</v>
      </c>
      <c r="Q595" s="54" t="s">
        <v>2357</v>
      </c>
      <c r="R595" s="54" t="s">
        <v>2358</v>
      </c>
      <c r="S595" s="54"/>
      <c r="T595" s="54">
        <v>85721694916</v>
      </c>
      <c r="U595" s="54"/>
      <c r="V595" s="54"/>
      <c r="W595" s="54" t="s">
        <v>2359</v>
      </c>
      <c r="X595" s="54"/>
      <c r="Y595" s="54" t="s">
        <v>2782</v>
      </c>
      <c r="Z595" s="54">
        <v>1980</v>
      </c>
      <c r="AA595" s="54" t="s">
        <v>2361</v>
      </c>
      <c r="AB595" s="54" t="s">
        <v>2362</v>
      </c>
      <c r="AC595" s="54" t="s">
        <v>2403</v>
      </c>
      <c r="AD595" s="54">
        <v>3217120701800010</v>
      </c>
      <c r="AE595" s="54" t="s">
        <v>2783</v>
      </c>
      <c r="AF595" s="54">
        <v>1982</v>
      </c>
      <c r="AG595" s="54" t="s">
        <v>2361</v>
      </c>
      <c r="AH595" s="54" t="s">
        <v>2365</v>
      </c>
      <c r="AI595" s="54" t="s">
        <v>2366</v>
      </c>
      <c r="AJ595" s="54">
        <v>3217126712820000</v>
      </c>
      <c r="AK595" s="54"/>
      <c r="AL595" s="54"/>
      <c r="AM595" s="54" t="s">
        <v>2367</v>
      </c>
      <c r="AN595" s="54"/>
      <c r="AO595" s="54"/>
      <c r="AP595" s="54"/>
      <c r="AQ595" s="54" t="s">
        <v>8180</v>
      </c>
      <c r="AR595" s="54"/>
      <c r="AS595" s="54" t="s">
        <v>2784</v>
      </c>
      <c r="AT595" s="54" t="s">
        <v>2359</v>
      </c>
      <c r="AU595" s="54"/>
      <c r="AV595" s="54">
        <v>0</v>
      </c>
      <c r="AW595" s="54"/>
      <c r="AX595" s="54"/>
      <c r="AY595" s="54"/>
      <c r="AZ595" s="54"/>
      <c r="BA595" s="54"/>
      <c r="BB595" s="54" t="s">
        <v>2369</v>
      </c>
      <c r="BC595" s="54" t="s">
        <v>2370</v>
      </c>
      <c r="BD595" s="54" t="s">
        <v>2371</v>
      </c>
      <c r="BE595" s="54" t="s">
        <v>2477</v>
      </c>
      <c r="BF595" s="54">
        <v>2</v>
      </c>
      <c r="BG595" s="54">
        <v>-6.9661</v>
      </c>
      <c r="BH595" s="54">
        <v>107.4057</v>
      </c>
      <c r="BI595" s="54">
        <v>3217121008120000</v>
      </c>
      <c r="BJ595" s="54">
        <v>25</v>
      </c>
      <c r="BK595" s="54">
        <v>127</v>
      </c>
      <c r="BL595" s="54">
        <v>55</v>
      </c>
      <c r="BM595" s="54">
        <v>2</v>
      </c>
      <c r="BN595" s="54">
        <v>1</v>
      </c>
    </row>
    <row r="596" spans="1:66" s="219" customFormat="1" hidden="1" x14ac:dyDescent="0.3">
      <c r="A596" s="54">
        <v>590</v>
      </c>
      <c r="B596" s="54" t="s">
        <v>1750</v>
      </c>
      <c r="C596" s="54" t="s">
        <v>2274</v>
      </c>
      <c r="D596" s="54" t="s">
        <v>52</v>
      </c>
      <c r="E596" s="54"/>
      <c r="F596" s="54" t="s">
        <v>2446</v>
      </c>
      <c r="G596" s="108">
        <v>40281</v>
      </c>
      <c r="H596" s="54">
        <v>3217112804100000</v>
      </c>
      <c r="I596" s="54" t="s">
        <v>2353</v>
      </c>
      <c r="J596" s="54" t="s">
        <v>2530</v>
      </c>
      <c r="K596" s="54">
        <v>4</v>
      </c>
      <c r="L596" s="54">
        <v>7</v>
      </c>
      <c r="M596" s="54"/>
      <c r="N596" s="54" t="s">
        <v>2425</v>
      </c>
      <c r="O596" s="54" t="s">
        <v>2426</v>
      </c>
      <c r="P596" s="54"/>
      <c r="Q596" s="54" t="s">
        <v>2357</v>
      </c>
      <c r="R596" s="54" t="s">
        <v>2374</v>
      </c>
      <c r="S596" s="54"/>
      <c r="T596" s="54"/>
      <c r="U596" s="54"/>
      <c r="V596" s="54"/>
      <c r="W596" s="54" t="s">
        <v>2359</v>
      </c>
      <c r="X596" s="54"/>
      <c r="Y596" s="54"/>
      <c r="Z596" s="54">
        <v>0</v>
      </c>
      <c r="AA596" s="54"/>
      <c r="AB596" s="54" t="s">
        <v>2362</v>
      </c>
      <c r="AC596" s="54" t="s">
        <v>2363</v>
      </c>
      <c r="AD596" s="54"/>
      <c r="AE596" s="54" t="s">
        <v>3071</v>
      </c>
      <c r="AF596" s="54">
        <v>0</v>
      </c>
      <c r="AG596" s="54"/>
      <c r="AH596" s="54" t="s">
        <v>2365</v>
      </c>
      <c r="AI596" s="54" t="s">
        <v>2366</v>
      </c>
      <c r="AJ596" s="54"/>
      <c r="AK596" s="54"/>
      <c r="AL596" s="54"/>
      <c r="AM596" s="54"/>
      <c r="AN596" s="54"/>
      <c r="AO596" s="54"/>
      <c r="AP596" s="54"/>
      <c r="AQ596" s="54" t="s">
        <v>8182</v>
      </c>
      <c r="AR596" s="54"/>
      <c r="AS596" s="54"/>
      <c r="AT596" s="54" t="s">
        <v>2359</v>
      </c>
      <c r="AU596" s="54"/>
      <c r="AV596" s="54">
        <v>1</v>
      </c>
      <c r="AW596" s="54"/>
      <c r="AX596" s="54"/>
      <c r="AY596" s="54"/>
      <c r="AZ596" s="54"/>
      <c r="BA596" s="54"/>
      <c r="BB596" s="54" t="s">
        <v>2359</v>
      </c>
      <c r="BC596" s="54"/>
      <c r="BD596" s="54" t="s">
        <v>2371</v>
      </c>
      <c r="BE596" s="54" t="s">
        <v>2376</v>
      </c>
      <c r="BF596" s="54">
        <v>1</v>
      </c>
      <c r="BG596" s="54">
        <v>-6.9625000000000004</v>
      </c>
      <c r="BH596" s="54">
        <v>107.4346</v>
      </c>
      <c r="BI596" s="54"/>
      <c r="BJ596" s="54">
        <v>45</v>
      </c>
      <c r="BK596" s="54">
        <v>143</v>
      </c>
      <c r="BL596" s="54">
        <v>55</v>
      </c>
      <c r="BM596" s="54">
        <v>1</v>
      </c>
      <c r="BN596" s="54">
        <v>1</v>
      </c>
    </row>
    <row r="597" spans="1:66" s="219" customFormat="1" hidden="1" x14ac:dyDescent="0.3">
      <c r="A597" s="54">
        <v>591</v>
      </c>
      <c r="B597" s="54" t="s">
        <v>4219</v>
      </c>
      <c r="C597" s="54"/>
      <c r="D597" s="54" t="s">
        <v>52</v>
      </c>
      <c r="E597" s="54">
        <v>82899684</v>
      </c>
      <c r="F597" s="54" t="s">
        <v>2446</v>
      </c>
      <c r="G597" s="108">
        <v>39810</v>
      </c>
      <c r="H597" s="54">
        <v>3217112810010000</v>
      </c>
      <c r="I597" s="54" t="s">
        <v>2353</v>
      </c>
      <c r="J597" s="54" t="s">
        <v>4738</v>
      </c>
      <c r="K597" s="54">
        <v>1</v>
      </c>
      <c r="L597" s="54">
        <v>9</v>
      </c>
      <c r="M597" s="54" t="s">
        <v>4739</v>
      </c>
      <c r="N597" s="54" t="s">
        <v>2571</v>
      </c>
      <c r="O597" s="54" t="s">
        <v>2426</v>
      </c>
      <c r="P597" s="54">
        <v>40562</v>
      </c>
      <c r="Q597" s="54" t="s">
        <v>2357</v>
      </c>
      <c r="R597" s="54" t="s">
        <v>2358</v>
      </c>
      <c r="S597" s="54"/>
      <c r="T597" s="54">
        <v>82116077005</v>
      </c>
      <c r="U597" s="54"/>
      <c r="V597" s="54"/>
      <c r="W597" s="54" t="s">
        <v>2359</v>
      </c>
      <c r="X597" s="54"/>
      <c r="Y597" s="54" t="s">
        <v>5108</v>
      </c>
      <c r="Z597" s="54">
        <v>1975</v>
      </c>
      <c r="AA597" s="54" t="s">
        <v>2361</v>
      </c>
      <c r="AB597" s="54" t="s">
        <v>2362</v>
      </c>
      <c r="AC597" s="54" t="s">
        <v>2403</v>
      </c>
      <c r="AD597" s="54">
        <v>3217110203750010</v>
      </c>
      <c r="AE597" s="54" t="s">
        <v>5109</v>
      </c>
      <c r="AF597" s="54">
        <v>1977</v>
      </c>
      <c r="AG597" s="54" t="s">
        <v>2361</v>
      </c>
      <c r="AH597" s="54" t="s">
        <v>2365</v>
      </c>
      <c r="AI597" s="54" t="s">
        <v>2366</v>
      </c>
      <c r="AJ597" s="54">
        <v>3217114710770000</v>
      </c>
      <c r="AK597" s="54"/>
      <c r="AL597" s="54"/>
      <c r="AM597" s="54" t="s">
        <v>2367</v>
      </c>
      <c r="AN597" s="54"/>
      <c r="AO597" s="54"/>
      <c r="AP597" s="54"/>
      <c r="AQ597" s="54" t="s">
        <v>8179</v>
      </c>
      <c r="AR597" s="54"/>
      <c r="AS597" s="54"/>
      <c r="AT597" s="54" t="s">
        <v>2359</v>
      </c>
      <c r="AU597" s="54"/>
      <c r="AV597" s="54">
        <v>0</v>
      </c>
      <c r="AW597" s="54"/>
      <c r="AX597" s="54"/>
      <c r="AY597" s="54"/>
      <c r="AZ597" s="54"/>
      <c r="BA597" s="54"/>
      <c r="BB597" s="54" t="s">
        <v>2369</v>
      </c>
      <c r="BC597" s="54" t="s">
        <v>2370</v>
      </c>
      <c r="BD597" s="54" t="s">
        <v>2371</v>
      </c>
      <c r="BE597" s="54" t="s">
        <v>4742</v>
      </c>
      <c r="BF597" s="54">
        <v>1</v>
      </c>
      <c r="BG597" s="54">
        <v>-6.9351000000000003</v>
      </c>
      <c r="BH597" s="54">
        <v>107.38939999999999</v>
      </c>
      <c r="BI597" s="54">
        <v>3217110307070000</v>
      </c>
      <c r="BJ597" s="54">
        <v>45</v>
      </c>
      <c r="BK597" s="54">
        <v>145</v>
      </c>
      <c r="BL597" s="54">
        <v>52</v>
      </c>
      <c r="BM597" s="54">
        <v>1</v>
      </c>
      <c r="BN597" s="54">
        <v>3</v>
      </c>
    </row>
    <row r="598" spans="1:66" s="219" customFormat="1" hidden="1" x14ac:dyDescent="0.3">
      <c r="A598" s="54">
        <v>592</v>
      </c>
      <c r="B598" s="54" t="s">
        <v>1753</v>
      </c>
      <c r="C598" s="54" t="s">
        <v>2275</v>
      </c>
      <c r="D598" s="54" t="s">
        <v>53</v>
      </c>
      <c r="E598" s="54">
        <v>3090321026</v>
      </c>
      <c r="F598" s="54" t="s">
        <v>2373</v>
      </c>
      <c r="G598" s="108">
        <v>40166</v>
      </c>
      <c r="H598" s="54">
        <v>3217115912090000</v>
      </c>
      <c r="I598" s="54" t="s">
        <v>2353</v>
      </c>
      <c r="J598" s="54" t="s">
        <v>2616</v>
      </c>
      <c r="K598" s="54">
        <v>1</v>
      </c>
      <c r="L598" s="54">
        <v>10</v>
      </c>
      <c r="M598" s="54"/>
      <c r="N598" s="54" t="s">
        <v>2617</v>
      </c>
      <c r="O598" s="54" t="s">
        <v>2426</v>
      </c>
      <c r="P598" s="54">
        <v>40562</v>
      </c>
      <c r="Q598" s="54" t="s">
        <v>2357</v>
      </c>
      <c r="R598" s="54" t="s">
        <v>2358</v>
      </c>
      <c r="S598" s="54"/>
      <c r="T598" s="54"/>
      <c r="U598" s="54"/>
      <c r="V598" s="54"/>
      <c r="W598" s="54" t="s">
        <v>2359</v>
      </c>
      <c r="X598" s="54"/>
      <c r="Y598" s="54"/>
      <c r="Z598" s="54">
        <v>0</v>
      </c>
      <c r="AA598" s="54"/>
      <c r="AB598" s="54" t="s">
        <v>2362</v>
      </c>
      <c r="AC598" s="54" t="s">
        <v>2375</v>
      </c>
      <c r="AD598" s="54"/>
      <c r="AE598" s="54" t="s">
        <v>3072</v>
      </c>
      <c r="AF598" s="54">
        <v>0</v>
      </c>
      <c r="AG598" s="54"/>
      <c r="AH598" s="54" t="s">
        <v>2365</v>
      </c>
      <c r="AI598" s="54" t="s">
        <v>2366</v>
      </c>
      <c r="AJ598" s="54"/>
      <c r="AK598" s="54"/>
      <c r="AL598" s="54"/>
      <c r="AM598" s="54"/>
      <c r="AN598" s="54"/>
      <c r="AO598" s="54"/>
      <c r="AP598" s="54"/>
      <c r="AQ598" s="54" t="s">
        <v>8182</v>
      </c>
      <c r="AR598" s="54"/>
      <c r="AS598" s="54"/>
      <c r="AT598" s="54" t="s">
        <v>2359</v>
      </c>
      <c r="AU598" s="54"/>
      <c r="AV598" s="54">
        <v>1</v>
      </c>
      <c r="AW598" s="54"/>
      <c r="AX598" s="54"/>
      <c r="AY598" s="54"/>
      <c r="AZ598" s="54"/>
      <c r="BA598" s="54"/>
      <c r="BB598" s="54" t="s">
        <v>2359</v>
      </c>
      <c r="BC598" s="54"/>
      <c r="BD598" s="54" t="s">
        <v>2371</v>
      </c>
      <c r="BE598" s="54" t="s">
        <v>2376</v>
      </c>
      <c r="BF598" s="54">
        <v>1</v>
      </c>
      <c r="BG598" s="54">
        <v>-6.9625000000000004</v>
      </c>
      <c r="BH598" s="54">
        <v>107.4346</v>
      </c>
      <c r="BI598" s="54"/>
      <c r="BJ598" s="54">
        <v>44</v>
      </c>
      <c r="BK598" s="54">
        <v>138</v>
      </c>
      <c r="BL598" s="54">
        <v>54</v>
      </c>
      <c r="BM598" s="54">
        <v>1</v>
      </c>
      <c r="BN598" s="54">
        <v>1</v>
      </c>
    </row>
    <row r="599" spans="1:66" s="219" customFormat="1" hidden="1" x14ac:dyDescent="0.3">
      <c r="A599" s="54">
        <v>593</v>
      </c>
      <c r="B599" s="54" t="s">
        <v>1748</v>
      </c>
      <c r="C599" s="54" t="s">
        <v>1748</v>
      </c>
      <c r="D599" s="54" t="s">
        <v>52</v>
      </c>
      <c r="E599" s="54">
        <v>93918282</v>
      </c>
      <c r="F599" s="54" t="s">
        <v>3073</v>
      </c>
      <c r="G599" s="108">
        <v>40129</v>
      </c>
      <c r="H599" s="54">
        <v>3217121711090000</v>
      </c>
      <c r="I599" s="54" t="s">
        <v>2353</v>
      </c>
      <c r="J599" s="54" t="s">
        <v>2354</v>
      </c>
      <c r="K599" s="54">
        <v>1</v>
      </c>
      <c r="L599" s="54">
        <v>4</v>
      </c>
      <c r="M599" s="54"/>
      <c r="N599" s="54" t="s">
        <v>2355</v>
      </c>
      <c r="O599" s="54" t="s">
        <v>2356</v>
      </c>
      <c r="P599" s="54">
        <v>40564</v>
      </c>
      <c r="Q599" s="54" t="s">
        <v>2357</v>
      </c>
      <c r="R599" s="54" t="s">
        <v>2358</v>
      </c>
      <c r="S599" s="54"/>
      <c r="T599" s="54">
        <v>81222887015</v>
      </c>
      <c r="U599" s="54"/>
      <c r="V599" s="54"/>
      <c r="W599" s="54" t="s">
        <v>2369</v>
      </c>
      <c r="X599" s="54">
        <v>122000110356614</v>
      </c>
      <c r="Y599" s="54" t="s">
        <v>3074</v>
      </c>
      <c r="Z599" s="54">
        <v>1978</v>
      </c>
      <c r="AA599" s="54" t="s">
        <v>2361</v>
      </c>
      <c r="AB599" s="54" t="s">
        <v>2362</v>
      </c>
      <c r="AC599" s="54" t="s">
        <v>2363</v>
      </c>
      <c r="AD599" s="54">
        <v>3217120605780010</v>
      </c>
      <c r="AE599" s="54" t="s">
        <v>3075</v>
      </c>
      <c r="AF599" s="54">
        <v>1987</v>
      </c>
      <c r="AG599" s="54" t="s">
        <v>2361</v>
      </c>
      <c r="AH599" s="54" t="s">
        <v>2365</v>
      </c>
      <c r="AI599" s="54" t="s">
        <v>2366</v>
      </c>
      <c r="AJ599" s="54">
        <v>3217125712870000</v>
      </c>
      <c r="AK599" s="54"/>
      <c r="AL599" s="54"/>
      <c r="AM599" s="54" t="s">
        <v>2367</v>
      </c>
      <c r="AN599" s="54"/>
      <c r="AO599" s="54"/>
      <c r="AP599" s="54"/>
      <c r="AQ599" s="54" t="s">
        <v>8182</v>
      </c>
      <c r="AR599" s="54"/>
      <c r="AS599" s="54"/>
      <c r="AT599" s="54" t="s">
        <v>2359</v>
      </c>
      <c r="AU599" s="54"/>
      <c r="AV599" s="54">
        <v>0</v>
      </c>
      <c r="AW599" s="54"/>
      <c r="AX599" s="54" t="s">
        <v>3076</v>
      </c>
      <c r="AY599" s="54"/>
      <c r="AZ599" s="54"/>
      <c r="BA599" s="54"/>
      <c r="BB599" s="54" t="s">
        <v>2369</v>
      </c>
      <c r="BC599" s="54" t="s">
        <v>2443</v>
      </c>
      <c r="BD599" s="54" t="s">
        <v>2371</v>
      </c>
      <c r="BE599" s="54" t="s">
        <v>2372</v>
      </c>
      <c r="BF599" s="54"/>
      <c r="BG599" s="54">
        <v>-6.9676999999999998</v>
      </c>
      <c r="BH599" s="54">
        <v>107.4117</v>
      </c>
      <c r="BI599" s="54"/>
      <c r="BJ599" s="54">
        <v>49</v>
      </c>
      <c r="BK599" s="54">
        <v>142</v>
      </c>
      <c r="BL599" s="54">
        <v>0</v>
      </c>
      <c r="BM599" s="54">
        <v>0</v>
      </c>
      <c r="BN599" s="54">
        <v>0</v>
      </c>
    </row>
    <row r="600" spans="1:66" hidden="1" x14ac:dyDescent="0.3">
      <c r="A600" s="3">
        <v>594</v>
      </c>
      <c r="B600" s="3" t="s">
        <v>3809</v>
      </c>
      <c r="C600" s="3" t="s">
        <v>4256</v>
      </c>
      <c r="D600" s="3" t="s">
        <v>53</v>
      </c>
      <c r="E600" s="3">
        <v>114594643</v>
      </c>
      <c r="F600" s="3" t="s">
        <v>4119</v>
      </c>
      <c r="G600" s="157">
        <v>40579</v>
      </c>
      <c r="H600" s="3">
        <v>3277024502110000</v>
      </c>
      <c r="I600" s="3" t="s">
        <v>2353</v>
      </c>
      <c r="J600" s="3" t="s">
        <v>5110</v>
      </c>
      <c r="K600" s="3">
        <v>1</v>
      </c>
      <c r="L600" s="3">
        <v>17</v>
      </c>
      <c r="M600" s="3"/>
      <c r="N600" s="3" t="s">
        <v>5111</v>
      </c>
      <c r="O600" s="3" t="s">
        <v>5112</v>
      </c>
      <c r="P600" s="3">
        <v>40526</v>
      </c>
      <c r="Q600" s="3" t="s">
        <v>2357</v>
      </c>
      <c r="R600" s="3" t="s">
        <v>2358</v>
      </c>
      <c r="S600" s="3"/>
      <c r="T600" s="3">
        <v>81224923455</v>
      </c>
      <c r="U600" s="3"/>
      <c r="V600" s="3"/>
      <c r="W600" s="3" t="s">
        <v>2359</v>
      </c>
      <c r="X600" s="3" t="s">
        <v>5113</v>
      </c>
      <c r="Y600" s="3" t="s">
        <v>4200</v>
      </c>
      <c r="Z600" s="3">
        <v>1981</v>
      </c>
      <c r="AA600" s="3" t="s">
        <v>2390</v>
      </c>
      <c r="AB600" s="3" t="s">
        <v>2388</v>
      </c>
      <c r="AC600" s="3" t="s">
        <v>2666</v>
      </c>
      <c r="AD600" s="3">
        <v>3277020107810000</v>
      </c>
      <c r="AE600" s="3" t="s">
        <v>4201</v>
      </c>
      <c r="AF600" s="3">
        <v>1981</v>
      </c>
      <c r="AG600" s="3" t="s">
        <v>2361</v>
      </c>
      <c r="AH600" s="3" t="s">
        <v>2365</v>
      </c>
      <c r="AI600" s="3" t="s">
        <v>2366</v>
      </c>
      <c r="AJ600" s="3">
        <v>3277025208810020</v>
      </c>
      <c r="AK600" s="3"/>
      <c r="AL600" s="3"/>
      <c r="AM600" s="3" t="s">
        <v>2367</v>
      </c>
      <c r="AN600" s="3"/>
      <c r="AO600" s="3"/>
      <c r="AP600" s="3"/>
      <c r="AQ600" s="3" t="s">
        <v>5146</v>
      </c>
      <c r="AR600" s="3"/>
      <c r="AS600" s="3"/>
      <c r="AT600" s="3" t="s">
        <v>2369</v>
      </c>
      <c r="AU600" s="3"/>
      <c r="AV600" s="3">
        <v>0</v>
      </c>
      <c r="AW600" s="3"/>
      <c r="AX600" s="3" t="s">
        <v>4199</v>
      </c>
      <c r="AY600" s="3"/>
      <c r="AZ600" s="3"/>
      <c r="BA600" s="3"/>
      <c r="BB600" s="3" t="s">
        <v>2369</v>
      </c>
      <c r="BC600" s="3"/>
      <c r="BD600" s="3" t="s">
        <v>2371</v>
      </c>
      <c r="BE600" s="3" t="s">
        <v>5114</v>
      </c>
      <c r="BF600" s="3">
        <v>2</v>
      </c>
      <c r="BG600" s="3">
        <v>-6.8740446139999998</v>
      </c>
      <c r="BH600" s="3">
        <v>107.53261329999999</v>
      </c>
      <c r="BI600" s="3">
        <v>3277022111060160</v>
      </c>
      <c r="BJ600" s="3">
        <v>43</v>
      </c>
      <c r="BK600" s="3">
        <v>137</v>
      </c>
      <c r="BL600" s="3">
        <v>51</v>
      </c>
      <c r="BM600" s="3">
        <v>1</v>
      </c>
      <c r="BN600" s="3">
        <v>3</v>
      </c>
    </row>
    <row r="601" spans="1:66" hidden="1" x14ac:dyDescent="0.3">
      <c r="A601" s="3">
        <v>595</v>
      </c>
      <c r="B601" s="3" t="s">
        <v>4431</v>
      </c>
      <c r="C601" s="3" t="s">
        <v>4432</v>
      </c>
      <c r="D601" s="3" t="s">
        <v>53</v>
      </c>
      <c r="E601" s="3">
        <v>111782519</v>
      </c>
      <c r="F601" s="3" t="s">
        <v>2446</v>
      </c>
      <c r="G601" s="157">
        <v>40671</v>
      </c>
      <c r="H601" s="3">
        <v>3217124805110000</v>
      </c>
      <c r="I601" s="3" t="s">
        <v>2353</v>
      </c>
      <c r="J601" s="3" t="s">
        <v>3357</v>
      </c>
      <c r="K601" s="3">
        <v>1</v>
      </c>
      <c r="L601" s="3">
        <v>11</v>
      </c>
      <c r="M601" s="3" t="s">
        <v>5020</v>
      </c>
      <c r="N601" s="3" t="s">
        <v>2409</v>
      </c>
      <c r="O601" s="3" t="s">
        <v>2356</v>
      </c>
      <c r="P601" s="3">
        <v>40564</v>
      </c>
      <c r="Q601" s="3" t="s">
        <v>2357</v>
      </c>
      <c r="R601" s="3" t="s">
        <v>2358</v>
      </c>
      <c r="S601" s="3"/>
      <c r="T601" s="3">
        <v>83136241008</v>
      </c>
      <c r="U601" s="3"/>
      <c r="V601" s="3"/>
      <c r="W601" s="3" t="s">
        <v>2369</v>
      </c>
      <c r="X601" s="3">
        <v>122000110532911</v>
      </c>
      <c r="Y601" s="3" t="s">
        <v>5115</v>
      </c>
      <c r="Z601" s="3">
        <v>1974</v>
      </c>
      <c r="AA601" s="3" t="s">
        <v>2402</v>
      </c>
      <c r="AB601" s="3" t="s">
        <v>2362</v>
      </c>
      <c r="AC601" s="3" t="s">
        <v>2363</v>
      </c>
      <c r="AD601" s="3">
        <v>3217120404740010</v>
      </c>
      <c r="AE601" s="3" t="s">
        <v>5116</v>
      </c>
      <c r="AF601" s="3">
        <v>1985</v>
      </c>
      <c r="AG601" s="3" t="s">
        <v>2402</v>
      </c>
      <c r="AH601" s="3" t="s">
        <v>2365</v>
      </c>
      <c r="AI601" s="3" t="s">
        <v>2366</v>
      </c>
      <c r="AJ601" s="3">
        <v>3217124607850030</v>
      </c>
      <c r="AK601" s="3"/>
      <c r="AL601" s="3"/>
      <c r="AM601" s="3" t="s">
        <v>2367</v>
      </c>
      <c r="AN601" s="3"/>
      <c r="AO601" s="3"/>
      <c r="AP601" s="3"/>
      <c r="AQ601" s="3" t="s">
        <v>5150</v>
      </c>
      <c r="AR601" s="3"/>
      <c r="AS601" s="3"/>
      <c r="AT601" s="3" t="s">
        <v>2359</v>
      </c>
      <c r="AU601" s="3"/>
      <c r="AV601" s="3">
        <v>0</v>
      </c>
      <c r="AW601" s="3" t="s">
        <v>5117</v>
      </c>
      <c r="AX601" s="3"/>
      <c r="AY601" s="3"/>
      <c r="AZ601" s="3"/>
      <c r="BA601" s="3"/>
      <c r="BB601" s="3" t="s">
        <v>2369</v>
      </c>
      <c r="BC601" s="3" t="s">
        <v>2443</v>
      </c>
      <c r="BD601" s="3" t="s">
        <v>2371</v>
      </c>
      <c r="BE601" s="3" t="s">
        <v>2406</v>
      </c>
      <c r="BF601" s="3">
        <v>4</v>
      </c>
      <c r="BG601" s="3">
        <v>-6.9546999999999999</v>
      </c>
      <c r="BH601" s="3">
        <v>107.39</v>
      </c>
      <c r="BI601" s="3"/>
      <c r="BJ601" s="3">
        <v>51</v>
      </c>
      <c r="BK601" s="3">
        <v>144</v>
      </c>
      <c r="BL601" s="3">
        <v>57</v>
      </c>
      <c r="BM601" s="3">
        <v>1</v>
      </c>
      <c r="BN601" s="3">
        <v>2</v>
      </c>
    </row>
    <row r="602" spans="1:66" s="219" customFormat="1" hidden="1" x14ac:dyDescent="0.3">
      <c r="A602" s="54">
        <v>596</v>
      </c>
      <c r="B602" s="54" t="s">
        <v>1838</v>
      </c>
      <c r="C602" s="54" t="s">
        <v>1486</v>
      </c>
      <c r="D602" s="54" t="s">
        <v>53</v>
      </c>
      <c r="E602" s="54">
        <v>98434253</v>
      </c>
      <c r="F602" s="54" t="s">
        <v>2377</v>
      </c>
      <c r="G602" s="108">
        <v>39833</v>
      </c>
      <c r="H602" s="54">
        <v>3217126001090000</v>
      </c>
      <c r="I602" s="54" t="s">
        <v>2353</v>
      </c>
      <c r="J602" s="54" t="s">
        <v>2732</v>
      </c>
      <c r="K602" s="54">
        <v>3</v>
      </c>
      <c r="L602" s="54">
        <v>1</v>
      </c>
      <c r="M602" s="54" t="s">
        <v>2733</v>
      </c>
      <c r="N602" s="54" t="s">
        <v>2399</v>
      </c>
      <c r="O602" s="54" t="s">
        <v>2356</v>
      </c>
      <c r="P602" s="54">
        <v>40564</v>
      </c>
      <c r="Q602" s="54" t="s">
        <v>2357</v>
      </c>
      <c r="R602" s="54" t="s">
        <v>2358</v>
      </c>
      <c r="S602" s="54"/>
      <c r="T602" s="54">
        <v>87719923835</v>
      </c>
      <c r="U602" s="54"/>
      <c r="V602" s="54"/>
      <c r="W602" s="54" t="s">
        <v>2359</v>
      </c>
      <c r="X602" s="54"/>
      <c r="Y602" s="54" t="s">
        <v>3435</v>
      </c>
      <c r="Z602" s="54">
        <v>1977</v>
      </c>
      <c r="AA602" s="54" t="s">
        <v>2402</v>
      </c>
      <c r="AB602" s="54" t="s">
        <v>2362</v>
      </c>
      <c r="AC602" s="54" t="s">
        <v>2363</v>
      </c>
      <c r="AD602" s="54">
        <v>3217120802770010</v>
      </c>
      <c r="AE602" s="54" t="s">
        <v>3436</v>
      </c>
      <c r="AF602" s="54">
        <v>1988</v>
      </c>
      <c r="AG602" s="54" t="s">
        <v>2361</v>
      </c>
      <c r="AH602" s="54" t="s">
        <v>2365</v>
      </c>
      <c r="AI602" s="54" t="s">
        <v>2366</v>
      </c>
      <c r="AJ602" s="54">
        <v>3217124802880010</v>
      </c>
      <c r="AK602" s="54"/>
      <c r="AL602" s="54"/>
      <c r="AM602" s="54"/>
      <c r="AN602" s="54"/>
      <c r="AO602" s="54"/>
      <c r="AP602" s="54"/>
      <c r="AQ602" s="54" t="s">
        <v>5147</v>
      </c>
      <c r="AR602" s="54"/>
      <c r="AS602" s="54"/>
      <c r="AT602" s="54" t="s">
        <v>2359</v>
      </c>
      <c r="AU602" s="54"/>
      <c r="AV602" s="54">
        <v>0</v>
      </c>
      <c r="AW602" s="54"/>
      <c r="AX602" s="54" t="s">
        <v>3437</v>
      </c>
      <c r="AY602" s="54"/>
      <c r="AZ602" s="54"/>
      <c r="BA602" s="54"/>
      <c r="BB602" s="54" t="s">
        <v>2369</v>
      </c>
      <c r="BC602" s="54" t="s">
        <v>2370</v>
      </c>
      <c r="BD602" s="54" t="s">
        <v>2371</v>
      </c>
      <c r="BE602" s="54"/>
      <c r="BF602" s="54">
        <v>1</v>
      </c>
      <c r="BG602" s="54">
        <v>-6.9462000000000002</v>
      </c>
      <c r="BH602" s="54">
        <v>107.3884</v>
      </c>
      <c r="BI602" s="54"/>
      <c r="BJ602" s="54">
        <v>47</v>
      </c>
      <c r="BK602" s="54">
        <v>142</v>
      </c>
      <c r="BL602" s="54">
        <v>58</v>
      </c>
      <c r="BM602" s="54">
        <v>1</v>
      </c>
      <c r="BN602" s="54">
        <v>1</v>
      </c>
    </row>
    <row r="603" spans="1:66" s="219" customFormat="1" hidden="1" x14ac:dyDescent="0.3">
      <c r="A603" s="54">
        <v>597</v>
      </c>
      <c r="B603" s="54" t="s">
        <v>3077</v>
      </c>
      <c r="C603" s="54" t="s">
        <v>2277</v>
      </c>
      <c r="D603" s="54" t="s">
        <v>53</v>
      </c>
      <c r="E603" s="54">
        <v>96683535</v>
      </c>
      <c r="F603" s="54" t="s">
        <v>3078</v>
      </c>
      <c r="G603" s="108">
        <v>40089</v>
      </c>
      <c r="H603" s="54">
        <v>3217124310090000</v>
      </c>
      <c r="I603" s="54" t="s">
        <v>2353</v>
      </c>
      <c r="J603" s="54" t="s">
        <v>2707</v>
      </c>
      <c r="K603" s="54">
        <v>2</v>
      </c>
      <c r="L603" s="54">
        <v>5</v>
      </c>
      <c r="M603" s="54"/>
      <c r="N603" s="54" t="s">
        <v>2513</v>
      </c>
      <c r="O603" s="54" t="s">
        <v>2356</v>
      </c>
      <c r="P603" s="54">
        <v>40764</v>
      </c>
      <c r="Q603" s="54" t="s">
        <v>2357</v>
      </c>
      <c r="R603" s="54" t="s">
        <v>2358</v>
      </c>
      <c r="S603" s="54"/>
      <c r="T603" s="54">
        <v>82126284616</v>
      </c>
      <c r="U603" s="54"/>
      <c r="V603" s="54"/>
      <c r="W603" s="54" t="s">
        <v>2359</v>
      </c>
      <c r="X603" s="54"/>
      <c r="Y603" s="54" t="s">
        <v>3079</v>
      </c>
      <c r="Z603" s="54">
        <v>1974</v>
      </c>
      <c r="AA603" s="54" t="s">
        <v>2402</v>
      </c>
      <c r="AB603" s="54" t="s">
        <v>2362</v>
      </c>
      <c r="AC603" s="54" t="s">
        <v>2363</v>
      </c>
      <c r="AD603" s="54">
        <v>3217120302740000</v>
      </c>
      <c r="AE603" s="54" t="s">
        <v>3080</v>
      </c>
      <c r="AF603" s="54">
        <v>1984</v>
      </c>
      <c r="AG603" s="54" t="s">
        <v>2361</v>
      </c>
      <c r="AH603" s="54" t="s">
        <v>2365</v>
      </c>
      <c r="AI603" s="54" t="s">
        <v>2366</v>
      </c>
      <c r="AJ603" s="54">
        <v>3217125204840010</v>
      </c>
      <c r="AK603" s="54"/>
      <c r="AL603" s="54"/>
      <c r="AM603" s="54" t="s">
        <v>2367</v>
      </c>
      <c r="AN603" s="54"/>
      <c r="AO603" s="54"/>
      <c r="AP603" s="54"/>
      <c r="AQ603" s="54" t="s">
        <v>8182</v>
      </c>
      <c r="AR603" s="54"/>
      <c r="AS603" s="54"/>
      <c r="AT603" s="54" t="s">
        <v>2359</v>
      </c>
      <c r="AU603" s="54"/>
      <c r="AV603" s="54">
        <v>0</v>
      </c>
      <c r="AW603" s="54"/>
      <c r="AX603" s="54" t="s">
        <v>3081</v>
      </c>
      <c r="AY603" s="54"/>
      <c r="AZ603" s="54"/>
      <c r="BA603" s="54"/>
      <c r="BB603" s="54" t="s">
        <v>2369</v>
      </c>
      <c r="BC603" s="54" t="s">
        <v>2370</v>
      </c>
      <c r="BD603" s="54" t="s">
        <v>2371</v>
      </c>
      <c r="BE603" s="54" t="s">
        <v>2553</v>
      </c>
      <c r="BF603" s="54">
        <v>2</v>
      </c>
      <c r="BG603" s="54">
        <v>-7.0068000000000001</v>
      </c>
      <c r="BH603" s="54">
        <v>107.2349</v>
      </c>
      <c r="BI603" s="54">
        <v>3217121801100040</v>
      </c>
      <c r="BJ603" s="54">
        <v>45</v>
      </c>
      <c r="BK603" s="54">
        <v>137</v>
      </c>
      <c r="BL603" s="54">
        <v>0</v>
      </c>
      <c r="BM603" s="54">
        <v>0</v>
      </c>
      <c r="BN603" s="54">
        <v>0</v>
      </c>
    </row>
    <row r="604" spans="1:66" hidden="1" x14ac:dyDescent="0.3">
      <c r="A604" s="3">
        <v>598</v>
      </c>
      <c r="B604" s="3" t="s">
        <v>5118</v>
      </c>
      <c r="C604" s="3" t="s">
        <v>4257</v>
      </c>
      <c r="D604" s="3" t="s">
        <v>53</v>
      </c>
      <c r="E604" s="3">
        <v>117523913</v>
      </c>
      <c r="F604" s="3" t="s">
        <v>2373</v>
      </c>
      <c r="G604" s="157">
        <v>40669</v>
      </c>
      <c r="H604" s="3">
        <v>3217124605110000</v>
      </c>
      <c r="I604" s="3" t="s">
        <v>2353</v>
      </c>
      <c r="J604" s="3" t="s">
        <v>5119</v>
      </c>
      <c r="K604" s="3">
        <v>1</v>
      </c>
      <c r="L604" s="3">
        <v>6</v>
      </c>
      <c r="M604" s="3">
        <v>4</v>
      </c>
      <c r="N604" s="3" t="s">
        <v>4557</v>
      </c>
      <c r="O604" s="3" t="s">
        <v>2356</v>
      </c>
      <c r="P604" s="3">
        <v>40564</v>
      </c>
      <c r="Q604" s="3" t="s">
        <v>2357</v>
      </c>
      <c r="R604" s="3" t="s">
        <v>2358</v>
      </c>
      <c r="S604" s="3"/>
      <c r="T604" s="3">
        <v>85798329902</v>
      </c>
      <c r="U604" s="3"/>
      <c r="V604" s="3"/>
      <c r="W604" s="3" t="s">
        <v>2359</v>
      </c>
      <c r="X604" s="3"/>
      <c r="Y604" s="3" t="s">
        <v>5120</v>
      </c>
      <c r="Z604" s="3">
        <v>1983</v>
      </c>
      <c r="AA604" s="3" t="s">
        <v>2361</v>
      </c>
      <c r="AB604" s="3" t="s">
        <v>2362</v>
      </c>
      <c r="AC604" s="3" t="s">
        <v>2403</v>
      </c>
      <c r="AD604" s="3">
        <v>3217121410830000</v>
      </c>
      <c r="AE604" s="3" t="s">
        <v>3131</v>
      </c>
      <c r="AF604" s="3">
        <v>1981</v>
      </c>
      <c r="AG604" s="3" t="s">
        <v>2361</v>
      </c>
      <c r="AH604" s="3" t="s">
        <v>2365</v>
      </c>
      <c r="AI604" s="3" t="s">
        <v>2366</v>
      </c>
      <c r="AJ604" s="3">
        <v>3217124808810020</v>
      </c>
      <c r="AK604" s="3"/>
      <c r="AL604" s="3"/>
      <c r="AM604" s="3" t="s">
        <v>2367</v>
      </c>
      <c r="AN604" s="3"/>
      <c r="AO604" s="3"/>
      <c r="AP604" s="3"/>
      <c r="AQ604" s="3" t="s">
        <v>5146</v>
      </c>
      <c r="AR604" s="3"/>
      <c r="AS604" s="3"/>
      <c r="AT604" s="3" t="s">
        <v>2359</v>
      </c>
      <c r="AU604" s="3"/>
      <c r="AV604" s="3">
        <v>0</v>
      </c>
      <c r="AW604" s="3"/>
      <c r="AX604" s="3" t="s">
        <v>5121</v>
      </c>
      <c r="AY604" s="3"/>
      <c r="AZ604" s="3"/>
      <c r="BA604" s="3"/>
      <c r="BB604" s="3" t="s">
        <v>2369</v>
      </c>
      <c r="BC604" s="3" t="s">
        <v>2370</v>
      </c>
      <c r="BD604" s="3" t="s">
        <v>2371</v>
      </c>
      <c r="BE604" s="3" t="s">
        <v>2880</v>
      </c>
      <c r="BF604" s="3">
        <v>1</v>
      </c>
      <c r="BG604" s="3">
        <v>-6.9488350399999996</v>
      </c>
      <c r="BH604" s="3">
        <v>107.4049187</v>
      </c>
      <c r="BI604" s="3">
        <v>3217122006120040</v>
      </c>
      <c r="BJ604" s="3">
        <v>46</v>
      </c>
      <c r="BK604" s="3">
        <v>144</v>
      </c>
      <c r="BL604" s="3">
        <v>56</v>
      </c>
      <c r="BM604" s="3">
        <v>1</v>
      </c>
      <c r="BN604" s="3">
        <v>2</v>
      </c>
    </row>
    <row r="605" spans="1:66" x14ac:dyDescent="0.3">
      <c r="A605" s="3">
        <v>599</v>
      </c>
      <c r="B605" s="3" t="s">
        <v>3958</v>
      </c>
      <c r="C605" s="3" t="s">
        <v>4419</v>
      </c>
      <c r="D605" s="3" t="s">
        <v>53</v>
      </c>
      <c r="E605" s="3">
        <v>3114722516</v>
      </c>
      <c r="F605" s="3" t="s">
        <v>2377</v>
      </c>
      <c r="G605" s="157">
        <v>40877</v>
      </c>
      <c r="H605" s="3">
        <v>3217147011120000</v>
      </c>
      <c r="I605" s="3" t="s">
        <v>2353</v>
      </c>
      <c r="J605" s="3" t="s">
        <v>4565</v>
      </c>
      <c r="K605" s="3">
        <v>4</v>
      </c>
      <c r="L605" s="3">
        <v>4</v>
      </c>
      <c r="M605" s="3"/>
      <c r="N605" s="3" t="s">
        <v>4566</v>
      </c>
      <c r="O605" s="3" t="s">
        <v>3065</v>
      </c>
      <c r="P605" s="3">
        <v>40563</v>
      </c>
      <c r="Q605" s="3" t="s">
        <v>2357</v>
      </c>
      <c r="R605" s="3" t="s">
        <v>2374</v>
      </c>
      <c r="S605" s="3"/>
      <c r="T605" s="3"/>
      <c r="U605" s="3"/>
      <c r="V605" s="3"/>
      <c r="W605" s="3" t="s">
        <v>2359</v>
      </c>
      <c r="X605" s="3"/>
      <c r="Y605" s="3" t="s">
        <v>5122</v>
      </c>
      <c r="Z605" s="3">
        <v>1984</v>
      </c>
      <c r="AA605" s="3" t="s">
        <v>2390</v>
      </c>
      <c r="AB605" s="3" t="s">
        <v>2362</v>
      </c>
      <c r="AC605" s="3" t="s">
        <v>2363</v>
      </c>
      <c r="AD605" s="3">
        <v>3217141703840010</v>
      </c>
      <c r="AE605" s="3" t="s">
        <v>3963</v>
      </c>
      <c r="AF605" s="3">
        <v>1992</v>
      </c>
      <c r="AG605" s="3" t="s">
        <v>2361</v>
      </c>
      <c r="AH605" s="3" t="s">
        <v>2365</v>
      </c>
      <c r="AI605" s="3" t="s">
        <v>2366</v>
      </c>
      <c r="AJ605" s="3">
        <v>3217146212920000</v>
      </c>
      <c r="AK605" s="3"/>
      <c r="AL605" s="3"/>
      <c r="AM605" s="3"/>
      <c r="AN605" s="3"/>
      <c r="AO605" s="3"/>
      <c r="AP605" s="3"/>
      <c r="AQ605" s="3" t="s">
        <v>5148</v>
      </c>
      <c r="AR605" s="3"/>
      <c r="AS605" s="3"/>
      <c r="AT605" s="3" t="s">
        <v>2369</v>
      </c>
      <c r="AU605" s="3"/>
      <c r="AV605" s="3">
        <v>1</v>
      </c>
      <c r="AW605" s="3"/>
      <c r="AX605" s="3" t="s">
        <v>5123</v>
      </c>
      <c r="AY605" s="3"/>
      <c r="AZ605" s="3"/>
      <c r="BA605" s="3"/>
      <c r="BB605" s="3" t="s">
        <v>2369</v>
      </c>
      <c r="BC605" s="3"/>
      <c r="BD605" s="3" t="s">
        <v>2371</v>
      </c>
      <c r="BE605" s="3" t="s">
        <v>5124</v>
      </c>
      <c r="BF605" s="3">
        <v>1</v>
      </c>
      <c r="BG605" s="3">
        <v>-6.9625000000000004</v>
      </c>
      <c r="BH605" s="3">
        <v>107.4346</v>
      </c>
      <c r="BI605" s="3">
        <v>3217140208110000</v>
      </c>
      <c r="BJ605" s="3">
        <v>40</v>
      </c>
      <c r="BK605" s="3">
        <v>142</v>
      </c>
      <c r="BL605" s="3">
        <v>55</v>
      </c>
      <c r="BM605" s="3">
        <v>2</v>
      </c>
      <c r="BN605" s="3">
        <v>4</v>
      </c>
    </row>
    <row r="606" spans="1:66" hidden="1" x14ac:dyDescent="0.3">
      <c r="A606" s="3">
        <v>600</v>
      </c>
      <c r="B606" s="3" t="s">
        <v>3901</v>
      </c>
      <c r="C606" s="3" t="s">
        <v>4360</v>
      </c>
      <c r="D606" s="3" t="s">
        <v>52</v>
      </c>
      <c r="E606" s="3">
        <v>108676595</v>
      </c>
      <c r="F606" s="3" t="s">
        <v>2446</v>
      </c>
      <c r="G606" s="157">
        <v>40258</v>
      </c>
      <c r="H606" s="3">
        <v>3217112103100000</v>
      </c>
      <c r="I606" s="3" t="s">
        <v>2353</v>
      </c>
      <c r="J606" s="3" t="s">
        <v>4738</v>
      </c>
      <c r="K606" s="3">
        <v>1</v>
      </c>
      <c r="L606" s="3">
        <v>9</v>
      </c>
      <c r="M606" s="3" t="s">
        <v>4739</v>
      </c>
      <c r="N606" s="3" t="s">
        <v>2571</v>
      </c>
      <c r="O606" s="3" t="s">
        <v>2426</v>
      </c>
      <c r="P606" s="3">
        <v>40562</v>
      </c>
      <c r="Q606" s="3" t="s">
        <v>2357</v>
      </c>
      <c r="R606" s="3" t="s">
        <v>2374</v>
      </c>
      <c r="S606" s="3"/>
      <c r="T606" s="3">
        <v>83195519919</v>
      </c>
      <c r="U606" s="3"/>
      <c r="V606" s="3"/>
      <c r="W606" s="3" t="s">
        <v>2359</v>
      </c>
      <c r="X606" s="3"/>
      <c r="Y606" s="3" t="s">
        <v>3017</v>
      </c>
      <c r="Z606" s="3">
        <v>1976</v>
      </c>
      <c r="AA606" s="3" t="s">
        <v>2361</v>
      </c>
      <c r="AB606" s="3" t="s">
        <v>2362</v>
      </c>
      <c r="AC606" s="3" t="s">
        <v>2403</v>
      </c>
      <c r="AD606" s="3">
        <v>3217112710760000</v>
      </c>
      <c r="AE606" s="3" t="s">
        <v>4000</v>
      </c>
      <c r="AF606" s="3">
        <v>1977</v>
      </c>
      <c r="AG606" s="3" t="s">
        <v>2361</v>
      </c>
      <c r="AH606" s="3" t="s">
        <v>2365</v>
      </c>
      <c r="AI606" s="3" t="s">
        <v>2366</v>
      </c>
      <c r="AJ606" s="3"/>
      <c r="AK606" s="3"/>
      <c r="AL606" s="3"/>
      <c r="AM606" s="3" t="s">
        <v>2367</v>
      </c>
      <c r="AN606" s="3"/>
      <c r="AO606" s="3"/>
      <c r="AP606" s="3"/>
      <c r="AQ606" s="3" t="s">
        <v>5152</v>
      </c>
      <c r="AR606" s="3"/>
      <c r="AS606" s="3"/>
      <c r="AT606" s="3" t="s">
        <v>2369</v>
      </c>
      <c r="AU606" s="3" t="s">
        <v>5125</v>
      </c>
      <c r="AV606" s="3">
        <v>0</v>
      </c>
      <c r="AW606" s="3"/>
      <c r="AX606" s="3" t="s">
        <v>5126</v>
      </c>
      <c r="AY606" s="3"/>
      <c r="AZ606" s="3"/>
      <c r="BA606" s="3"/>
      <c r="BB606" s="3" t="s">
        <v>2369</v>
      </c>
      <c r="BC606" s="3"/>
      <c r="BD606" s="3" t="s">
        <v>2371</v>
      </c>
      <c r="BE606" s="3" t="s">
        <v>4742</v>
      </c>
      <c r="BF606" s="3">
        <v>1</v>
      </c>
      <c r="BG606" s="3">
        <v>-6.9351000000000003</v>
      </c>
      <c r="BH606" s="3">
        <v>107.38939999999999</v>
      </c>
      <c r="BI606" s="3">
        <v>3217112510120000</v>
      </c>
      <c r="BJ606" s="3">
        <v>39</v>
      </c>
      <c r="BK606" s="3">
        <v>141</v>
      </c>
      <c r="BL606" s="3">
        <v>54</v>
      </c>
      <c r="BM606" s="3">
        <v>1</v>
      </c>
      <c r="BN606" s="3">
        <v>4</v>
      </c>
    </row>
    <row r="607" spans="1:66" s="219" customFormat="1" hidden="1" x14ac:dyDescent="0.3">
      <c r="A607" s="54">
        <v>601</v>
      </c>
      <c r="B607" s="54" t="s">
        <v>3003</v>
      </c>
      <c r="C607" s="54" t="s">
        <v>2250</v>
      </c>
      <c r="D607" s="54" t="s">
        <v>52</v>
      </c>
      <c r="E607" s="54">
        <v>107155379</v>
      </c>
      <c r="F607" s="54" t="s">
        <v>2373</v>
      </c>
      <c r="G607" s="108">
        <v>40334</v>
      </c>
      <c r="H607" s="54">
        <v>3217120506100000</v>
      </c>
      <c r="I607" s="54" t="s">
        <v>2353</v>
      </c>
      <c r="J607" s="54" t="s">
        <v>2707</v>
      </c>
      <c r="K607" s="54">
        <v>2</v>
      </c>
      <c r="L607" s="54">
        <v>5</v>
      </c>
      <c r="M607" s="54"/>
      <c r="N607" s="54" t="s">
        <v>2513</v>
      </c>
      <c r="O607" s="54" t="s">
        <v>2356</v>
      </c>
      <c r="P607" s="54"/>
      <c r="Q607" s="54" t="s">
        <v>2357</v>
      </c>
      <c r="R607" s="54" t="s">
        <v>2358</v>
      </c>
      <c r="S607" s="54"/>
      <c r="T607" s="54">
        <v>85624928410</v>
      </c>
      <c r="U607" s="54"/>
      <c r="V607" s="54"/>
      <c r="W607" s="54" t="s">
        <v>2359</v>
      </c>
      <c r="X607" s="54"/>
      <c r="Y607" s="54" t="s">
        <v>5127</v>
      </c>
      <c r="Z607" s="54">
        <v>1982</v>
      </c>
      <c r="AA607" s="54" t="s">
        <v>2402</v>
      </c>
      <c r="AB607" s="54" t="s">
        <v>2362</v>
      </c>
      <c r="AC607" s="54" t="s">
        <v>2363</v>
      </c>
      <c r="AD607" s="54">
        <v>3217120303820020</v>
      </c>
      <c r="AE607" s="54" t="s">
        <v>3004</v>
      </c>
      <c r="AF607" s="54">
        <v>1989</v>
      </c>
      <c r="AG607" s="54" t="s">
        <v>2402</v>
      </c>
      <c r="AH607" s="54" t="s">
        <v>2365</v>
      </c>
      <c r="AI607" s="54" t="s">
        <v>2366</v>
      </c>
      <c r="AJ607" s="54">
        <v>3217125311890010</v>
      </c>
      <c r="AK607" s="54"/>
      <c r="AL607" s="54"/>
      <c r="AM607" s="54" t="s">
        <v>2367</v>
      </c>
      <c r="AN607" s="54"/>
      <c r="AO607" s="54"/>
      <c r="AP607" s="54"/>
      <c r="AQ607" s="54" t="s">
        <v>8178</v>
      </c>
      <c r="AR607" s="54"/>
      <c r="AS607" s="54"/>
      <c r="AT607" s="54" t="s">
        <v>2359</v>
      </c>
      <c r="AU607" s="54"/>
      <c r="AV607" s="54">
        <v>0</v>
      </c>
      <c r="AW607" s="54"/>
      <c r="AX607" s="54" t="s">
        <v>3005</v>
      </c>
      <c r="AY607" s="54"/>
      <c r="AZ607" s="54"/>
      <c r="BA607" s="54"/>
      <c r="BB607" s="54" t="s">
        <v>2369</v>
      </c>
      <c r="BC607" s="54" t="s">
        <v>2370</v>
      </c>
      <c r="BD607" s="54" t="s">
        <v>2371</v>
      </c>
      <c r="BE607" s="54" t="s">
        <v>2553</v>
      </c>
      <c r="BF607" s="54">
        <v>1</v>
      </c>
      <c r="BG607" s="54">
        <v>-7.0068000000000001</v>
      </c>
      <c r="BH607" s="54">
        <v>107.2349</v>
      </c>
      <c r="BI607" s="54">
        <v>3217121602100010</v>
      </c>
      <c r="BJ607" s="54">
        <v>51</v>
      </c>
      <c r="BK607" s="54">
        <v>144</v>
      </c>
      <c r="BL607" s="54">
        <v>0</v>
      </c>
      <c r="BM607" s="54">
        <v>0</v>
      </c>
      <c r="BN607" s="54">
        <v>0</v>
      </c>
    </row>
    <row r="608" spans="1:66" s="219" customFormat="1" hidden="1" x14ac:dyDescent="0.3">
      <c r="A608" s="54">
        <v>602</v>
      </c>
      <c r="B608" s="54" t="s">
        <v>1680</v>
      </c>
      <c r="C608" s="54" t="s">
        <v>2190</v>
      </c>
      <c r="D608" s="54" t="s">
        <v>52</v>
      </c>
      <c r="E608" s="54">
        <v>94961711</v>
      </c>
      <c r="F608" s="54" t="s">
        <v>2373</v>
      </c>
      <c r="G608" s="108">
        <v>40056</v>
      </c>
      <c r="H608" s="54">
        <v>3217113108090000</v>
      </c>
      <c r="I608" s="54" t="s">
        <v>2353</v>
      </c>
      <c r="J608" s="54" t="s">
        <v>2785</v>
      </c>
      <c r="K608" s="54">
        <v>4</v>
      </c>
      <c r="L608" s="54">
        <v>9</v>
      </c>
      <c r="M608" s="54" t="s">
        <v>2786</v>
      </c>
      <c r="N608" s="54" t="s">
        <v>2787</v>
      </c>
      <c r="O608" s="54" t="s">
        <v>2788</v>
      </c>
      <c r="P608" s="54">
        <v>17520</v>
      </c>
      <c r="Q608" s="54" t="s">
        <v>2357</v>
      </c>
      <c r="R608" s="54" t="s">
        <v>2400</v>
      </c>
      <c r="S608" s="54"/>
      <c r="T608" s="54">
        <v>83807584553</v>
      </c>
      <c r="U608" s="54"/>
      <c r="V608" s="54"/>
      <c r="W608" s="54" t="s">
        <v>2359</v>
      </c>
      <c r="X608" s="54"/>
      <c r="Y608" s="54" t="s">
        <v>2789</v>
      </c>
      <c r="Z608" s="54">
        <v>1986</v>
      </c>
      <c r="AA608" s="54" t="s">
        <v>2402</v>
      </c>
      <c r="AB608" s="54" t="s">
        <v>2362</v>
      </c>
      <c r="AC608" s="54" t="s">
        <v>2375</v>
      </c>
      <c r="AD608" s="54"/>
      <c r="AE608" s="54" t="s">
        <v>2790</v>
      </c>
      <c r="AF608" s="54">
        <v>1989</v>
      </c>
      <c r="AG608" s="54" t="s">
        <v>2402</v>
      </c>
      <c r="AH608" s="54" t="s">
        <v>2365</v>
      </c>
      <c r="AI608" s="54" t="s">
        <v>2366</v>
      </c>
      <c r="AJ608" s="54"/>
      <c r="AK608" s="54"/>
      <c r="AL608" s="54"/>
      <c r="AM608" s="54" t="s">
        <v>2367</v>
      </c>
      <c r="AN608" s="54"/>
      <c r="AO608" s="54"/>
      <c r="AP608" s="54"/>
      <c r="AQ608" s="54" t="s">
        <v>8180</v>
      </c>
      <c r="AR608" s="54"/>
      <c r="AS608" s="54"/>
      <c r="AT608" s="54" t="s">
        <v>2359</v>
      </c>
      <c r="AU608" s="54"/>
      <c r="AV608" s="54">
        <v>0</v>
      </c>
      <c r="AW608" s="54"/>
      <c r="AX608" s="54" t="s">
        <v>2791</v>
      </c>
      <c r="AY608" s="54"/>
      <c r="AZ608" s="54"/>
      <c r="BA608" s="54"/>
      <c r="BB608" s="54" t="s">
        <v>2369</v>
      </c>
      <c r="BC608" s="54" t="s">
        <v>2370</v>
      </c>
      <c r="BD608" s="54" t="s">
        <v>2371</v>
      </c>
      <c r="BE608" s="54" t="s">
        <v>2691</v>
      </c>
      <c r="BF608" s="54">
        <v>1</v>
      </c>
      <c r="BG608" s="54">
        <v>-6.2504999999999997</v>
      </c>
      <c r="BH608" s="54">
        <v>107.1414</v>
      </c>
      <c r="BI608" s="54"/>
      <c r="BJ608" s="54">
        <v>52</v>
      </c>
      <c r="BK608" s="54">
        <v>147</v>
      </c>
      <c r="BL608" s="54">
        <v>0</v>
      </c>
      <c r="BM608" s="54">
        <v>0</v>
      </c>
      <c r="BN608" s="54">
        <v>0</v>
      </c>
    </row>
    <row r="609" spans="1:66" s="219" customFormat="1" hidden="1" x14ac:dyDescent="0.3">
      <c r="A609" s="54">
        <v>603</v>
      </c>
      <c r="B609" s="54" t="s">
        <v>2065</v>
      </c>
      <c r="C609" s="54"/>
      <c r="D609" s="54" t="s">
        <v>53</v>
      </c>
      <c r="E609" s="54">
        <v>101534384</v>
      </c>
      <c r="F609" s="54" t="s">
        <v>2373</v>
      </c>
      <c r="G609" s="108">
        <v>40263</v>
      </c>
      <c r="H609" s="54">
        <v>3217126603100000</v>
      </c>
      <c r="I609" s="54" t="s">
        <v>2353</v>
      </c>
      <c r="J609" s="54" t="s">
        <v>2792</v>
      </c>
      <c r="K609" s="54">
        <v>3</v>
      </c>
      <c r="L609" s="54">
        <v>1</v>
      </c>
      <c r="M609" s="54"/>
      <c r="N609" s="54" t="s">
        <v>2513</v>
      </c>
      <c r="O609" s="54" t="s">
        <v>2356</v>
      </c>
      <c r="P609" s="54">
        <v>40764</v>
      </c>
      <c r="Q609" s="54" t="s">
        <v>2357</v>
      </c>
      <c r="R609" s="54" t="s">
        <v>2358</v>
      </c>
      <c r="S609" s="54"/>
      <c r="T609" s="54">
        <v>83822262312</v>
      </c>
      <c r="U609" s="54"/>
      <c r="V609" s="54"/>
      <c r="W609" s="54" t="s">
        <v>2359</v>
      </c>
      <c r="X609" s="54"/>
      <c r="Y609" s="54" t="s">
        <v>2793</v>
      </c>
      <c r="Z609" s="54">
        <v>1983</v>
      </c>
      <c r="AA609" s="54" t="s">
        <v>2361</v>
      </c>
      <c r="AB609" s="54" t="s">
        <v>2362</v>
      </c>
      <c r="AC609" s="54" t="s">
        <v>2403</v>
      </c>
      <c r="AD609" s="54">
        <v>3217121507830010</v>
      </c>
      <c r="AE609" s="54" t="s">
        <v>2794</v>
      </c>
      <c r="AF609" s="54">
        <v>1980</v>
      </c>
      <c r="AG609" s="54" t="s">
        <v>2361</v>
      </c>
      <c r="AH609" s="54" t="s">
        <v>2365</v>
      </c>
      <c r="AI609" s="54" t="s">
        <v>2366</v>
      </c>
      <c r="AJ609" s="54">
        <v>3217126912800000</v>
      </c>
      <c r="AK609" s="54"/>
      <c r="AL609" s="54"/>
      <c r="AM609" s="54" t="s">
        <v>2367</v>
      </c>
      <c r="AN609" s="54"/>
      <c r="AO609" s="54"/>
      <c r="AP609" s="54"/>
      <c r="AQ609" s="54" t="s">
        <v>8180</v>
      </c>
      <c r="AR609" s="54"/>
      <c r="AS609" s="54"/>
      <c r="AT609" s="54" t="s">
        <v>2359</v>
      </c>
      <c r="AU609" s="54"/>
      <c r="AV609" s="54">
        <v>0</v>
      </c>
      <c r="AW609" s="54"/>
      <c r="AX609" s="54" t="s">
        <v>2795</v>
      </c>
      <c r="AY609" s="54"/>
      <c r="AZ609" s="54"/>
      <c r="BA609" s="54"/>
      <c r="BB609" s="54" t="s">
        <v>2369</v>
      </c>
      <c r="BC609" s="54" t="s">
        <v>2370</v>
      </c>
      <c r="BD609" s="54" t="s">
        <v>2371</v>
      </c>
      <c r="BE609" s="54" t="s">
        <v>2477</v>
      </c>
      <c r="BF609" s="54">
        <v>2</v>
      </c>
      <c r="BG609" s="54">
        <v>-6.9661</v>
      </c>
      <c r="BH609" s="54">
        <v>107.4057</v>
      </c>
      <c r="BI609" s="54">
        <v>3217121510080080</v>
      </c>
      <c r="BJ609" s="54">
        <v>60</v>
      </c>
      <c r="BK609" s="54">
        <v>153</v>
      </c>
      <c r="BL609" s="54">
        <v>0</v>
      </c>
      <c r="BM609" s="54">
        <v>0</v>
      </c>
      <c r="BN609" s="54">
        <v>0</v>
      </c>
    </row>
    <row r="610" spans="1:66" s="219" customFormat="1" hidden="1" x14ac:dyDescent="0.3">
      <c r="A610" s="54">
        <v>604</v>
      </c>
      <c r="B610" s="54" t="s">
        <v>2534</v>
      </c>
      <c r="C610" s="54" t="s">
        <v>2127</v>
      </c>
      <c r="D610" s="54" t="s">
        <v>52</v>
      </c>
      <c r="E610" s="54">
        <v>91253758</v>
      </c>
      <c r="F610" s="54" t="s">
        <v>2373</v>
      </c>
      <c r="G610" s="108">
        <v>40156</v>
      </c>
      <c r="H610" s="54">
        <v>3217120912090000</v>
      </c>
      <c r="I610" s="54" t="s">
        <v>2353</v>
      </c>
      <c r="J610" s="54" t="s">
        <v>2535</v>
      </c>
      <c r="K610" s="54">
        <v>1</v>
      </c>
      <c r="L610" s="54">
        <v>7</v>
      </c>
      <c r="M610" s="54">
        <v>2</v>
      </c>
      <c r="N610" s="54" t="s">
        <v>2409</v>
      </c>
      <c r="O610" s="54" t="s">
        <v>2356</v>
      </c>
      <c r="P610" s="54">
        <v>40764</v>
      </c>
      <c r="Q610" s="54" t="s">
        <v>2357</v>
      </c>
      <c r="R610" s="54" t="s">
        <v>2358</v>
      </c>
      <c r="S610" s="54"/>
      <c r="T610" s="54">
        <v>85793875872</v>
      </c>
      <c r="U610" s="54"/>
      <c r="V610" s="54"/>
      <c r="W610" s="54" t="s">
        <v>2359</v>
      </c>
      <c r="X610" s="54"/>
      <c r="Y610" s="54" t="s">
        <v>2536</v>
      </c>
      <c r="Z610" s="54">
        <v>1967</v>
      </c>
      <c r="AA610" s="54" t="s">
        <v>2390</v>
      </c>
      <c r="AB610" s="54" t="s">
        <v>2472</v>
      </c>
      <c r="AC610" s="54" t="s">
        <v>2363</v>
      </c>
      <c r="AD610" s="54">
        <v>3217120203670010</v>
      </c>
      <c r="AE610" s="54" t="s">
        <v>2537</v>
      </c>
      <c r="AF610" s="54">
        <v>1976</v>
      </c>
      <c r="AG610" s="54" t="s">
        <v>2538</v>
      </c>
      <c r="AH610" s="54" t="s">
        <v>2474</v>
      </c>
      <c r="AI610" s="54" t="s">
        <v>2363</v>
      </c>
      <c r="AJ610" s="54">
        <v>3217126308760000</v>
      </c>
      <c r="AK610" s="54"/>
      <c r="AL610" s="54"/>
      <c r="AM610" s="54" t="s">
        <v>2367</v>
      </c>
      <c r="AN610" s="54"/>
      <c r="AO610" s="54"/>
      <c r="AP610" s="54"/>
      <c r="AQ610" s="54" t="s">
        <v>8177</v>
      </c>
      <c r="AR610" s="54"/>
      <c r="AS610" s="54"/>
      <c r="AT610" s="54" t="s">
        <v>2359</v>
      </c>
      <c r="AU610" s="54"/>
      <c r="AV610" s="54">
        <v>0</v>
      </c>
      <c r="AW610" s="54"/>
      <c r="AX610" s="54"/>
      <c r="AY610" s="54"/>
      <c r="AZ610" s="54"/>
      <c r="BA610" s="54"/>
      <c r="BB610" s="54" t="s">
        <v>2369</v>
      </c>
      <c r="BC610" s="54" t="s">
        <v>2370</v>
      </c>
      <c r="BD610" s="54" t="s">
        <v>2371</v>
      </c>
      <c r="BE610" s="54" t="s">
        <v>2539</v>
      </c>
      <c r="BF610" s="54">
        <v>3</v>
      </c>
      <c r="BG610" s="54">
        <v>-6.9462000000000002</v>
      </c>
      <c r="BH610" s="54">
        <v>107.3884</v>
      </c>
      <c r="BI610" s="54"/>
      <c r="BJ610" s="54">
        <v>46</v>
      </c>
      <c r="BK610" s="54">
        <v>143</v>
      </c>
      <c r="BL610" s="54">
        <v>0</v>
      </c>
      <c r="BM610" s="54">
        <v>0</v>
      </c>
      <c r="BN610" s="54">
        <v>0</v>
      </c>
    </row>
    <row r="611" spans="1:66" s="219" customFormat="1" hidden="1" x14ac:dyDescent="0.3">
      <c r="A611" s="54">
        <v>605</v>
      </c>
      <c r="B611" s="54" t="s">
        <v>2658</v>
      </c>
      <c r="C611" s="54" t="s">
        <v>2160</v>
      </c>
      <c r="D611" s="54" t="s">
        <v>52</v>
      </c>
      <c r="E611" s="54">
        <v>103598586</v>
      </c>
      <c r="F611" s="54" t="s">
        <v>2373</v>
      </c>
      <c r="G611" s="108">
        <v>40343</v>
      </c>
      <c r="H611" s="54">
        <v>3217111406100000</v>
      </c>
      <c r="I611" s="54" t="s">
        <v>2353</v>
      </c>
      <c r="J611" s="54" t="s">
        <v>2565</v>
      </c>
      <c r="K611" s="54">
        <v>4</v>
      </c>
      <c r="L611" s="54">
        <v>1</v>
      </c>
      <c r="M611" s="54"/>
      <c r="N611" s="54" t="s">
        <v>2566</v>
      </c>
      <c r="O611" s="54" t="s">
        <v>2426</v>
      </c>
      <c r="P611" s="54">
        <v>40562</v>
      </c>
      <c r="Q611" s="54" t="s">
        <v>2357</v>
      </c>
      <c r="R611" s="54" t="s">
        <v>2358</v>
      </c>
      <c r="S611" s="54"/>
      <c r="T611" s="54">
        <v>85956510204</v>
      </c>
      <c r="U611" s="54"/>
      <c r="V611" s="54"/>
      <c r="W611" s="54" t="s">
        <v>2359</v>
      </c>
      <c r="X611" s="54"/>
      <c r="Y611" s="54" t="s">
        <v>2659</v>
      </c>
      <c r="Z611" s="54">
        <v>1962</v>
      </c>
      <c r="AA611" s="54" t="s">
        <v>2361</v>
      </c>
      <c r="AB611" s="54" t="s">
        <v>2362</v>
      </c>
      <c r="AC611" s="54" t="s">
        <v>2403</v>
      </c>
      <c r="AD611" s="54">
        <v>3217110502620000</v>
      </c>
      <c r="AE611" s="54" t="s">
        <v>2660</v>
      </c>
      <c r="AF611" s="54">
        <v>1977</v>
      </c>
      <c r="AG611" s="54" t="s">
        <v>2538</v>
      </c>
      <c r="AH611" s="54" t="s">
        <v>2365</v>
      </c>
      <c r="AI611" s="54" t="s">
        <v>2366</v>
      </c>
      <c r="AJ611" s="54">
        <v>3217114803770010</v>
      </c>
      <c r="AK611" s="54"/>
      <c r="AL611" s="54"/>
      <c r="AM611" s="54" t="s">
        <v>2367</v>
      </c>
      <c r="AN611" s="54"/>
      <c r="AO611" s="54"/>
      <c r="AP611" s="54"/>
      <c r="AQ611" s="54" t="s">
        <v>8181</v>
      </c>
      <c r="AR611" s="54"/>
      <c r="AS611" s="54"/>
      <c r="AT611" s="54" t="s">
        <v>2359</v>
      </c>
      <c r="AU611" s="54"/>
      <c r="AV611" s="54">
        <v>0</v>
      </c>
      <c r="AW611" s="54"/>
      <c r="AX611" s="54" t="s">
        <v>2661</v>
      </c>
      <c r="AY611" s="54"/>
      <c r="AZ611" s="54"/>
      <c r="BA611" s="54"/>
      <c r="BB611" s="54" t="s">
        <v>2369</v>
      </c>
      <c r="BC611" s="54" t="s">
        <v>2662</v>
      </c>
      <c r="BD611" s="54" t="s">
        <v>2371</v>
      </c>
      <c r="BE611" s="54" t="s">
        <v>4593</v>
      </c>
      <c r="BF611" s="54">
        <v>1</v>
      </c>
      <c r="BG611" s="54">
        <v>-6.9668999999999999</v>
      </c>
      <c r="BH611" s="54">
        <v>107.4242</v>
      </c>
      <c r="BI611" s="54"/>
      <c r="BJ611" s="54">
        <v>49</v>
      </c>
      <c r="BK611" s="54">
        <v>150</v>
      </c>
      <c r="BL611" s="54">
        <v>0</v>
      </c>
      <c r="BM611" s="54">
        <v>0</v>
      </c>
      <c r="BN611" s="54">
        <v>0</v>
      </c>
    </row>
    <row r="612" spans="1:66" hidden="1" x14ac:dyDescent="0.3">
      <c r="A612" s="3">
        <v>606</v>
      </c>
      <c r="B612" s="3" t="s">
        <v>3869</v>
      </c>
      <c r="C612" s="3" t="s">
        <v>4323</v>
      </c>
      <c r="D612" s="3" t="s">
        <v>53</v>
      </c>
      <c r="E612" s="3">
        <v>106436478</v>
      </c>
      <c r="F612" s="3" t="s">
        <v>2377</v>
      </c>
      <c r="G612" s="157">
        <v>40426</v>
      </c>
      <c r="H612" s="3">
        <v>3217124509100000</v>
      </c>
      <c r="I612" s="3" t="s">
        <v>2353</v>
      </c>
      <c r="J612" s="3" t="s">
        <v>4723</v>
      </c>
      <c r="K612" s="3">
        <v>2</v>
      </c>
      <c r="L612" s="3">
        <v>2</v>
      </c>
      <c r="M612" s="3"/>
      <c r="N612" s="3" t="s">
        <v>2355</v>
      </c>
      <c r="O612" s="3" t="s">
        <v>2356</v>
      </c>
      <c r="P612" s="3">
        <v>40564</v>
      </c>
      <c r="Q612" s="3" t="s">
        <v>2357</v>
      </c>
      <c r="R612" s="3" t="s">
        <v>2358</v>
      </c>
      <c r="S612" s="3"/>
      <c r="T612" s="3">
        <v>87827560548</v>
      </c>
      <c r="U612" s="3"/>
      <c r="V612" s="3"/>
      <c r="W612" s="3" t="s">
        <v>2359</v>
      </c>
      <c r="X612" s="3"/>
      <c r="Y612" s="3" t="s">
        <v>2638</v>
      </c>
      <c r="Z612" s="3">
        <v>1972</v>
      </c>
      <c r="AA612" s="3" t="s">
        <v>2390</v>
      </c>
      <c r="AB612" s="3" t="s">
        <v>2362</v>
      </c>
      <c r="AC612" s="3" t="s">
        <v>2403</v>
      </c>
      <c r="AD612" s="3">
        <v>3175012010720000</v>
      </c>
      <c r="AE612" s="3" t="s">
        <v>4011</v>
      </c>
      <c r="AF612" s="3">
        <v>1974</v>
      </c>
      <c r="AG612" s="3" t="s">
        <v>2402</v>
      </c>
      <c r="AH612" s="3" t="s">
        <v>2365</v>
      </c>
      <c r="AI612" s="3" t="s">
        <v>2366</v>
      </c>
      <c r="AJ612" s="3">
        <v>3217126510740000</v>
      </c>
      <c r="AK612" s="3"/>
      <c r="AL612" s="3"/>
      <c r="AM612" s="3" t="s">
        <v>2367</v>
      </c>
      <c r="AN612" s="3"/>
      <c r="AO612" s="3"/>
      <c r="AP612" s="3"/>
      <c r="AQ612" s="3" t="s">
        <v>5150</v>
      </c>
      <c r="AR612" s="3"/>
      <c r="AS612" s="3"/>
      <c r="AT612" s="3" t="s">
        <v>2359</v>
      </c>
      <c r="AU612" s="3"/>
      <c r="AV612" s="3">
        <v>0</v>
      </c>
      <c r="AW612" s="3"/>
      <c r="AX612" s="3" t="s">
        <v>5128</v>
      </c>
      <c r="AY612" s="3"/>
      <c r="AZ612" s="3"/>
      <c r="BA612" s="3"/>
      <c r="BB612" s="3" t="s">
        <v>2369</v>
      </c>
      <c r="BC612" s="3" t="s">
        <v>2370</v>
      </c>
      <c r="BD612" s="3" t="s">
        <v>2371</v>
      </c>
      <c r="BE612" s="3" t="s">
        <v>2477</v>
      </c>
      <c r="BF612" s="3">
        <v>3</v>
      </c>
      <c r="BG612" s="3">
        <v>-6.9661</v>
      </c>
      <c r="BH612" s="3">
        <v>107.4057</v>
      </c>
      <c r="BI612" s="3">
        <v>3217122504170000</v>
      </c>
      <c r="BJ612" s="3">
        <v>41</v>
      </c>
      <c r="BK612" s="3">
        <v>142</v>
      </c>
      <c r="BL612" s="3">
        <v>51</v>
      </c>
      <c r="BM612" s="3">
        <v>1</v>
      </c>
      <c r="BN612" s="3">
        <v>3</v>
      </c>
    </row>
    <row r="613" spans="1:66" s="219" customFormat="1" hidden="1" x14ac:dyDescent="0.3">
      <c r="A613" s="54">
        <v>607</v>
      </c>
      <c r="B613" s="54" t="s">
        <v>1377</v>
      </c>
      <c r="C613" s="54" t="s">
        <v>1544</v>
      </c>
      <c r="D613" s="54" t="s">
        <v>53</v>
      </c>
      <c r="E613" s="54">
        <v>97977463</v>
      </c>
      <c r="F613" s="54" t="s">
        <v>2446</v>
      </c>
      <c r="G613" s="108">
        <v>39974</v>
      </c>
      <c r="H613" s="54">
        <v>3217125006090000</v>
      </c>
      <c r="I613" s="54" t="s">
        <v>2353</v>
      </c>
      <c r="J613" s="54" t="s">
        <v>2574</v>
      </c>
      <c r="K613" s="54">
        <v>2</v>
      </c>
      <c r="L613" s="54">
        <v>3</v>
      </c>
      <c r="M613" s="54"/>
      <c r="N613" s="54" t="s">
        <v>2513</v>
      </c>
      <c r="O613" s="54" t="s">
        <v>2356</v>
      </c>
      <c r="P613" s="54">
        <v>40562</v>
      </c>
      <c r="Q613" s="54" t="s">
        <v>2357</v>
      </c>
      <c r="R613" s="54" t="s">
        <v>2358</v>
      </c>
      <c r="S613" s="54"/>
      <c r="T613" s="54">
        <v>83120881357</v>
      </c>
      <c r="U613" s="54"/>
      <c r="V613" s="54"/>
      <c r="W613" s="54" t="s">
        <v>2359</v>
      </c>
      <c r="X613" s="54"/>
      <c r="Y613" s="54" t="s">
        <v>3672</v>
      </c>
      <c r="Z613" s="54">
        <v>1976</v>
      </c>
      <c r="AA613" s="54" t="s">
        <v>2361</v>
      </c>
      <c r="AB613" s="54" t="s">
        <v>2362</v>
      </c>
      <c r="AC613" s="54" t="s">
        <v>2363</v>
      </c>
      <c r="AD613" s="54">
        <v>3217121005720030</v>
      </c>
      <c r="AE613" s="54" t="s">
        <v>3673</v>
      </c>
      <c r="AF613" s="54">
        <v>1980</v>
      </c>
      <c r="AG613" s="54" t="s">
        <v>2402</v>
      </c>
      <c r="AH613" s="54" t="s">
        <v>2365</v>
      </c>
      <c r="AI613" s="54" t="s">
        <v>2366</v>
      </c>
      <c r="AJ613" s="54">
        <v>3217124504770020</v>
      </c>
      <c r="AK613" s="54"/>
      <c r="AL613" s="54"/>
      <c r="AM613" s="54"/>
      <c r="AN613" s="54"/>
      <c r="AO613" s="54"/>
      <c r="AP613" s="54"/>
      <c r="AQ613" s="54" t="s">
        <v>5147</v>
      </c>
      <c r="AR613" s="54"/>
      <c r="AS613" s="54"/>
      <c r="AT613" s="54" t="s">
        <v>2359</v>
      </c>
      <c r="AU613" s="54"/>
      <c r="AV613" s="54">
        <v>0</v>
      </c>
      <c r="AW613" s="54"/>
      <c r="AX613" s="54"/>
      <c r="AY613" s="54"/>
      <c r="AZ613" s="54"/>
      <c r="BA613" s="54"/>
      <c r="BB613" s="54" t="s">
        <v>2369</v>
      </c>
      <c r="BC613" s="54" t="s">
        <v>2370</v>
      </c>
      <c r="BD613" s="54" t="s">
        <v>2371</v>
      </c>
      <c r="BE613" s="54"/>
      <c r="BF613" s="54">
        <v>3</v>
      </c>
      <c r="BG613" s="54">
        <v>-7.0068000000000001</v>
      </c>
      <c r="BH613" s="54">
        <v>107.2349</v>
      </c>
      <c r="BI613" s="54">
        <v>3217121412120010</v>
      </c>
      <c r="BJ613" s="54">
        <v>13</v>
      </c>
      <c r="BK613" s="54">
        <v>124</v>
      </c>
      <c r="BL613" s="54">
        <v>53</v>
      </c>
      <c r="BM613" s="54">
        <v>3</v>
      </c>
      <c r="BN613" s="54">
        <v>1</v>
      </c>
    </row>
    <row r="614" spans="1:66" hidden="1" x14ac:dyDescent="0.3">
      <c r="A614" s="3">
        <v>608</v>
      </c>
      <c r="B614" s="3" t="s">
        <v>5129</v>
      </c>
      <c r="C614" s="3" t="s">
        <v>4389</v>
      </c>
      <c r="D614" s="3" t="s">
        <v>53</v>
      </c>
      <c r="E614" s="3">
        <v>111402408</v>
      </c>
      <c r="F614" s="3" t="s">
        <v>2373</v>
      </c>
      <c r="G614" s="157">
        <v>40754</v>
      </c>
      <c r="H614" s="3">
        <v>3217117007110000</v>
      </c>
      <c r="I614" s="3" t="s">
        <v>2353</v>
      </c>
      <c r="J614" s="3" t="s">
        <v>2565</v>
      </c>
      <c r="K614" s="3">
        <v>1</v>
      </c>
      <c r="L614" s="3">
        <v>2</v>
      </c>
      <c r="M614" s="3"/>
      <c r="N614" s="3" t="s">
        <v>2566</v>
      </c>
      <c r="O614" s="3" t="s">
        <v>2426</v>
      </c>
      <c r="P614" s="3">
        <v>40562</v>
      </c>
      <c r="Q614" s="3" t="s">
        <v>2357</v>
      </c>
      <c r="R614" s="3" t="s">
        <v>2358</v>
      </c>
      <c r="S614" s="3"/>
      <c r="T614" s="3">
        <v>83829869297</v>
      </c>
      <c r="U614" s="3"/>
      <c r="V614" s="3"/>
      <c r="W614" s="3" t="s">
        <v>2369</v>
      </c>
      <c r="X614" s="3">
        <v>122000105691543</v>
      </c>
      <c r="Y614" s="3" t="s">
        <v>5130</v>
      </c>
      <c r="Z614" s="3">
        <v>1980</v>
      </c>
      <c r="AA614" s="3" t="s">
        <v>2390</v>
      </c>
      <c r="AB614" s="3" t="s">
        <v>2362</v>
      </c>
      <c r="AC614" s="3" t="s">
        <v>2363</v>
      </c>
      <c r="AD614" s="3">
        <v>3217111005800010</v>
      </c>
      <c r="AE614" s="3" t="s">
        <v>5131</v>
      </c>
      <c r="AF614" s="3">
        <v>1995</v>
      </c>
      <c r="AG614" s="3" t="s">
        <v>2402</v>
      </c>
      <c r="AH614" s="3" t="s">
        <v>2365</v>
      </c>
      <c r="AI614" s="3" t="s">
        <v>2366</v>
      </c>
      <c r="AJ614" s="3">
        <v>3217116104950000</v>
      </c>
      <c r="AK614" s="3"/>
      <c r="AL614" s="3"/>
      <c r="AM614" s="3" t="s">
        <v>2367</v>
      </c>
      <c r="AN614" s="3"/>
      <c r="AO614" s="3"/>
      <c r="AP614" s="3"/>
      <c r="AQ614" s="3" t="s">
        <v>5151</v>
      </c>
      <c r="AR614" s="3"/>
      <c r="AS614" s="3"/>
      <c r="AT614" s="3" t="s">
        <v>2359</v>
      </c>
      <c r="AU614" s="3"/>
      <c r="AV614" s="3">
        <v>0</v>
      </c>
      <c r="AW614" s="3"/>
      <c r="AX614" s="3" t="s">
        <v>4057</v>
      </c>
      <c r="AY614" s="3"/>
      <c r="AZ614" s="3"/>
      <c r="BA614" s="3"/>
      <c r="BB614" s="3" t="s">
        <v>2359</v>
      </c>
      <c r="BC614" s="3"/>
      <c r="BD614" s="3" t="s">
        <v>2371</v>
      </c>
      <c r="BE614" s="3" t="s">
        <v>4593</v>
      </c>
      <c r="BF614" s="3">
        <v>1</v>
      </c>
      <c r="BG614" s="3">
        <v>-6.9668999999999999</v>
      </c>
      <c r="BH614" s="3">
        <v>107.4242</v>
      </c>
      <c r="BI614" s="3"/>
      <c r="BJ614" s="3">
        <v>38</v>
      </c>
      <c r="BK614" s="3">
        <v>133</v>
      </c>
      <c r="BL614" s="3">
        <v>49</v>
      </c>
      <c r="BM614" s="3">
        <v>1</v>
      </c>
      <c r="BN614" s="3">
        <v>2</v>
      </c>
    </row>
    <row r="615" spans="1:66" hidden="1" x14ac:dyDescent="0.3">
      <c r="A615" s="3">
        <v>609</v>
      </c>
      <c r="B615" s="3" t="s">
        <v>3870</v>
      </c>
      <c r="C615" s="3" t="s">
        <v>4324</v>
      </c>
      <c r="D615" s="3" t="s">
        <v>53</v>
      </c>
      <c r="E615" s="3">
        <v>94743145</v>
      </c>
      <c r="F615" s="3" t="s">
        <v>2377</v>
      </c>
      <c r="G615" s="157">
        <v>40177</v>
      </c>
      <c r="H615" s="3">
        <v>3217127012090000</v>
      </c>
      <c r="I615" s="3" t="s">
        <v>2353</v>
      </c>
      <c r="J615" s="3" t="s">
        <v>5132</v>
      </c>
      <c r="K615" s="3">
        <v>1</v>
      </c>
      <c r="L615" s="3">
        <v>8</v>
      </c>
      <c r="M615" s="3" t="s">
        <v>5132</v>
      </c>
      <c r="N615" s="3" t="s">
        <v>4527</v>
      </c>
      <c r="O615" s="3" t="s">
        <v>2356</v>
      </c>
      <c r="P615" s="3">
        <v>40764</v>
      </c>
      <c r="Q615" s="3" t="s">
        <v>2357</v>
      </c>
      <c r="R615" s="3" t="s">
        <v>2358</v>
      </c>
      <c r="S615" s="3"/>
      <c r="T615" s="3">
        <v>83829468902</v>
      </c>
      <c r="U615" s="3"/>
      <c r="V615" s="3"/>
      <c r="W615" s="3" t="s">
        <v>2359</v>
      </c>
      <c r="X615" s="3"/>
      <c r="Y615" s="3" t="s">
        <v>3985</v>
      </c>
      <c r="Z615" s="3">
        <v>1973</v>
      </c>
      <c r="AA615" s="3" t="s">
        <v>2402</v>
      </c>
      <c r="AB615" s="3" t="s">
        <v>2362</v>
      </c>
      <c r="AC615" s="3" t="s">
        <v>2363</v>
      </c>
      <c r="AD615" s="3">
        <v>3217122004730010</v>
      </c>
      <c r="AE615" s="3" t="s">
        <v>5133</v>
      </c>
      <c r="AF615" s="3">
        <v>1980</v>
      </c>
      <c r="AG615" s="3" t="s">
        <v>2402</v>
      </c>
      <c r="AH615" s="3" t="s">
        <v>2365</v>
      </c>
      <c r="AI615" s="3" t="s">
        <v>2366</v>
      </c>
      <c r="AJ615" s="3">
        <v>3217126101800000</v>
      </c>
      <c r="AK615" s="3"/>
      <c r="AL615" s="3"/>
      <c r="AM615" s="3" t="s">
        <v>2367</v>
      </c>
      <c r="AN615" s="3"/>
      <c r="AO615" s="3"/>
      <c r="AP615" s="3"/>
      <c r="AQ615" s="3" t="s">
        <v>5150</v>
      </c>
      <c r="AR615" s="3"/>
      <c r="AS615" s="3"/>
      <c r="AT615" s="3" t="s">
        <v>2369</v>
      </c>
      <c r="AU615" s="3"/>
      <c r="AV615" s="3">
        <v>0</v>
      </c>
      <c r="AW615" s="3"/>
      <c r="AX615" s="3" t="s">
        <v>3984</v>
      </c>
      <c r="AY615" s="3"/>
      <c r="AZ615" s="3"/>
      <c r="BA615" s="3"/>
      <c r="BB615" s="3" t="s">
        <v>2369</v>
      </c>
      <c r="BC615" s="3"/>
      <c r="BD615" s="3" t="s">
        <v>2371</v>
      </c>
      <c r="BE615" s="3" t="s">
        <v>2937</v>
      </c>
      <c r="BF615" s="3">
        <v>2</v>
      </c>
      <c r="BG615" s="3">
        <v>-6.9486999999999997</v>
      </c>
      <c r="BH615" s="3">
        <v>107.3831</v>
      </c>
      <c r="BI615" s="3">
        <v>3217122606120050</v>
      </c>
      <c r="BJ615" s="3">
        <v>39</v>
      </c>
      <c r="BK615" s="3">
        <v>140</v>
      </c>
      <c r="BL615" s="3">
        <v>48</v>
      </c>
      <c r="BM615" s="3">
        <v>1</v>
      </c>
      <c r="BN615" s="3">
        <v>1</v>
      </c>
    </row>
    <row r="616" spans="1:66" s="219" customFormat="1" hidden="1" x14ac:dyDescent="0.3">
      <c r="A616" s="54">
        <v>610</v>
      </c>
      <c r="B616" s="54" t="s">
        <v>1754</v>
      </c>
      <c r="C616" s="54" t="s">
        <v>2278</v>
      </c>
      <c r="D616" s="54" t="s">
        <v>53</v>
      </c>
      <c r="E616" s="54">
        <v>3096457515</v>
      </c>
      <c r="F616" s="54" t="s">
        <v>2373</v>
      </c>
      <c r="G616" s="108">
        <v>40007</v>
      </c>
      <c r="H616" s="54">
        <v>3217115307090000</v>
      </c>
      <c r="I616" s="54" t="s">
        <v>2353</v>
      </c>
      <c r="J616" s="54" t="s">
        <v>2616</v>
      </c>
      <c r="K616" s="54">
        <v>5</v>
      </c>
      <c r="L616" s="54">
        <v>7</v>
      </c>
      <c r="M616" s="54"/>
      <c r="N616" s="54" t="s">
        <v>2617</v>
      </c>
      <c r="O616" s="54" t="s">
        <v>2426</v>
      </c>
      <c r="P616" s="54">
        <v>40562</v>
      </c>
      <c r="Q616" s="54" t="s">
        <v>2357</v>
      </c>
      <c r="R616" s="54" t="s">
        <v>2358</v>
      </c>
      <c r="S616" s="54"/>
      <c r="T616" s="54"/>
      <c r="U616" s="54"/>
      <c r="V616" s="54"/>
      <c r="W616" s="54" t="s">
        <v>2359</v>
      </c>
      <c r="X616" s="54"/>
      <c r="Y616" s="54"/>
      <c r="Z616" s="54">
        <v>0</v>
      </c>
      <c r="AA616" s="54"/>
      <c r="AB616" s="54" t="s">
        <v>2362</v>
      </c>
      <c r="AC616" s="54" t="s">
        <v>2375</v>
      </c>
      <c r="AD616" s="54"/>
      <c r="AE616" s="54" t="s">
        <v>2861</v>
      </c>
      <c r="AF616" s="54">
        <v>0</v>
      </c>
      <c r="AG616" s="54"/>
      <c r="AH616" s="54" t="s">
        <v>2365</v>
      </c>
      <c r="AI616" s="54" t="s">
        <v>2366</v>
      </c>
      <c r="AJ616" s="54"/>
      <c r="AK616" s="54"/>
      <c r="AL616" s="54"/>
      <c r="AM616" s="54"/>
      <c r="AN616" s="54"/>
      <c r="AO616" s="54"/>
      <c r="AP616" s="54"/>
      <c r="AQ616" s="54" t="s">
        <v>8182</v>
      </c>
      <c r="AR616" s="54"/>
      <c r="AS616" s="54"/>
      <c r="AT616" s="54" t="s">
        <v>2359</v>
      </c>
      <c r="AU616" s="54"/>
      <c r="AV616" s="54">
        <v>1</v>
      </c>
      <c r="AW616" s="54"/>
      <c r="AX616" s="54"/>
      <c r="AY616" s="54"/>
      <c r="AZ616" s="54"/>
      <c r="BA616" s="54"/>
      <c r="BB616" s="54" t="s">
        <v>2359</v>
      </c>
      <c r="BC616" s="54"/>
      <c r="BD616" s="54" t="s">
        <v>2371</v>
      </c>
      <c r="BE616" s="54" t="s">
        <v>2376</v>
      </c>
      <c r="BF616" s="54">
        <v>1</v>
      </c>
      <c r="BG616" s="54">
        <v>-6.9625000000000004</v>
      </c>
      <c r="BH616" s="54">
        <v>107.4346</v>
      </c>
      <c r="BI616" s="54"/>
      <c r="BJ616" s="54">
        <v>41</v>
      </c>
      <c r="BK616" s="54">
        <v>138</v>
      </c>
      <c r="BL616" s="54">
        <v>58</v>
      </c>
      <c r="BM616" s="54">
        <v>1</v>
      </c>
      <c r="BN616" s="54">
        <v>2</v>
      </c>
    </row>
    <row r="617" spans="1:66" hidden="1" x14ac:dyDescent="0.3">
      <c r="A617" s="3">
        <v>611</v>
      </c>
      <c r="B617" s="3" t="s">
        <v>3811</v>
      </c>
      <c r="C617" s="3" t="s">
        <v>4258</v>
      </c>
      <c r="D617" s="3" t="s">
        <v>53</v>
      </c>
      <c r="E617" s="3">
        <v>3102589582</v>
      </c>
      <c r="F617" s="3" t="s">
        <v>2352</v>
      </c>
      <c r="G617" s="157">
        <v>40523</v>
      </c>
      <c r="H617" s="3">
        <v>3273145112100000</v>
      </c>
      <c r="I617" s="3" t="s">
        <v>2353</v>
      </c>
      <c r="J617" s="3" t="s">
        <v>2616</v>
      </c>
      <c r="K617" s="3">
        <v>3</v>
      </c>
      <c r="L617" s="3">
        <v>11</v>
      </c>
      <c r="M617" s="3"/>
      <c r="N617" s="3" t="s">
        <v>4508</v>
      </c>
      <c r="O617" s="3" t="s">
        <v>2426</v>
      </c>
      <c r="P617" s="3">
        <v>40562</v>
      </c>
      <c r="Q617" s="3" t="s">
        <v>2357</v>
      </c>
      <c r="R617" s="3" t="s">
        <v>2358</v>
      </c>
      <c r="S617" s="3"/>
      <c r="T617" s="3"/>
      <c r="U617" s="3"/>
      <c r="V617" s="3"/>
      <c r="W617" s="3" t="s">
        <v>2359</v>
      </c>
      <c r="X617" s="3"/>
      <c r="Y617" s="3" t="s">
        <v>5134</v>
      </c>
      <c r="Z617" s="3">
        <v>1983</v>
      </c>
      <c r="AA617" s="3" t="s">
        <v>2390</v>
      </c>
      <c r="AB617" s="3" t="s">
        <v>2362</v>
      </c>
      <c r="AC617" s="3" t="s">
        <v>2363</v>
      </c>
      <c r="AD617" s="3">
        <v>3217314200383000</v>
      </c>
      <c r="AE617" s="3" t="s">
        <v>4136</v>
      </c>
      <c r="AF617" s="3">
        <v>1990</v>
      </c>
      <c r="AG617" s="3" t="s">
        <v>2390</v>
      </c>
      <c r="AH617" s="3" t="s">
        <v>2365</v>
      </c>
      <c r="AI617" s="3" t="s">
        <v>2366</v>
      </c>
      <c r="AJ617" s="3">
        <v>3273144404900000</v>
      </c>
      <c r="AK617" s="3"/>
      <c r="AL617" s="3"/>
      <c r="AM617" s="3"/>
      <c r="AN617" s="3"/>
      <c r="AO617" s="3"/>
      <c r="AP617" s="3"/>
      <c r="AQ617" s="3" t="s">
        <v>5146</v>
      </c>
      <c r="AR617" s="3"/>
      <c r="AS617" s="3"/>
      <c r="AT617" s="3" t="s">
        <v>2369</v>
      </c>
      <c r="AU617" s="3"/>
      <c r="AV617" s="3">
        <v>1</v>
      </c>
      <c r="AW617" s="3"/>
      <c r="AX617" s="3" t="s">
        <v>4135</v>
      </c>
      <c r="AY617" s="3"/>
      <c r="AZ617" s="3"/>
      <c r="BA617" s="3"/>
      <c r="BB617" s="3" t="s">
        <v>2369</v>
      </c>
      <c r="BC617" s="3"/>
      <c r="BD617" s="3" t="s">
        <v>2371</v>
      </c>
      <c r="BE617" s="3" t="s">
        <v>2669</v>
      </c>
      <c r="BF617" s="3">
        <v>1</v>
      </c>
      <c r="BG617" s="3">
        <v>-6.9625000000000004</v>
      </c>
      <c r="BH617" s="3">
        <v>107.4346</v>
      </c>
      <c r="BI617" s="3">
        <v>3217112111160000</v>
      </c>
      <c r="BJ617" s="3">
        <v>42</v>
      </c>
      <c r="BK617" s="3">
        <v>133</v>
      </c>
      <c r="BL617" s="3">
        <v>52</v>
      </c>
      <c r="BM617" s="3">
        <v>1</v>
      </c>
      <c r="BN617" s="3">
        <v>2</v>
      </c>
    </row>
    <row r="618" spans="1:66" s="219" customFormat="1" hidden="1" x14ac:dyDescent="0.3">
      <c r="A618" s="54">
        <v>612</v>
      </c>
      <c r="B618" s="54" t="s">
        <v>1743</v>
      </c>
      <c r="C618" s="54" t="s">
        <v>2251</v>
      </c>
      <c r="D618" s="54" t="s">
        <v>53</v>
      </c>
      <c r="E618" s="54">
        <v>103145731</v>
      </c>
      <c r="F618" s="54" t="s">
        <v>2377</v>
      </c>
      <c r="G618" s="108">
        <v>40541</v>
      </c>
      <c r="H618" s="54">
        <v>3217126912100000</v>
      </c>
      <c r="I618" s="54" t="s">
        <v>2353</v>
      </c>
      <c r="J618" s="54" t="s">
        <v>3006</v>
      </c>
      <c r="K618" s="54">
        <v>2</v>
      </c>
      <c r="L618" s="54">
        <v>7</v>
      </c>
      <c r="M618" s="54"/>
      <c r="N618" s="54" t="s">
        <v>2438</v>
      </c>
      <c r="O618" s="54" t="s">
        <v>2356</v>
      </c>
      <c r="P618" s="54">
        <v>40564</v>
      </c>
      <c r="Q618" s="54" t="s">
        <v>2357</v>
      </c>
      <c r="R618" s="54" t="s">
        <v>2358</v>
      </c>
      <c r="S618" s="54"/>
      <c r="T618" s="54">
        <v>83829353760</v>
      </c>
      <c r="U618" s="54"/>
      <c r="V618" s="54"/>
      <c r="W618" s="54" t="s">
        <v>2359</v>
      </c>
      <c r="X618" s="54"/>
      <c r="Y618" s="54" t="s">
        <v>3007</v>
      </c>
      <c r="Z618" s="54">
        <v>1972</v>
      </c>
      <c r="AA618" s="54" t="s">
        <v>2402</v>
      </c>
      <c r="AB618" s="54" t="s">
        <v>2362</v>
      </c>
      <c r="AC618" s="54" t="s">
        <v>2403</v>
      </c>
      <c r="AD618" s="54">
        <v>3217120206720010</v>
      </c>
      <c r="AE618" s="54" t="s">
        <v>3008</v>
      </c>
      <c r="AF618" s="54">
        <v>1981</v>
      </c>
      <c r="AG618" s="54" t="s">
        <v>2402</v>
      </c>
      <c r="AH618" s="54" t="s">
        <v>2365</v>
      </c>
      <c r="AI618" s="54" t="s">
        <v>2366</v>
      </c>
      <c r="AJ618" s="54">
        <v>3217124705810020</v>
      </c>
      <c r="AK618" s="54"/>
      <c r="AL618" s="54"/>
      <c r="AM618" s="54" t="s">
        <v>2367</v>
      </c>
      <c r="AN618" s="54"/>
      <c r="AO618" s="54"/>
      <c r="AP618" s="54"/>
      <c r="AQ618" s="54" t="s">
        <v>8178</v>
      </c>
      <c r="AR618" s="54"/>
      <c r="AS618" s="54"/>
      <c r="AT618" s="54" t="s">
        <v>2359</v>
      </c>
      <c r="AU618" s="54"/>
      <c r="AV618" s="54">
        <v>0</v>
      </c>
      <c r="AW618" s="54"/>
      <c r="AX618" s="54" t="s">
        <v>3009</v>
      </c>
      <c r="AY618" s="54"/>
      <c r="AZ618" s="54"/>
      <c r="BA618" s="54"/>
      <c r="BB618" s="54" t="s">
        <v>2369</v>
      </c>
      <c r="BC618" s="54" t="s">
        <v>2370</v>
      </c>
      <c r="BD618" s="54" t="s">
        <v>2371</v>
      </c>
      <c r="BE618" s="54" t="s">
        <v>2880</v>
      </c>
      <c r="BF618" s="54">
        <v>2</v>
      </c>
      <c r="BG618" s="54">
        <v>-6.9526477350000002</v>
      </c>
      <c r="BH618" s="54">
        <v>107.3979449</v>
      </c>
      <c r="BI618" s="54"/>
      <c r="BJ618" s="54">
        <v>42</v>
      </c>
      <c r="BK618" s="54">
        <v>137</v>
      </c>
      <c r="BL618" s="54">
        <v>0</v>
      </c>
      <c r="BM618" s="54">
        <v>0</v>
      </c>
      <c r="BN618" s="54">
        <v>0</v>
      </c>
    </row>
    <row r="619" spans="1:66" x14ac:dyDescent="0.3">
      <c r="A619" s="3">
        <v>613</v>
      </c>
      <c r="B619" s="3" t="s">
        <v>3959</v>
      </c>
      <c r="C619" s="3" t="s">
        <v>4420</v>
      </c>
      <c r="D619" s="3" t="s">
        <v>53</v>
      </c>
      <c r="E619" s="3">
        <v>112011122</v>
      </c>
      <c r="F619" s="3" t="s">
        <v>2373</v>
      </c>
      <c r="G619" s="157">
        <v>40845</v>
      </c>
      <c r="H619" s="3">
        <v>3217116910110000</v>
      </c>
      <c r="I619" s="3" t="s">
        <v>2353</v>
      </c>
      <c r="J619" s="3" t="s">
        <v>4511</v>
      </c>
      <c r="K619" s="3">
        <v>1</v>
      </c>
      <c r="L619" s="3">
        <v>1</v>
      </c>
      <c r="M619" s="3"/>
      <c r="N619" s="3" t="s">
        <v>3105</v>
      </c>
      <c r="O619" s="3" t="s">
        <v>2426</v>
      </c>
      <c r="P619" s="3"/>
      <c r="Q619" s="3" t="s">
        <v>2357</v>
      </c>
      <c r="R619" s="3" t="s">
        <v>2358</v>
      </c>
      <c r="S619" s="3"/>
      <c r="T619" s="3">
        <v>83878937700</v>
      </c>
      <c r="U619" s="3"/>
      <c r="V619" s="3"/>
      <c r="W619" s="3" t="s">
        <v>2359</v>
      </c>
      <c r="X619" s="3"/>
      <c r="Y619" s="3" t="s">
        <v>4073</v>
      </c>
      <c r="Z619" s="3">
        <v>1975</v>
      </c>
      <c r="AA619" s="3" t="s">
        <v>2367</v>
      </c>
      <c r="AB619" s="3" t="s">
        <v>2362</v>
      </c>
      <c r="AC619" s="3" t="s">
        <v>2403</v>
      </c>
      <c r="AD619" s="3"/>
      <c r="AE619" s="3" t="s">
        <v>4074</v>
      </c>
      <c r="AF619" s="3">
        <v>1980</v>
      </c>
      <c r="AG619" s="3" t="s">
        <v>2367</v>
      </c>
      <c r="AH619" s="3" t="s">
        <v>2365</v>
      </c>
      <c r="AI619" s="3" t="s">
        <v>2366</v>
      </c>
      <c r="AJ619" s="3"/>
      <c r="AK619" s="3"/>
      <c r="AL619" s="3"/>
      <c r="AM619" s="3" t="s">
        <v>2367</v>
      </c>
      <c r="AN619" s="3"/>
      <c r="AO619" s="3"/>
      <c r="AP619" s="3"/>
      <c r="AQ619" s="3" t="s">
        <v>5148</v>
      </c>
      <c r="AR619" s="3"/>
      <c r="AS619" s="3"/>
      <c r="AT619" s="3" t="s">
        <v>2359</v>
      </c>
      <c r="AU619" s="3"/>
      <c r="AV619" s="3">
        <v>0</v>
      </c>
      <c r="AW619" s="3"/>
      <c r="AX619" s="3"/>
      <c r="AY619" s="3"/>
      <c r="AZ619" s="3"/>
      <c r="BA619" s="3"/>
      <c r="BB619" s="3" t="s">
        <v>2369</v>
      </c>
      <c r="BC619" s="3" t="s">
        <v>2370</v>
      </c>
      <c r="BD619" s="3" t="s">
        <v>2371</v>
      </c>
      <c r="BE619" s="3" t="s">
        <v>2691</v>
      </c>
      <c r="BF619" s="3">
        <v>1</v>
      </c>
      <c r="BG619" s="3">
        <v>0</v>
      </c>
      <c r="BH619" s="3">
        <v>0</v>
      </c>
      <c r="BI619" s="3"/>
      <c r="BJ619" s="3">
        <v>25</v>
      </c>
      <c r="BK619" s="3">
        <v>128</v>
      </c>
      <c r="BL619" s="3">
        <v>0</v>
      </c>
      <c r="BM619" s="3">
        <v>0</v>
      </c>
      <c r="BN619" s="3">
        <v>1</v>
      </c>
    </row>
    <row r="620" spans="1:66" s="219" customFormat="1" hidden="1" x14ac:dyDescent="0.3">
      <c r="A620" s="54">
        <v>614</v>
      </c>
      <c r="B620" s="54" t="s">
        <v>1635</v>
      </c>
      <c r="C620" s="54" t="s">
        <v>3785</v>
      </c>
      <c r="D620" s="54" t="s">
        <v>53</v>
      </c>
      <c r="E620" s="54">
        <v>85313334</v>
      </c>
      <c r="F620" s="54" t="s">
        <v>2446</v>
      </c>
      <c r="G620" s="108">
        <v>39741</v>
      </c>
      <c r="H620" s="54">
        <v>3217126010080000</v>
      </c>
      <c r="I620" s="54" t="s">
        <v>2353</v>
      </c>
      <c r="J620" s="54" t="s">
        <v>2418</v>
      </c>
      <c r="K620" s="54">
        <v>1</v>
      </c>
      <c r="L620" s="54">
        <v>5</v>
      </c>
      <c r="M620" s="54"/>
      <c r="N620" s="54" t="s">
        <v>2409</v>
      </c>
      <c r="O620" s="54" t="s">
        <v>2356</v>
      </c>
      <c r="P620" s="54">
        <v>40564</v>
      </c>
      <c r="Q620" s="54" t="s">
        <v>2357</v>
      </c>
      <c r="R620" s="54" t="s">
        <v>2358</v>
      </c>
      <c r="S620" s="54"/>
      <c r="T620" s="54">
        <v>83120897032</v>
      </c>
      <c r="U620" s="54"/>
      <c r="V620" s="54"/>
      <c r="W620" s="54" t="s">
        <v>2359</v>
      </c>
      <c r="X620" s="54"/>
      <c r="Y620" s="54" t="s">
        <v>3211</v>
      </c>
      <c r="Z620" s="54">
        <v>1980</v>
      </c>
      <c r="AA620" s="54" t="s">
        <v>2390</v>
      </c>
      <c r="AB620" s="54" t="s">
        <v>2362</v>
      </c>
      <c r="AC620" s="54" t="s">
        <v>2403</v>
      </c>
      <c r="AD620" s="54"/>
      <c r="AE620" s="54" t="s">
        <v>3212</v>
      </c>
      <c r="AF620" s="54">
        <v>1985</v>
      </c>
      <c r="AG620" s="54" t="s">
        <v>2402</v>
      </c>
      <c r="AH620" s="54" t="s">
        <v>2365</v>
      </c>
      <c r="AI620" s="54" t="s">
        <v>2366</v>
      </c>
      <c r="AJ620" s="54"/>
      <c r="AK620" s="54"/>
      <c r="AL620" s="54"/>
      <c r="AM620" s="54"/>
      <c r="AN620" s="54"/>
      <c r="AO620" s="54"/>
      <c r="AP620" s="54"/>
      <c r="AQ620" s="54" t="s">
        <v>5147</v>
      </c>
      <c r="AR620" s="54"/>
      <c r="AS620" s="54"/>
      <c r="AT620" s="54" t="s">
        <v>2359</v>
      </c>
      <c r="AU620" s="54"/>
      <c r="AV620" s="54">
        <v>0</v>
      </c>
      <c r="AW620" s="54"/>
      <c r="AX620" s="54"/>
      <c r="AY620" s="54"/>
      <c r="AZ620" s="54"/>
      <c r="BA620" s="54"/>
      <c r="BB620" s="54" t="s">
        <v>2369</v>
      </c>
      <c r="BC620" s="54" t="s">
        <v>2370</v>
      </c>
      <c r="BD620" s="54" t="s">
        <v>2371</v>
      </c>
      <c r="BE620" s="54"/>
      <c r="BF620" s="54">
        <v>1</v>
      </c>
      <c r="BG620" s="54">
        <v>-6.9554</v>
      </c>
      <c r="BH620" s="54">
        <v>107.39319999999999</v>
      </c>
      <c r="BI620" s="54"/>
      <c r="BJ620" s="54">
        <v>39</v>
      </c>
      <c r="BK620" s="54">
        <v>139</v>
      </c>
      <c r="BL620" s="54">
        <v>54</v>
      </c>
      <c r="BM620" s="54">
        <v>2</v>
      </c>
      <c r="BN620" s="54">
        <v>1</v>
      </c>
    </row>
    <row r="621" spans="1:66" hidden="1" x14ac:dyDescent="0.3">
      <c r="A621" s="3">
        <v>615</v>
      </c>
      <c r="B621" s="3" t="s">
        <v>5135</v>
      </c>
      <c r="C621" s="3" t="s">
        <v>4259</v>
      </c>
      <c r="D621" s="3" t="s">
        <v>53</v>
      </c>
      <c r="E621" s="3">
        <v>113184962</v>
      </c>
      <c r="F621" s="3" t="s">
        <v>2373</v>
      </c>
      <c r="G621" s="157">
        <v>40743</v>
      </c>
      <c r="H621" s="3">
        <v>3217145907110000</v>
      </c>
      <c r="I621" s="3" t="s">
        <v>2353</v>
      </c>
      <c r="J621" s="3" t="s">
        <v>5136</v>
      </c>
      <c r="K621" s="3">
        <v>1</v>
      </c>
      <c r="L621" s="3">
        <v>9</v>
      </c>
      <c r="M621" s="3" t="s">
        <v>5137</v>
      </c>
      <c r="N621" s="3" t="s">
        <v>5138</v>
      </c>
      <c r="O621" s="3" t="s">
        <v>3065</v>
      </c>
      <c r="P621" s="3">
        <v>40563</v>
      </c>
      <c r="Q621" s="3" t="s">
        <v>2357</v>
      </c>
      <c r="R621" s="3" t="s">
        <v>2358</v>
      </c>
      <c r="S621" s="3"/>
      <c r="T621" s="3">
        <v>83150513657</v>
      </c>
      <c r="U621" s="3"/>
      <c r="V621" s="3"/>
      <c r="W621" s="3" t="s">
        <v>2359</v>
      </c>
      <c r="X621" s="3"/>
      <c r="Y621" s="3" t="s">
        <v>5139</v>
      </c>
      <c r="Z621" s="3">
        <v>1967</v>
      </c>
      <c r="AA621" s="3" t="s">
        <v>2390</v>
      </c>
      <c r="AB621" s="3" t="s">
        <v>2362</v>
      </c>
      <c r="AC621" s="3" t="s">
        <v>2363</v>
      </c>
      <c r="AD621" s="3">
        <v>3217141707670000</v>
      </c>
      <c r="AE621" s="3" t="s">
        <v>5140</v>
      </c>
      <c r="AF621" s="3">
        <v>1976</v>
      </c>
      <c r="AG621" s="3" t="s">
        <v>2390</v>
      </c>
      <c r="AH621" s="3" t="s">
        <v>2365</v>
      </c>
      <c r="AI621" s="3" t="s">
        <v>2366</v>
      </c>
      <c r="AJ621" s="3">
        <v>3217145606760000</v>
      </c>
      <c r="AK621" s="3"/>
      <c r="AL621" s="3"/>
      <c r="AM621" s="3" t="s">
        <v>2367</v>
      </c>
      <c r="AN621" s="3"/>
      <c r="AO621" s="3"/>
      <c r="AP621" s="3"/>
      <c r="AQ621" s="3" t="s">
        <v>5146</v>
      </c>
      <c r="AR621" s="3"/>
      <c r="AS621" s="3"/>
      <c r="AT621" s="3" t="s">
        <v>2359</v>
      </c>
      <c r="AU621" s="3"/>
      <c r="AV621" s="3">
        <v>0</v>
      </c>
      <c r="AW621" s="3"/>
      <c r="AX621" s="3" t="s">
        <v>5141</v>
      </c>
      <c r="AY621" s="3"/>
      <c r="AZ621" s="3"/>
      <c r="BA621" s="3"/>
      <c r="BB621" s="3" t="s">
        <v>2369</v>
      </c>
      <c r="BC621" s="3" t="s">
        <v>2370</v>
      </c>
      <c r="BD621" s="3" t="s">
        <v>2371</v>
      </c>
      <c r="BE621" s="3" t="s">
        <v>5142</v>
      </c>
      <c r="BF621" s="3">
        <v>4</v>
      </c>
      <c r="BG621" s="3">
        <v>-6.9824027290000004</v>
      </c>
      <c r="BH621" s="3">
        <v>107.43315699999999</v>
      </c>
      <c r="BI621" s="3"/>
      <c r="BJ621" s="3">
        <v>41</v>
      </c>
      <c r="BK621" s="3">
        <v>139</v>
      </c>
      <c r="BL621" s="3">
        <v>49</v>
      </c>
      <c r="BM621" s="3">
        <v>1</v>
      </c>
      <c r="BN621" s="3">
        <v>2</v>
      </c>
    </row>
    <row r="622" spans="1:66" hidden="1" x14ac:dyDescent="0.3">
      <c r="A622" s="3">
        <v>616</v>
      </c>
      <c r="B622" s="3" t="s">
        <v>5143</v>
      </c>
      <c r="C622" s="3" t="s">
        <v>5144</v>
      </c>
      <c r="D622" s="3" t="s">
        <v>52</v>
      </c>
      <c r="E622" s="168" t="s">
        <v>5153</v>
      </c>
      <c r="F622" s="3" t="s">
        <v>2352</v>
      </c>
      <c r="G622" s="157">
        <v>40399</v>
      </c>
      <c r="H622" s="168" t="s">
        <v>5154</v>
      </c>
      <c r="I622" s="3" t="s">
        <v>2353</v>
      </c>
      <c r="J622" s="3" t="s">
        <v>5155</v>
      </c>
      <c r="K622" s="168" t="s">
        <v>5156</v>
      </c>
      <c r="L622" s="168" t="s">
        <v>5157</v>
      </c>
      <c r="M622" s="3"/>
      <c r="N622" s="3" t="s">
        <v>5158</v>
      </c>
      <c r="O622" s="3" t="s">
        <v>5159</v>
      </c>
      <c r="P622" s="3"/>
      <c r="Q622" s="3"/>
      <c r="R622" s="3"/>
      <c r="S622" s="3"/>
      <c r="T622" s="3"/>
      <c r="U622" s="3"/>
      <c r="V622" s="3"/>
      <c r="W622" s="3"/>
      <c r="X622" s="3"/>
      <c r="Y622" s="3" t="s">
        <v>5160</v>
      </c>
      <c r="Z622" s="3"/>
      <c r="AA622" s="3"/>
      <c r="AB622" s="3"/>
      <c r="AC622" s="3"/>
      <c r="AD622" s="3"/>
      <c r="AE622" s="3" t="s">
        <v>5161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 t="s">
        <v>5146</v>
      </c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</row>
  </sheetData>
  <autoFilter ref="A1:BN622" xr:uid="{FA2F8E06-85DA-441A-AF74-39EBF5329406}">
    <filterColumn colId="42">
      <filters>
        <filter val="Kelas 8F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80F9-CB89-49FC-B950-2663D2BA0DC0}">
  <dimension ref="A1:AJ57"/>
  <sheetViews>
    <sheetView tabSelected="1" view="pageLayout" topLeftCell="A32" zoomScaleNormal="100" workbookViewId="0">
      <selection activeCell="A7" sqref="A7:D47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8190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8199</v>
      </c>
      <c r="C7" s="174" t="s">
        <v>8444</v>
      </c>
      <c r="D7" s="48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3" t="s">
        <v>8219</v>
      </c>
      <c r="C8" s="174" t="s">
        <v>8445</v>
      </c>
      <c r="D8" s="48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3" t="s">
        <v>8191</v>
      </c>
      <c r="C9" s="174" t="s">
        <v>8446</v>
      </c>
      <c r="D9" s="48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8223</v>
      </c>
      <c r="C10" s="174" t="s">
        <v>8447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3" t="s">
        <v>8192</v>
      </c>
      <c r="C11" s="174" t="s">
        <v>8448</v>
      </c>
      <c r="D11" s="48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8227</v>
      </c>
      <c r="C12" s="174" t="s">
        <v>8449</v>
      </c>
      <c r="D12" s="50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85" t="s">
        <v>8193</v>
      </c>
      <c r="C13" s="174" t="s">
        <v>8450</v>
      </c>
      <c r="D13" s="170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8213</v>
      </c>
      <c r="C14" s="174" t="s">
        <v>8451</v>
      </c>
      <c r="D14" s="48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8202</v>
      </c>
      <c r="C15" s="174" t="s">
        <v>8452</v>
      </c>
      <c r="D15" s="170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8214</v>
      </c>
      <c r="C16" s="174" t="s">
        <v>8453</v>
      </c>
      <c r="D16" s="48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8216</v>
      </c>
      <c r="C17" s="174" t="s">
        <v>8454</v>
      </c>
      <c r="D17" s="48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73" t="s">
        <v>8198</v>
      </c>
      <c r="C18" s="174" t="s">
        <v>8455</v>
      </c>
      <c r="D18" s="48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8220</v>
      </c>
      <c r="C19" s="174" t="s">
        <v>8456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86" t="s">
        <v>8207</v>
      </c>
      <c r="C20" s="174" t="s">
        <v>8457</v>
      </c>
      <c r="D20" s="386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85" t="s">
        <v>8194</v>
      </c>
      <c r="C21" s="174" t="s">
        <v>8458</v>
      </c>
      <c r="D21" s="48" t="s">
        <v>52</v>
      </c>
      <c r="E21" s="171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90" t="s">
        <v>8204</v>
      </c>
      <c r="C22" s="174" t="s">
        <v>8459</v>
      </c>
      <c r="D22" s="38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86" t="s">
        <v>1803</v>
      </c>
      <c r="C23" s="174" t="s">
        <v>8460</v>
      </c>
      <c r="D23" s="178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5" t="s">
        <v>8212</v>
      </c>
      <c r="C24" s="174" t="s">
        <v>8461</v>
      </c>
      <c r="D24" s="48" t="s">
        <v>52</v>
      </c>
      <c r="E24" s="16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3" t="s">
        <v>8196</v>
      </c>
      <c r="C25" s="174" t="s">
        <v>8462</v>
      </c>
      <c r="D25" s="48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8210</v>
      </c>
      <c r="C26" s="174" t="s">
        <v>8463</v>
      </c>
      <c r="D26" s="48" t="s">
        <v>53</v>
      </c>
      <c r="E26" s="161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9" t="s">
        <v>8206</v>
      </c>
      <c r="C27" s="174" t="s">
        <v>8464</v>
      </c>
      <c r="D27" s="50" t="s">
        <v>53</v>
      </c>
      <c r="E27" s="171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73" t="s">
        <v>8201</v>
      </c>
      <c r="C28" s="174" t="s">
        <v>8465</v>
      </c>
      <c r="D28" s="48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8228</v>
      </c>
      <c r="C29" s="174" t="s">
        <v>8466</v>
      </c>
      <c r="D29" s="48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8226</v>
      </c>
      <c r="C30" s="174" t="s">
        <v>8467</v>
      </c>
      <c r="D30" s="38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8229</v>
      </c>
      <c r="C31" s="174" t="s">
        <v>8468</v>
      </c>
      <c r="D31" s="48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8211</v>
      </c>
      <c r="C32" s="174" t="s">
        <v>8469</v>
      </c>
      <c r="D32" s="48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3" t="s">
        <v>8218</v>
      </c>
      <c r="C33" s="174" t="s">
        <v>8470</v>
      </c>
      <c r="D33" s="48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2" t="s">
        <v>8224</v>
      </c>
      <c r="C34" s="174" t="s">
        <v>8471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2" t="s">
        <v>8209</v>
      </c>
      <c r="C35" s="174" t="s">
        <v>8472</v>
      </c>
      <c r="D35" s="48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8200</v>
      </c>
      <c r="C36" s="174" t="s">
        <v>8473</v>
      </c>
      <c r="D36" s="48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8225</v>
      </c>
      <c r="C37" s="174" t="s">
        <v>8474</v>
      </c>
      <c r="D37" s="47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3" t="s">
        <v>8195</v>
      </c>
      <c r="C38" s="174" t="s">
        <v>8475</v>
      </c>
      <c r="D38" s="48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8374</v>
      </c>
      <c r="C39" s="174" t="s">
        <v>8476</v>
      </c>
      <c r="D39" s="47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8208</v>
      </c>
      <c r="C40" s="174" t="s">
        <v>8477</v>
      </c>
      <c r="D40" s="48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 t="s">
        <v>8205</v>
      </c>
      <c r="C41" s="174" t="s">
        <v>8478</v>
      </c>
      <c r="D41" s="48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2" t="s">
        <v>8203</v>
      </c>
      <c r="C42" s="174" t="s">
        <v>8479</v>
      </c>
      <c r="D42" s="48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8197</v>
      </c>
      <c r="C43" s="174" t="s">
        <v>8480</v>
      </c>
      <c r="D43" s="48" t="s">
        <v>53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2" t="s">
        <v>8215</v>
      </c>
      <c r="C44" s="174" t="s">
        <v>8481</v>
      </c>
      <c r="D44" s="48" t="s">
        <v>53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2" t="s">
        <v>8217</v>
      </c>
      <c r="C45" s="174" t="s">
        <v>8482</v>
      </c>
      <c r="D45" s="48" t="s">
        <v>53</v>
      </c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42" t="s">
        <v>8222</v>
      </c>
      <c r="C46" s="174" t="s">
        <v>8483</v>
      </c>
      <c r="D46" s="47" t="s">
        <v>53</v>
      </c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2" t="s">
        <v>8221</v>
      </c>
      <c r="C47" s="174" t="s">
        <v>8484</v>
      </c>
      <c r="D47" s="47" t="s">
        <v>53</v>
      </c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3"/>
      <c r="C48" s="174"/>
      <c r="D48" s="48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9"/>
      <c r="C49" s="174"/>
      <c r="D49" s="47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/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20</v>
      </c>
    </row>
    <row r="56" spans="1:36" x14ac:dyDescent="0.3">
      <c r="B56" s="21" t="s">
        <v>53</v>
      </c>
      <c r="C56">
        <f>COUNTIF(D7:D50,"P")</f>
        <v>21</v>
      </c>
    </row>
    <row r="57" spans="1:36" x14ac:dyDescent="0.3">
      <c r="B57" s="21" t="s">
        <v>363</v>
      </c>
      <c r="C57">
        <f>SUM(C55:C56)</f>
        <v>41</v>
      </c>
    </row>
  </sheetData>
  <sortState xmlns:xlrd2="http://schemas.microsoft.com/office/spreadsheetml/2017/richdata2" ref="B7:D47">
    <sortCondition ref="B7:B47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52083333333333337" right="0.7" top="0.75" bottom="0.75" header="0.3" footer="0.3"/>
  <pageSetup paperSize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8AF0-1CA7-42EE-86E6-08E2536B5069}">
  <dimension ref="A1:AJ57"/>
  <sheetViews>
    <sheetView view="pageLayout" zoomScaleNormal="100" workbookViewId="0">
      <selection activeCell="A7" sqref="A7:B46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8230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4" t="s">
        <v>8260</v>
      </c>
      <c r="C7" s="174" t="s">
        <v>8485</v>
      </c>
      <c r="D7" s="4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4" t="s">
        <v>8261</v>
      </c>
      <c r="C8" s="174" t="s">
        <v>8486</v>
      </c>
      <c r="D8" s="47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5" t="s">
        <v>8248</v>
      </c>
      <c r="C9" s="174" t="s">
        <v>8487</v>
      </c>
      <c r="D9" s="96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73" t="s">
        <v>8264</v>
      </c>
      <c r="C10" s="174" t="s">
        <v>8488</v>
      </c>
      <c r="D10" s="47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8256</v>
      </c>
      <c r="C11" s="174" t="s">
        <v>8489</v>
      </c>
      <c r="D11" s="47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4" t="s">
        <v>8262</v>
      </c>
      <c r="C12" s="174" t="s">
        <v>8490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5" t="s">
        <v>8250</v>
      </c>
      <c r="C13" s="174" t="s">
        <v>8491</v>
      </c>
      <c r="D13" s="96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8251</v>
      </c>
      <c r="C14" s="174" t="s">
        <v>8492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8252</v>
      </c>
      <c r="C15" s="174" t="s">
        <v>8493</v>
      </c>
      <c r="D15" s="47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4" t="s">
        <v>8263</v>
      </c>
      <c r="C16" s="174" t="s">
        <v>8494</v>
      </c>
      <c r="D16" s="4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4" t="s">
        <v>8258</v>
      </c>
      <c r="C17" s="174" t="s">
        <v>8495</v>
      </c>
      <c r="D17" s="47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4" t="s">
        <v>8259</v>
      </c>
      <c r="C18" s="174" t="s">
        <v>8496</v>
      </c>
      <c r="D18" s="4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8253</v>
      </c>
      <c r="C19" s="174" t="s">
        <v>8497</v>
      </c>
      <c r="D19" s="47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2" t="s">
        <v>8254</v>
      </c>
      <c r="C20" s="174" t="s">
        <v>8498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42" t="s">
        <v>8245</v>
      </c>
      <c r="C21" s="174" t="s">
        <v>8499</v>
      </c>
      <c r="D21" s="47" t="s">
        <v>52</v>
      </c>
      <c r="E21" s="171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8232</v>
      </c>
      <c r="C22" s="174" t="s">
        <v>8500</v>
      </c>
      <c r="D22" s="48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3" t="s">
        <v>8241</v>
      </c>
      <c r="C23" s="174" t="s">
        <v>8501</v>
      </c>
      <c r="D23" s="48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1975</v>
      </c>
      <c r="C24" s="174" t="s">
        <v>8502</v>
      </c>
      <c r="D24" s="47" t="s">
        <v>52</v>
      </c>
      <c r="E24" s="16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91" t="s">
        <v>8435</v>
      </c>
      <c r="C25" s="174" t="s">
        <v>8503</v>
      </c>
      <c r="D25" s="48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8255</v>
      </c>
      <c r="C26" s="174" t="s">
        <v>8504</v>
      </c>
      <c r="D26" s="47" t="s">
        <v>52</v>
      </c>
      <c r="E26" s="161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8239</v>
      </c>
      <c r="C27" s="174" t="s">
        <v>8505</v>
      </c>
      <c r="D27" s="48" t="s">
        <v>52</v>
      </c>
      <c r="E27" s="171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8265</v>
      </c>
      <c r="C28" s="174" t="s">
        <v>8506</v>
      </c>
      <c r="D28" s="47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3" t="s">
        <v>8243</v>
      </c>
      <c r="C29" s="174" t="s">
        <v>8507</v>
      </c>
      <c r="D29" s="48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8237</v>
      </c>
      <c r="C30" s="174" t="s">
        <v>8508</v>
      </c>
      <c r="D30" s="48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3" t="s">
        <v>8231</v>
      </c>
      <c r="C31" s="174" t="s">
        <v>8509</v>
      </c>
      <c r="D31" s="48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8234</v>
      </c>
      <c r="C32" s="174" t="s">
        <v>8510</v>
      </c>
      <c r="D32" s="48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8247</v>
      </c>
      <c r="C33" s="174" t="s">
        <v>8511</v>
      </c>
      <c r="D33" s="4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2" t="s">
        <v>8246</v>
      </c>
      <c r="C34" s="174" t="s">
        <v>8512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2" t="s">
        <v>8236</v>
      </c>
      <c r="C35" s="174" t="s">
        <v>8513</v>
      </c>
      <c r="D35" s="48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5" t="s">
        <v>8249</v>
      </c>
      <c r="C36" s="174" t="s">
        <v>8514</v>
      </c>
      <c r="D36" s="96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8233</v>
      </c>
      <c r="C37" s="174" t="s">
        <v>8515</v>
      </c>
      <c r="D37" s="48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2" t="s">
        <v>8266</v>
      </c>
      <c r="C38" s="174" t="s">
        <v>8516</v>
      </c>
      <c r="D38" s="387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8257</v>
      </c>
      <c r="C39" s="174" t="s">
        <v>8517</v>
      </c>
      <c r="D39" s="47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8267</v>
      </c>
      <c r="C40" s="174" t="s">
        <v>8518</v>
      </c>
      <c r="D40" s="387" t="s">
        <v>52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 t="s">
        <v>8244</v>
      </c>
      <c r="C41" s="174" t="s">
        <v>8519</v>
      </c>
      <c r="D41" s="47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2" t="s">
        <v>8238</v>
      </c>
      <c r="C42" s="174" t="s">
        <v>8520</v>
      </c>
      <c r="D42" s="48" t="s">
        <v>52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2088</v>
      </c>
      <c r="C43" s="174" t="s">
        <v>8521</v>
      </c>
      <c r="D43" s="48" t="s">
        <v>53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2" t="s">
        <v>8235</v>
      </c>
      <c r="C44" s="174" t="s">
        <v>8522</v>
      </c>
      <c r="D44" s="48" t="s">
        <v>53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3" t="s">
        <v>8242</v>
      </c>
      <c r="C45" s="174" t="s">
        <v>8523</v>
      </c>
      <c r="D45" s="48" t="s">
        <v>52</v>
      </c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92" t="s">
        <v>8240</v>
      </c>
      <c r="C46" s="174" t="s">
        <v>8524</v>
      </c>
      <c r="D46" s="386" t="s">
        <v>53</v>
      </c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2"/>
      <c r="C47" s="174"/>
      <c r="D47" s="47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3"/>
      <c r="C48" s="174"/>
      <c r="D48" s="48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9"/>
      <c r="C49" s="174"/>
      <c r="D49" s="47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/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20</v>
      </c>
    </row>
    <row r="56" spans="1:36" x14ac:dyDescent="0.3">
      <c r="B56" s="21" t="s">
        <v>53</v>
      </c>
      <c r="C56">
        <f>COUNTIF(D7:D50,"P")</f>
        <v>20</v>
      </c>
    </row>
    <row r="57" spans="1:36" x14ac:dyDescent="0.3">
      <c r="B57" s="21" t="s">
        <v>363</v>
      </c>
      <c r="C57">
        <f>SUM(C55:C56)</f>
        <v>40</v>
      </c>
    </row>
  </sheetData>
  <sortState xmlns:xlrd2="http://schemas.microsoft.com/office/spreadsheetml/2017/richdata2" ref="B7:D46">
    <sortCondition ref="B7:B46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57291666666666663" right="0.51041666666666663" top="0.75" bottom="0.75" header="0.3" footer="0.3"/>
  <pageSetup paperSize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50A0C-D808-4F36-9E5F-D7281CC6C976}">
  <dimension ref="A1:AJ57"/>
  <sheetViews>
    <sheetView view="pageLayout" zoomScaleNormal="100" workbookViewId="0">
      <selection activeCell="A7" sqref="A7:B48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8268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4" t="s">
        <v>8290</v>
      </c>
      <c r="C7" s="174" t="s">
        <v>8525</v>
      </c>
      <c r="D7" s="47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8295</v>
      </c>
      <c r="C8" s="174" t="s">
        <v>8526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8279</v>
      </c>
      <c r="C9" s="174" t="s">
        <v>8527</v>
      </c>
      <c r="D9" s="47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8269</v>
      </c>
      <c r="C10" s="174" t="s">
        <v>8528</v>
      </c>
      <c r="D10" s="48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8296</v>
      </c>
      <c r="C11" s="174" t="s">
        <v>8529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3" t="s">
        <v>8273</v>
      </c>
      <c r="C12" s="174" t="s">
        <v>8530</v>
      </c>
      <c r="D12" s="48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73" t="s">
        <v>8286</v>
      </c>
      <c r="C13" s="174" t="s">
        <v>8531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4" t="s">
        <v>8291</v>
      </c>
      <c r="C14" s="174" t="s">
        <v>8532</v>
      </c>
      <c r="D14" s="47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9" t="s">
        <v>8307</v>
      </c>
      <c r="C15" s="174" t="s">
        <v>8533</v>
      </c>
      <c r="D15" s="50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8304</v>
      </c>
      <c r="C16" s="174" t="s">
        <v>8534</v>
      </c>
      <c r="D16" s="4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8274</v>
      </c>
      <c r="C17" s="174" t="s">
        <v>8535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8282</v>
      </c>
      <c r="C18" s="174" t="s">
        <v>8536</v>
      </c>
      <c r="D18" s="4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8436</v>
      </c>
      <c r="C19" s="174" t="s">
        <v>8537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2" t="s">
        <v>8292</v>
      </c>
      <c r="C20" s="174" t="s">
        <v>8538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42" t="s">
        <v>8299</v>
      </c>
      <c r="C21" s="174" t="s">
        <v>8539</v>
      </c>
      <c r="D21" s="47" t="s">
        <v>52</v>
      </c>
      <c r="E21" s="171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8280</v>
      </c>
      <c r="C22" s="174" t="s">
        <v>8540</v>
      </c>
      <c r="D22" s="47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8283</v>
      </c>
      <c r="C23" s="174" t="s">
        <v>8541</v>
      </c>
      <c r="D23" s="4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8434</v>
      </c>
      <c r="C24" s="174" t="s">
        <v>8542</v>
      </c>
      <c r="D24" s="48" t="s">
        <v>52</v>
      </c>
      <c r="E24" s="16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8284</v>
      </c>
      <c r="C25" s="174" t="s">
        <v>8543</v>
      </c>
      <c r="D25" s="47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8275</v>
      </c>
      <c r="C26" s="174" t="s">
        <v>8544</v>
      </c>
      <c r="D26" s="47" t="s">
        <v>52</v>
      </c>
      <c r="E26" s="161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8278</v>
      </c>
      <c r="C27" s="174" t="s">
        <v>8545</v>
      </c>
      <c r="D27" s="47" t="s">
        <v>52</v>
      </c>
      <c r="E27" s="171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8440</v>
      </c>
      <c r="C28" s="174" t="s">
        <v>8546</v>
      </c>
      <c r="D28" s="51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8270</v>
      </c>
      <c r="C29" s="174" t="s">
        <v>8547</v>
      </c>
      <c r="D29" s="48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93" t="s">
        <v>8289</v>
      </c>
      <c r="C30" s="174" t="s">
        <v>8548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8302</v>
      </c>
      <c r="C31" s="174" t="s">
        <v>8549</v>
      </c>
      <c r="D31" s="47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73" t="s">
        <v>8300</v>
      </c>
      <c r="C32" s="174" t="s">
        <v>8550</v>
      </c>
      <c r="D32" s="47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8297</v>
      </c>
      <c r="C33" s="174" t="s">
        <v>8551</v>
      </c>
      <c r="D33" s="47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3" t="s">
        <v>8271</v>
      </c>
      <c r="C34" s="174" t="s">
        <v>8552</v>
      </c>
      <c r="D34" s="48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73" t="s">
        <v>8293</v>
      </c>
      <c r="C35" s="174" t="s">
        <v>8553</v>
      </c>
      <c r="D35" s="4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8303</v>
      </c>
      <c r="C36" s="174" t="s">
        <v>8554</v>
      </c>
      <c r="D36" s="47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8285</v>
      </c>
      <c r="C37" s="174" t="s">
        <v>8555</v>
      </c>
      <c r="D37" s="47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3" t="s">
        <v>8272</v>
      </c>
      <c r="C38" s="174" t="s">
        <v>8556</v>
      </c>
      <c r="D38" s="48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8294</v>
      </c>
      <c r="C39" s="174" t="s">
        <v>8557</v>
      </c>
      <c r="D39" s="47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8298</v>
      </c>
      <c r="C40" s="174" t="s">
        <v>8558</v>
      </c>
      <c r="D40" s="47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9" t="s">
        <v>8276</v>
      </c>
      <c r="C41" s="174" t="s">
        <v>8559</v>
      </c>
      <c r="D41" s="50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2" t="s">
        <v>8277</v>
      </c>
      <c r="C42" s="174" t="s">
        <v>8560</v>
      </c>
      <c r="D42" s="47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8287</v>
      </c>
      <c r="C43" s="174" t="s">
        <v>8561</v>
      </c>
      <c r="D43" s="47" t="s">
        <v>52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2" t="s">
        <v>8306</v>
      </c>
      <c r="C44" s="174" t="s">
        <v>8562</v>
      </c>
      <c r="D44" s="387" t="s">
        <v>52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4" t="s">
        <v>8288</v>
      </c>
      <c r="C45" s="174" t="s">
        <v>8563</v>
      </c>
      <c r="D45" s="47" t="s">
        <v>53</v>
      </c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42" t="s">
        <v>8301</v>
      </c>
      <c r="C46" s="174" t="s">
        <v>8564</v>
      </c>
      <c r="D46" s="47" t="s">
        <v>52</v>
      </c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9" t="s">
        <v>8305</v>
      </c>
      <c r="C47" s="174" t="s">
        <v>8565</v>
      </c>
      <c r="D47" s="47" t="s">
        <v>53</v>
      </c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2" t="s">
        <v>8281</v>
      </c>
      <c r="C48" s="174" t="s">
        <v>8566</v>
      </c>
      <c r="D48" s="47" t="s">
        <v>53</v>
      </c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9"/>
      <c r="C49" s="174"/>
      <c r="D49" s="47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 t="s">
        <v>1394</v>
      </c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20</v>
      </c>
    </row>
    <row r="56" spans="1:36" x14ac:dyDescent="0.3">
      <c r="B56" s="21" t="s">
        <v>53</v>
      </c>
      <c r="C56">
        <f>COUNTIF(D7:D50,"P")</f>
        <v>22</v>
      </c>
    </row>
    <row r="57" spans="1:36" x14ac:dyDescent="0.3">
      <c r="B57" s="21" t="s">
        <v>363</v>
      </c>
      <c r="C57">
        <f>SUM(C55:C56)</f>
        <v>42</v>
      </c>
    </row>
  </sheetData>
  <sortState xmlns:xlrd2="http://schemas.microsoft.com/office/spreadsheetml/2017/richdata2" ref="B7:D48">
    <sortCondition ref="B7:B48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7" right="0.51041666666666663" top="0.75" bottom="0.75" header="0.3" footer="0.3"/>
  <pageSetup paperSize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A9AD-8CFC-4A01-867C-A9C246072AEE}">
  <dimension ref="A1:AJ57"/>
  <sheetViews>
    <sheetView view="pageLayout" zoomScaleNormal="100" workbookViewId="0">
      <selection activeCell="A7" sqref="A7:B46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8308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8345</v>
      </c>
      <c r="C7" s="174" t="s">
        <v>8567</v>
      </c>
      <c r="D7" s="50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4" t="s">
        <v>8323</v>
      </c>
      <c r="C8" s="174" t="s">
        <v>8568</v>
      </c>
      <c r="D8" s="47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8339</v>
      </c>
      <c r="C9" s="174" t="s">
        <v>8569</v>
      </c>
      <c r="D9" s="38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8336</v>
      </c>
      <c r="C10" s="174" t="s">
        <v>8570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5" t="s">
        <v>8317</v>
      </c>
      <c r="C11" s="174" t="s">
        <v>8571</v>
      </c>
      <c r="D11" s="96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8328</v>
      </c>
      <c r="C12" s="174" t="s">
        <v>8572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8348</v>
      </c>
      <c r="C13" s="174" t="s">
        <v>8573</v>
      </c>
      <c r="D13" s="50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8314</v>
      </c>
      <c r="C14" s="174" t="s">
        <v>8574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8335</v>
      </c>
      <c r="C15" s="174" t="s">
        <v>8575</v>
      </c>
      <c r="D15" s="4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5" t="s">
        <v>8315</v>
      </c>
      <c r="C16" s="174" t="s">
        <v>8576</v>
      </c>
      <c r="D16" s="96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9" t="s">
        <v>8342</v>
      </c>
      <c r="C17" s="174" t="s">
        <v>8577</v>
      </c>
      <c r="D17" s="50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8313</v>
      </c>
      <c r="C18" s="174" t="s">
        <v>8578</v>
      </c>
      <c r="D18" s="47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8318</v>
      </c>
      <c r="C19" s="174" t="s">
        <v>8579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73" t="s">
        <v>8325</v>
      </c>
      <c r="C20" s="174" t="s">
        <v>8580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49" t="s">
        <v>8346</v>
      </c>
      <c r="C21" s="174" t="s">
        <v>8581</v>
      </c>
      <c r="D21" s="50" t="s">
        <v>52</v>
      </c>
      <c r="E21" s="171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8319</v>
      </c>
      <c r="C22" s="174" t="s">
        <v>8582</v>
      </c>
      <c r="D22" s="4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73" t="s">
        <v>8312</v>
      </c>
      <c r="C23" s="174" t="s">
        <v>8583</v>
      </c>
      <c r="D23" s="4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4" t="s">
        <v>8322</v>
      </c>
      <c r="C24" s="174" t="s">
        <v>8584</v>
      </c>
      <c r="D24" s="47" t="s">
        <v>52</v>
      </c>
      <c r="E24" s="16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3" t="s">
        <v>8309</v>
      </c>
      <c r="C25" s="174" t="s">
        <v>8585</v>
      </c>
      <c r="D25" s="48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8334</v>
      </c>
      <c r="C26" s="174" t="s">
        <v>8586</v>
      </c>
      <c r="D26" s="47" t="s">
        <v>52</v>
      </c>
      <c r="E26" s="161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8326</v>
      </c>
      <c r="C27" s="174" t="s">
        <v>8587</v>
      </c>
      <c r="D27" s="47" t="s">
        <v>52</v>
      </c>
      <c r="E27" s="171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3" t="s">
        <v>8310</v>
      </c>
      <c r="C28" s="174" t="s">
        <v>8588</v>
      </c>
      <c r="D28" s="48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8344</v>
      </c>
      <c r="C29" s="174" t="s">
        <v>8589</v>
      </c>
      <c r="D29" s="50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9" t="s">
        <v>8337</v>
      </c>
      <c r="C30" s="174" t="s">
        <v>8590</v>
      </c>
      <c r="D30" s="50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8332</v>
      </c>
      <c r="C31" s="174" t="s">
        <v>8591</v>
      </c>
      <c r="D31" s="47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8338</v>
      </c>
      <c r="C32" s="174" t="s">
        <v>8592</v>
      </c>
      <c r="D32" s="38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8340</v>
      </c>
      <c r="C33" s="174" t="s">
        <v>8593</v>
      </c>
      <c r="D33" s="5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2" t="s">
        <v>8320</v>
      </c>
      <c r="C34" s="174" t="s">
        <v>8594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2" t="s">
        <v>8330</v>
      </c>
      <c r="C35" s="174" t="s">
        <v>8595</v>
      </c>
      <c r="D35" s="4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8333</v>
      </c>
      <c r="C36" s="174" t="s">
        <v>8596</v>
      </c>
      <c r="D36" s="47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9" t="s">
        <v>8347</v>
      </c>
      <c r="C37" s="174" t="s">
        <v>8597</v>
      </c>
      <c r="D37" s="50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9" t="s">
        <v>8349</v>
      </c>
      <c r="C38" s="174" t="s">
        <v>8598</v>
      </c>
      <c r="D38" s="50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8311</v>
      </c>
      <c r="C39" s="174" t="s">
        <v>8599</v>
      </c>
      <c r="D39" s="47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8321</v>
      </c>
      <c r="C40" s="174" t="s">
        <v>8600</v>
      </c>
      <c r="D40" s="47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9" t="s">
        <v>8343</v>
      </c>
      <c r="C41" s="174" t="s">
        <v>8601</v>
      </c>
      <c r="D41" s="50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2" t="s">
        <v>8331</v>
      </c>
      <c r="C42" s="174" t="s">
        <v>8602</v>
      </c>
      <c r="D42" s="47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8329</v>
      </c>
      <c r="C43" s="174" t="s">
        <v>8603</v>
      </c>
      <c r="D43" s="47" t="s">
        <v>53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2" t="s">
        <v>8327</v>
      </c>
      <c r="C44" s="174" t="s">
        <v>8604</v>
      </c>
      <c r="D44" s="47" t="s">
        <v>53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5" t="s">
        <v>8316</v>
      </c>
      <c r="C45" s="174" t="s">
        <v>8605</v>
      </c>
      <c r="D45" s="96" t="s">
        <v>53</v>
      </c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42" t="s">
        <v>8341</v>
      </c>
      <c r="C46" s="174" t="s">
        <v>8606</v>
      </c>
      <c r="D46" s="387" t="s">
        <v>53</v>
      </c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2"/>
      <c r="C47" s="174"/>
      <c r="D47" s="5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3"/>
      <c r="C48" s="174"/>
      <c r="D48" s="48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9"/>
      <c r="C49" s="174"/>
      <c r="D49" s="47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/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20</v>
      </c>
    </row>
    <row r="56" spans="1:36" x14ac:dyDescent="0.3">
      <c r="B56" s="21" t="s">
        <v>53</v>
      </c>
      <c r="C56">
        <f>COUNTIF(D7:D50,"P")</f>
        <v>20</v>
      </c>
    </row>
    <row r="57" spans="1:36" x14ac:dyDescent="0.3">
      <c r="B57" s="21" t="s">
        <v>363</v>
      </c>
      <c r="C57">
        <f>SUM(C55:C56)</f>
        <v>40</v>
      </c>
    </row>
  </sheetData>
  <sortState xmlns:xlrd2="http://schemas.microsoft.com/office/spreadsheetml/2017/richdata2" ref="B7:D46">
    <sortCondition ref="B7:B46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7" right="0.5" top="0.75" bottom="0.75" header="0.3" footer="0.3"/>
  <pageSetup paperSize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5753-C972-475F-9607-02D861833B26}">
  <dimension ref="A1:AJ57"/>
  <sheetViews>
    <sheetView view="pageLayout" zoomScaleNormal="100" workbookViewId="0">
      <selection activeCell="A7" sqref="A7:B47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8390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8366</v>
      </c>
      <c r="C7" s="174" t="s">
        <v>8607</v>
      </c>
      <c r="D7" s="47" t="s">
        <v>52</v>
      </c>
      <c r="E7" s="49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73" t="s">
        <v>8364</v>
      </c>
      <c r="C8" s="174" t="s">
        <v>8608</v>
      </c>
      <c r="D8" s="47" t="s">
        <v>53</v>
      </c>
      <c r="E8" s="49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9" t="s">
        <v>8383</v>
      </c>
      <c r="C9" s="174" t="s">
        <v>8609</v>
      </c>
      <c r="D9" s="50" t="s">
        <v>53</v>
      </c>
      <c r="E9" s="49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8352</v>
      </c>
      <c r="C10" s="174" t="s">
        <v>8610</v>
      </c>
      <c r="D10" s="47" t="s">
        <v>52</v>
      </c>
      <c r="E10" s="49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8367</v>
      </c>
      <c r="C11" s="174" t="s">
        <v>8611</v>
      </c>
      <c r="D11" s="387" t="s">
        <v>53</v>
      </c>
      <c r="E11" s="49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8372</v>
      </c>
      <c r="C12" s="174" t="s">
        <v>8612</v>
      </c>
      <c r="D12" s="50" t="s">
        <v>53</v>
      </c>
      <c r="E12" s="49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8353</v>
      </c>
      <c r="C13" s="174" t="s">
        <v>8613</v>
      </c>
      <c r="D13" s="47" t="s">
        <v>52</v>
      </c>
      <c r="E13" s="49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8386</v>
      </c>
      <c r="C14" s="174" t="s">
        <v>8614</v>
      </c>
      <c r="D14" s="50" t="s">
        <v>53</v>
      </c>
      <c r="E14" s="49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8365</v>
      </c>
      <c r="C15" s="174" t="s">
        <v>8615</v>
      </c>
      <c r="D15" s="47" t="s">
        <v>53</v>
      </c>
      <c r="E15" s="49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9" t="s">
        <v>8381</v>
      </c>
      <c r="C16" s="174" t="s">
        <v>8616</v>
      </c>
      <c r="D16" s="50" t="s">
        <v>53</v>
      </c>
      <c r="E16" s="49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8351</v>
      </c>
      <c r="C17" s="174" t="s">
        <v>8617</v>
      </c>
      <c r="D17" s="47" t="s">
        <v>52</v>
      </c>
      <c r="E17" s="49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8373</v>
      </c>
      <c r="C18" s="174" t="s">
        <v>8618</v>
      </c>
      <c r="D18" s="50" t="s">
        <v>53</v>
      </c>
      <c r="E18" s="49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9" t="s">
        <v>8384</v>
      </c>
      <c r="C19" s="174" t="s">
        <v>8619</v>
      </c>
      <c r="D19" s="50" t="s">
        <v>53</v>
      </c>
      <c r="E19" s="49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2" t="s">
        <v>8370</v>
      </c>
      <c r="C20" s="174" t="s">
        <v>8620</v>
      </c>
      <c r="D20" s="50" t="s">
        <v>52</v>
      </c>
      <c r="E20" s="49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49" t="s">
        <v>8377</v>
      </c>
      <c r="C21" s="174" t="s">
        <v>8621</v>
      </c>
      <c r="D21" s="50" t="s">
        <v>52</v>
      </c>
      <c r="E21" s="394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8363</v>
      </c>
      <c r="C22" s="174" t="s">
        <v>8622</v>
      </c>
      <c r="D22" s="47" t="s">
        <v>52</v>
      </c>
      <c r="E22" s="49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9" t="s">
        <v>8376</v>
      </c>
      <c r="C23" s="174" t="s">
        <v>8623</v>
      </c>
      <c r="D23" s="50" t="s">
        <v>52</v>
      </c>
      <c r="E23" s="49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4" t="s">
        <v>8360</v>
      </c>
      <c r="C24" s="174" t="s">
        <v>8624</v>
      </c>
      <c r="D24" s="47" t="s">
        <v>52</v>
      </c>
      <c r="E24" s="395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8371</v>
      </c>
      <c r="C25" s="174" t="s">
        <v>8625</v>
      </c>
      <c r="D25" s="50" t="s">
        <v>52</v>
      </c>
      <c r="E25" s="49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8356</v>
      </c>
      <c r="C26" s="174" t="s">
        <v>8626</v>
      </c>
      <c r="D26" s="47" t="s">
        <v>52</v>
      </c>
      <c r="E26" s="89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73" t="s">
        <v>8361</v>
      </c>
      <c r="C27" s="174" t="s">
        <v>8627</v>
      </c>
      <c r="D27" s="47" t="s">
        <v>52</v>
      </c>
      <c r="E27" s="394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9" t="s">
        <v>8387</v>
      </c>
      <c r="C28" s="174" t="s">
        <v>8628</v>
      </c>
      <c r="D28" s="50" t="s">
        <v>52</v>
      </c>
      <c r="E28" s="49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8362</v>
      </c>
      <c r="C29" s="174" t="s">
        <v>8629</v>
      </c>
      <c r="D29" s="47" t="s">
        <v>52</v>
      </c>
      <c r="E29" s="49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8354</v>
      </c>
      <c r="C30" s="174" t="s">
        <v>8630</v>
      </c>
      <c r="D30" s="47" t="s">
        <v>52</v>
      </c>
      <c r="E30" s="49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73" t="s">
        <v>8355</v>
      </c>
      <c r="C31" s="174" t="s">
        <v>8631</v>
      </c>
      <c r="D31" s="47" t="s">
        <v>52</v>
      </c>
      <c r="E31" s="49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8388</v>
      </c>
      <c r="C32" s="174" t="s">
        <v>8632</v>
      </c>
      <c r="D32" s="50" t="s">
        <v>52</v>
      </c>
      <c r="E32" s="49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8357</v>
      </c>
      <c r="C33" s="174" t="s">
        <v>8633</v>
      </c>
      <c r="D33" s="47" t="s">
        <v>52</v>
      </c>
      <c r="E33" s="49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9" t="s">
        <v>8375</v>
      </c>
      <c r="C34" s="174" t="s">
        <v>8634</v>
      </c>
      <c r="D34" s="50" t="s">
        <v>53</v>
      </c>
      <c r="E34" s="49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9" t="s">
        <v>8385</v>
      </c>
      <c r="C35" s="174" t="s">
        <v>8635</v>
      </c>
      <c r="D35" s="50" t="s">
        <v>53</v>
      </c>
      <c r="E35" s="49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8350</v>
      </c>
      <c r="C36" s="174" t="s">
        <v>8636</v>
      </c>
      <c r="D36" s="47" t="s">
        <v>52</v>
      </c>
      <c r="E36" s="49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9" t="s">
        <v>8380</v>
      </c>
      <c r="C37" s="174" t="s">
        <v>8637</v>
      </c>
      <c r="D37" s="50" t="s">
        <v>53</v>
      </c>
      <c r="E37" s="49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9" t="s">
        <v>8379</v>
      </c>
      <c r="C38" s="174" t="s">
        <v>8638</v>
      </c>
      <c r="D38" s="50" t="s">
        <v>53</v>
      </c>
      <c r="E38" s="49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8358</v>
      </c>
      <c r="C39" s="174" t="s">
        <v>8639</v>
      </c>
      <c r="D39" s="47" t="s">
        <v>53</v>
      </c>
      <c r="E39" s="49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8389</v>
      </c>
      <c r="C40" s="174" t="s">
        <v>8640</v>
      </c>
      <c r="D40" s="50" t="s">
        <v>52</v>
      </c>
      <c r="E40" s="49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96" t="s">
        <v>8359</v>
      </c>
      <c r="C41" s="174" t="s">
        <v>8641</v>
      </c>
      <c r="D41" s="175" t="s">
        <v>53</v>
      </c>
      <c r="E41" s="49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9" t="s">
        <v>8378</v>
      </c>
      <c r="C42" s="174" t="s">
        <v>8642</v>
      </c>
      <c r="D42" s="50" t="s">
        <v>53</v>
      </c>
      <c r="E42" s="49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8368</v>
      </c>
      <c r="C43" s="174" t="s">
        <v>8643</v>
      </c>
      <c r="D43" s="387" t="s">
        <v>53</v>
      </c>
      <c r="E43" s="49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9" t="s">
        <v>8382</v>
      </c>
      <c r="C44" s="174" t="s">
        <v>8644</v>
      </c>
      <c r="D44" s="50" t="s">
        <v>53</v>
      </c>
      <c r="E44" s="49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2" t="s">
        <v>8369</v>
      </c>
      <c r="C45" s="174" t="s">
        <v>8645</v>
      </c>
      <c r="D45" s="387" t="s">
        <v>53</v>
      </c>
      <c r="E45" s="49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" t="s">
        <v>8689</v>
      </c>
      <c r="C46" s="3"/>
      <c r="D46" s="51" t="s">
        <v>53</v>
      </c>
      <c r="E46" s="49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2" t="s">
        <v>10996</v>
      </c>
      <c r="C47" s="174"/>
      <c r="D47" s="50" t="s">
        <v>53</v>
      </c>
      <c r="E47" s="49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3"/>
      <c r="C48" s="174"/>
      <c r="D48" s="48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9"/>
      <c r="C49" s="174"/>
      <c r="D49" s="47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/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20</v>
      </c>
    </row>
    <row r="56" spans="1:36" x14ac:dyDescent="0.3">
      <c r="B56" s="21" t="s">
        <v>53</v>
      </c>
      <c r="C56">
        <f>COUNTIF(D7:D50,"P")</f>
        <v>21</v>
      </c>
    </row>
    <row r="57" spans="1:36" x14ac:dyDescent="0.3">
      <c r="B57" s="21" t="s">
        <v>363</v>
      </c>
      <c r="C57">
        <f>SUM(C55:C56)</f>
        <v>41</v>
      </c>
    </row>
  </sheetData>
  <sortState xmlns:xlrd2="http://schemas.microsoft.com/office/spreadsheetml/2017/richdata2" ref="B7:D46">
    <sortCondition ref="B7:B46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7" right="0.44791666666666669" top="0.75" bottom="0.75" header="0.3" footer="0.3"/>
  <pageSetup paperSize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8FE9-A0C2-4408-82C8-CA458A340E34}">
  <dimension ref="A1:AJ57"/>
  <sheetViews>
    <sheetView view="pageLayout" topLeftCell="A11" zoomScaleNormal="100" workbookViewId="0">
      <selection activeCell="A7" sqref="A7:B49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8391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4" t="s">
        <v>8411</v>
      </c>
      <c r="C7" s="174" t="s">
        <v>8646</v>
      </c>
      <c r="D7" s="47" t="s">
        <v>52</v>
      </c>
      <c r="E7" s="49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3" t="s">
        <v>8397</v>
      </c>
      <c r="C8" s="174" t="s">
        <v>8647</v>
      </c>
      <c r="D8" s="48" t="s">
        <v>53</v>
      </c>
      <c r="E8" s="49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8400</v>
      </c>
      <c r="C9" s="174" t="s">
        <v>8648</v>
      </c>
      <c r="D9" s="48" t="s">
        <v>52</v>
      </c>
      <c r="E9" s="49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4" t="s">
        <v>8418</v>
      </c>
      <c r="C10" s="174" t="s">
        <v>8649</v>
      </c>
      <c r="D10" s="47" t="s">
        <v>52</v>
      </c>
      <c r="E10" s="49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8433</v>
      </c>
      <c r="C11" s="174" t="s">
        <v>8650</v>
      </c>
      <c r="D11" s="50" t="s">
        <v>53</v>
      </c>
      <c r="E11" s="49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8432</v>
      </c>
      <c r="C12" s="174" t="s">
        <v>8651</v>
      </c>
      <c r="D12" s="50" t="s">
        <v>53</v>
      </c>
      <c r="E12" s="49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3" t="s">
        <v>8395</v>
      </c>
      <c r="C13" s="174" t="s">
        <v>8652</v>
      </c>
      <c r="D13" s="48" t="s">
        <v>52</v>
      </c>
      <c r="E13" s="49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8422</v>
      </c>
      <c r="C14" s="174" t="s">
        <v>8653</v>
      </c>
      <c r="D14" s="47" t="s">
        <v>53</v>
      </c>
      <c r="E14" s="49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8423</v>
      </c>
      <c r="C15" s="174" t="s">
        <v>8654</v>
      </c>
      <c r="D15" s="47" t="s">
        <v>52</v>
      </c>
      <c r="E15" s="49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3" t="s">
        <v>8392</v>
      </c>
      <c r="C16" s="174" t="s">
        <v>8655</v>
      </c>
      <c r="D16" s="48" t="s">
        <v>53</v>
      </c>
      <c r="E16" s="49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4" t="s">
        <v>8409</v>
      </c>
      <c r="C17" s="174" t="s">
        <v>8656</v>
      </c>
      <c r="D17" s="47" t="s">
        <v>52</v>
      </c>
      <c r="E17" s="49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4" t="s">
        <v>8419</v>
      </c>
      <c r="C18" s="174" t="s">
        <v>8657</v>
      </c>
      <c r="D18" s="47" t="s">
        <v>53</v>
      </c>
      <c r="E18" s="49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4" t="s">
        <v>8407</v>
      </c>
      <c r="C19" s="174" t="s">
        <v>8658</v>
      </c>
      <c r="D19" s="47" t="s">
        <v>52</v>
      </c>
      <c r="E19" s="49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2" t="s">
        <v>8406</v>
      </c>
      <c r="C20" s="174" t="s">
        <v>8659</v>
      </c>
      <c r="D20" s="50" t="s">
        <v>52</v>
      </c>
      <c r="E20" s="49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389">
        <v>15</v>
      </c>
      <c r="B21" s="42" t="s">
        <v>8426</v>
      </c>
      <c r="C21" s="174" t="s">
        <v>8660</v>
      </c>
      <c r="D21" s="50" t="s">
        <v>52</v>
      </c>
      <c r="E21" s="394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4" t="s">
        <v>8417</v>
      </c>
      <c r="C22" s="174" t="s">
        <v>8661</v>
      </c>
      <c r="D22" s="47" t="s">
        <v>53</v>
      </c>
      <c r="E22" s="49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8399</v>
      </c>
      <c r="C23" s="174" t="s">
        <v>8662</v>
      </c>
      <c r="D23" s="48" t="s">
        <v>53</v>
      </c>
      <c r="E23" s="49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9" t="s">
        <v>8428</v>
      </c>
      <c r="C24" s="174" t="s">
        <v>8663</v>
      </c>
      <c r="D24" s="50" t="s">
        <v>52</v>
      </c>
      <c r="E24" s="395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8425</v>
      </c>
      <c r="C25" s="174" t="s">
        <v>8664</v>
      </c>
      <c r="D25" s="50" t="s">
        <v>52</v>
      </c>
      <c r="E25" s="49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8401</v>
      </c>
      <c r="C26" s="174" t="s">
        <v>8665</v>
      </c>
      <c r="D26" s="48" t="s">
        <v>53</v>
      </c>
      <c r="E26" s="89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88" t="s">
        <v>8412</v>
      </c>
      <c r="C27" s="174" t="s">
        <v>8666</v>
      </c>
      <c r="D27" s="47" t="s">
        <v>52</v>
      </c>
      <c r="E27" s="394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9" t="s">
        <v>8431</v>
      </c>
      <c r="C28" s="174" t="s">
        <v>8667</v>
      </c>
      <c r="D28" s="50" t="s">
        <v>52</v>
      </c>
      <c r="E28" s="49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9" t="s">
        <v>8429</v>
      </c>
      <c r="C29" s="174" t="s">
        <v>8668</v>
      </c>
      <c r="D29" s="50" t="s">
        <v>52</v>
      </c>
      <c r="E29" s="49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9" t="s">
        <v>8430</v>
      </c>
      <c r="C30" s="174" t="s">
        <v>8669</v>
      </c>
      <c r="D30" s="50" t="s">
        <v>52</v>
      </c>
      <c r="E30" s="49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80" t="s">
        <v>8427</v>
      </c>
      <c r="C31" s="174" t="s">
        <v>8670</v>
      </c>
      <c r="D31" s="50" t="s">
        <v>52</v>
      </c>
      <c r="E31" s="49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4" t="s">
        <v>8408</v>
      </c>
      <c r="C32" s="174" t="s">
        <v>8671</v>
      </c>
      <c r="D32" s="47" t="s">
        <v>52</v>
      </c>
      <c r="E32" s="49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5" t="s">
        <v>8404</v>
      </c>
      <c r="C33" s="174" t="s">
        <v>8672</v>
      </c>
      <c r="D33" s="96" t="s">
        <v>52</v>
      </c>
      <c r="E33" s="49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4" t="s">
        <v>8416</v>
      </c>
      <c r="C34" s="174" t="s">
        <v>8673</v>
      </c>
      <c r="D34" s="47" t="s">
        <v>53</v>
      </c>
      <c r="E34" s="49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4" t="s">
        <v>8413</v>
      </c>
      <c r="C35" s="174" t="s">
        <v>8674</v>
      </c>
      <c r="D35" s="47" t="s">
        <v>53</v>
      </c>
      <c r="E35" s="49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8420</v>
      </c>
      <c r="C36" s="174" t="s">
        <v>8675</v>
      </c>
      <c r="D36" s="47" t="s">
        <v>53</v>
      </c>
      <c r="E36" s="49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4" t="s">
        <v>8414</v>
      </c>
      <c r="C37" s="174" t="s">
        <v>8676</v>
      </c>
      <c r="D37" s="47" t="s">
        <v>53</v>
      </c>
      <c r="E37" s="49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3" t="s">
        <v>8393</v>
      </c>
      <c r="C38" s="174" t="s">
        <v>8677</v>
      </c>
      <c r="D38" s="48" t="s">
        <v>53</v>
      </c>
      <c r="E38" s="49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8398</v>
      </c>
      <c r="C39" s="174" t="s">
        <v>8678</v>
      </c>
      <c r="D39" s="48" t="s">
        <v>53</v>
      </c>
      <c r="E39" s="49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8424</v>
      </c>
      <c r="C40" s="174" t="s">
        <v>8679</v>
      </c>
      <c r="D40" s="50" t="s">
        <v>52</v>
      </c>
      <c r="E40" s="49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 t="s">
        <v>8402</v>
      </c>
      <c r="C41" s="174" t="s">
        <v>8680</v>
      </c>
      <c r="D41" s="48" t="s">
        <v>53</v>
      </c>
      <c r="E41" s="49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42" t="s">
        <v>8405</v>
      </c>
      <c r="C42" s="174" t="s">
        <v>8681</v>
      </c>
      <c r="D42" s="47" t="s">
        <v>52</v>
      </c>
      <c r="E42" s="49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42" t="s">
        <v>8421</v>
      </c>
      <c r="C43" s="174" t="s">
        <v>8682</v>
      </c>
      <c r="D43" s="47" t="s">
        <v>53</v>
      </c>
      <c r="E43" s="49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4" t="s">
        <v>8324</v>
      </c>
      <c r="C44" s="174" t="s">
        <v>8683</v>
      </c>
      <c r="D44" s="47" t="s">
        <v>53</v>
      </c>
      <c r="E44" s="49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44" t="s">
        <v>8410</v>
      </c>
      <c r="C45" s="174" t="s">
        <v>8684</v>
      </c>
      <c r="D45" s="47" t="s">
        <v>53</v>
      </c>
      <c r="E45" s="49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44" t="s">
        <v>8415</v>
      </c>
      <c r="C46" s="174" t="s">
        <v>8685</v>
      </c>
      <c r="D46" s="47" t="s">
        <v>53</v>
      </c>
      <c r="E46" s="49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43" t="s">
        <v>8396</v>
      </c>
      <c r="C47" s="174" t="s">
        <v>8686</v>
      </c>
      <c r="D47" s="48" t="s">
        <v>53</v>
      </c>
      <c r="E47" s="49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A48" s="10">
        <v>42</v>
      </c>
      <c r="B48" s="42" t="s">
        <v>8403</v>
      </c>
      <c r="C48" s="174" t="s">
        <v>8687</v>
      </c>
      <c r="D48" s="47" t="s">
        <v>53</v>
      </c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x14ac:dyDescent="0.3">
      <c r="A49" s="10">
        <v>43</v>
      </c>
      <c r="B49" s="43" t="s">
        <v>8394</v>
      </c>
      <c r="C49" s="174" t="s">
        <v>8688</v>
      </c>
      <c r="D49" s="48" t="s">
        <v>52</v>
      </c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A50" s="10">
        <v>44</v>
      </c>
      <c r="B50" s="49"/>
      <c r="C50" s="174"/>
      <c r="D50" s="5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A51" s="10">
        <v>45</v>
      </c>
      <c r="B51" s="49"/>
      <c r="C51" s="174"/>
      <c r="D51" s="49"/>
      <c r="E51" s="3"/>
      <c r="F51" s="3"/>
      <c r="G51" s="3"/>
      <c r="H51" s="3"/>
      <c r="I51" s="3"/>
      <c r="J51" s="3"/>
      <c r="K51" s="3"/>
      <c r="L51" s="3"/>
      <c r="M51" s="72"/>
      <c r="N51" s="72"/>
      <c r="O51" s="72"/>
      <c r="P51" s="72"/>
      <c r="Q51" s="72"/>
      <c r="R51" s="72"/>
      <c r="S51" s="72"/>
      <c r="T51" s="72"/>
      <c r="U51" s="3"/>
      <c r="V51" s="3"/>
      <c r="W51" s="3"/>
      <c r="X51" s="3"/>
      <c r="Y51" s="3"/>
      <c r="Z51" s="3"/>
      <c r="AA51" s="3"/>
      <c r="AB51" s="3"/>
      <c r="AC51" s="72"/>
      <c r="AD51" s="72"/>
      <c r="AE51" s="72"/>
      <c r="AF51" s="72"/>
      <c r="AG51" s="72"/>
      <c r="AH51" s="72"/>
      <c r="AI51" s="72"/>
      <c r="AJ51" s="72"/>
    </row>
    <row r="52" spans="1:36" x14ac:dyDescent="0.3">
      <c r="A52" s="532" t="s">
        <v>4435</v>
      </c>
      <c r="B52" s="533"/>
      <c r="C52" s="159" t="s">
        <v>13</v>
      </c>
      <c r="D52" s="160"/>
      <c r="E52" s="3"/>
      <c r="F52" s="3"/>
      <c r="G52" s="3"/>
      <c r="H52" s="3"/>
      <c r="I52" s="3"/>
      <c r="J52" s="3"/>
      <c r="K52" s="3"/>
      <c r="L52" s="3"/>
      <c r="M52" s="72"/>
      <c r="N52" s="72"/>
      <c r="O52" s="72"/>
      <c r="P52" s="72"/>
      <c r="Q52" s="72"/>
      <c r="R52" s="72"/>
      <c r="S52" s="72"/>
      <c r="T52" s="72"/>
      <c r="U52" s="3"/>
      <c r="V52" s="3"/>
      <c r="W52" s="3"/>
      <c r="X52" s="3"/>
      <c r="Y52" s="3"/>
      <c r="Z52" s="3"/>
      <c r="AA52" s="3"/>
      <c r="AB52" s="3"/>
      <c r="AC52" s="72"/>
      <c r="AD52" s="72"/>
      <c r="AE52" s="72"/>
      <c r="AF52" s="72"/>
      <c r="AG52" s="72"/>
      <c r="AH52" s="72"/>
      <c r="AI52" s="72"/>
      <c r="AJ52" s="72"/>
    </row>
    <row r="53" spans="1:36" x14ac:dyDescent="0.3">
      <c r="A53" s="534"/>
      <c r="B53" s="535"/>
      <c r="C53" s="159" t="s">
        <v>12</v>
      </c>
      <c r="D53" s="160"/>
      <c r="E53" s="3"/>
      <c r="F53" s="3"/>
      <c r="G53" s="3"/>
      <c r="H53" s="3"/>
      <c r="I53" s="3"/>
      <c r="J53" s="3"/>
      <c r="K53" s="3"/>
      <c r="L53" s="3"/>
      <c r="M53" s="72"/>
      <c r="N53" s="72"/>
      <c r="O53" s="72"/>
      <c r="P53" s="72"/>
      <c r="Q53" s="72"/>
      <c r="R53" s="72"/>
      <c r="S53" s="72"/>
      <c r="T53" s="72"/>
      <c r="U53" s="3"/>
      <c r="V53" s="3"/>
      <c r="W53" s="3"/>
      <c r="X53" s="3"/>
      <c r="Y53" s="3"/>
      <c r="Z53" s="3"/>
      <c r="AA53" s="3"/>
      <c r="AB53" s="3"/>
      <c r="AC53" s="72"/>
      <c r="AD53" s="72"/>
      <c r="AE53" s="72"/>
      <c r="AF53" s="72"/>
      <c r="AG53" s="72"/>
      <c r="AH53" s="72"/>
      <c r="AI53" s="72"/>
      <c r="AJ53" s="72"/>
    </row>
    <row r="54" spans="1:36" x14ac:dyDescent="0.3">
      <c r="A54" s="536"/>
      <c r="B54" s="537"/>
      <c r="C54" s="159" t="s">
        <v>11</v>
      </c>
      <c r="D54" s="160"/>
      <c r="E54" s="3"/>
      <c r="F54" s="3"/>
      <c r="G54" s="3"/>
      <c r="H54" s="3"/>
      <c r="I54" s="3"/>
      <c r="J54" s="3"/>
      <c r="K54" s="3"/>
      <c r="L54" s="3"/>
      <c r="M54" s="72"/>
      <c r="N54" s="72"/>
      <c r="O54" s="72"/>
      <c r="P54" s="72"/>
      <c r="Q54" s="72"/>
      <c r="R54" s="72"/>
      <c r="S54" s="72"/>
      <c r="T54" s="72"/>
      <c r="U54" s="3"/>
      <c r="V54" s="3"/>
      <c r="W54" s="3"/>
      <c r="X54" s="3"/>
      <c r="Y54" s="3"/>
      <c r="Z54" s="3"/>
      <c r="AA54" s="3"/>
      <c r="AB54" s="3"/>
      <c r="AC54" s="72"/>
      <c r="AD54" s="72"/>
      <c r="AE54" s="72"/>
      <c r="AF54" s="72"/>
      <c r="AG54" s="72"/>
      <c r="AH54" s="72"/>
      <c r="AI54" s="72"/>
      <c r="AJ54" s="72"/>
    </row>
    <row r="55" spans="1:36" x14ac:dyDescent="0.3">
      <c r="B55" s="21" t="s">
        <v>52</v>
      </c>
      <c r="C55">
        <f>COUNTIF(D7:D51,"L")</f>
        <v>21</v>
      </c>
    </row>
    <row r="56" spans="1:36" x14ac:dyDescent="0.3">
      <c r="B56" s="21" t="s">
        <v>53</v>
      </c>
      <c r="C56">
        <f>COUNTIF(D7:D50,"P")</f>
        <v>22</v>
      </c>
    </row>
    <row r="57" spans="1:36" x14ac:dyDescent="0.3">
      <c r="B57" s="21" t="s">
        <v>363</v>
      </c>
      <c r="C57">
        <f>SUM(C55:C56)</f>
        <v>43</v>
      </c>
    </row>
  </sheetData>
  <sortState xmlns:xlrd2="http://schemas.microsoft.com/office/spreadsheetml/2017/richdata2" ref="B7:D49">
    <sortCondition ref="B7:B49"/>
  </sortState>
  <mergeCells count="15">
    <mergeCell ref="A52:B5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7" right="0.47916666666666669" top="0.75" bottom="0.75" header="0.3" footer="0.3"/>
  <pageSetup paperSize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80C5-D3F1-4D4D-A768-D34F02E1BBC5}">
  <dimension ref="A1:AJ47"/>
  <sheetViews>
    <sheetView view="pageLayout" zoomScaleNormal="100" workbookViewId="0">
      <selection activeCell="C7" sqref="C7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362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236" t="s">
        <v>8167</v>
      </c>
      <c r="C7" s="174" t="s">
        <v>7936</v>
      </c>
      <c r="D7" s="170"/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3" t="s">
        <v>5169</v>
      </c>
      <c r="C8" s="174" t="s">
        <v>7937</v>
      </c>
      <c r="D8" s="48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5180</v>
      </c>
      <c r="C9" s="174" t="s">
        <v>7938</v>
      </c>
      <c r="D9" s="48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5187</v>
      </c>
      <c r="C10" s="174" t="s">
        <v>7939</v>
      </c>
      <c r="D10" s="48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74" t="s">
        <v>5193</v>
      </c>
      <c r="C11" s="174" t="s">
        <v>7940</v>
      </c>
      <c r="D11" s="48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5302</v>
      </c>
      <c r="C12" s="174" t="s">
        <v>7941</v>
      </c>
      <c r="D12" s="47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5183</v>
      </c>
      <c r="C13" s="174" t="s">
        <v>7942</v>
      </c>
      <c r="D13" s="48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7927</v>
      </c>
      <c r="C14" s="174" t="s">
        <v>7943</v>
      </c>
      <c r="D14" s="30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5191</v>
      </c>
      <c r="C15" s="174" t="s">
        <v>7944</v>
      </c>
      <c r="D15" s="48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5368</v>
      </c>
      <c r="C16" s="174" t="s">
        <v>7945</v>
      </c>
      <c r="D16" s="48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81" t="s">
        <v>5184</v>
      </c>
      <c r="C17" s="174" t="s">
        <v>7946</v>
      </c>
      <c r="D17" s="172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5214</v>
      </c>
      <c r="C18" s="174" t="s">
        <v>7947</v>
      </c>
      <c r="D18" s="4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5194</v>
      </c>
      <c r="C19" s="174" t="s">
        <v>7948</v>
      </c>
      <c r="D19" s="48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3" t="s">
        <v>5171</v>
      </c>
      <c r="C20" s="174" t="s">
        <v>7949</v>
      </c>
      <c r="D20" s="48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3" t="s">
        <v>5173</v>
      </c>
      <c r="C21" s="174" t="s">
        <v>7950</v>
      </c>
      <c r="D21" s="48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5190</v>
      </c>
      <c r="C22" s="174" t="s">
        <v>7952</v>
      </c>
      <c r="D22" s="4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79" t="s">
        <v>5179</v>
      </c>
      <c r="C23" s="174" t="s">
        <v>7953</v>
      </c>
      <c r="D23" s="18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3" t="s">
        <v>5174</v>
      </c>
      <c r="C24" s="174" t="s">
        <v>7954</v>
      </c>
      <c r="D24" s="48" t="s">
        <v>52</v>
      </c>
      <c r="E24" s="16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5181</v>
      </c>
      <c r="C25" s="174" t="s">
        <v>7955</v>
      </c>
      <c r="D25" s="48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5177</v>
      </c>
      <c r="C26" s="174" t="s">
        <v>7956</v>
      </c>
      <c r="D26" s="48" t="s">
        <v>52</v>
      </c>
      <c r="E26" s="161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4" t="s">
        <v>5304</v>
      </c>
      <c r="C27" s="174" t="s">
        <v>7957</v>
      </c>
      <c r="D27" s="47" t="s">
        <v>52</v>
      </c>
      <c r="E27" s="171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3" t="s">
        <v>5175</v>
      </c>
      <c r="C28" s="174" t="s">
        <v>7958</v>
      </c>
      <c r="D28" s="48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5176</v>
      </c>
      <c r="C29" s="174" t="s">
        <v>7959</v>
      </c>
      <c r="D29" s="48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5185</v>
      </c>
      <c r="C30" s="174" t="s">
        <v>7960</v>
      </c>
      <c r="D30" s="48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9" t="s">
        <v>5189</v>
      </c>
      <c r="C31" s="174" t="s">
        <v>7961</v>
      </c>
      <c r="D31" s="50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5178</v>
      </c>
      <c r="C32" s="174" t="s">
        <v>7962</v>
      </c>
      <c r="D32" s="48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5182</v>
      </c>
      <c r="C33" s="174" t="s">
        <v>7963</v>
      </c>
      <c r="D33" s="48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98" t="s">
        <v>5170</v>
      </c>
      <c r="C34" s="174" t="s">
        <v>7964</v>
      </c>
      <c r="D34" s="48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2" t="s">
        <v>5195</v>
      </c>
      <c r="C35" s="174" t="s">
        <v>7965</v>
      </c>
      <c r="D35" s="48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5192</v>
      </c>
      <c r="C36" s="174" t="s">
        <v>7966</v>
      </c>
      <c r="D36" s="48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5196</v>
      </c>
      <c r="C37" s="174" t="s">
        <v>7967</v>
      </c>
      <c r="D37" s="47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3" t="s">
        <v>5172</v>
      </c>
      <c r="C38" s="174" t="s">
        <v>7968</v>
      </c>
      <c r="D38" s="48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54" t="s">
        <v>8138</v>
      </c>
      <c r="C39" s="384" t="s">
        <v>8139</v>
      </c>
      <c r="D39" s="105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54" t="s">
        <v>8147</v>
      </c>
      <c r="C40" s="384" t="s">
        <v>8148</v>
      </c>
      <c r="D40" s="106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8163</v>
      </c>
      <c r="C41" s="174" t="s">
        <v>8164</v>
      </c>
      <c r="D41" s="3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532" t="s">
        <v>4435</v>
      </c>
      <c r="B42" s="533"/>
      <c r="C42" s="159" t="s">
        <v>13</v>
      </c>
      <c r="D42" s="160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534"/>
      <c r="B43" s="535"/>
      <c r="C43" s="159" t="s">
        <v>12</v>
      </c>
      <c r="D43" s="160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536"/>
      <c r="B44" s="537"/>
      <c r="C44" s="159" t="s">
        <v>11</v>
      </c>
      <c r="D44" s="160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B45" s="21" t="s">
        <v>52</v>
      </c>
      <c r="C45">
        <f>COUNTIF(D7:D41,"L")</f>
        <v>19</v>
      </c>
    </row>
    <row r="46" spans="1:36" x14ac:dyDescent="0.3">
      <c r="B46" s="21" t="s">
        <v>53</v>
      </c>
      <c r="C46">
        <f>COUNTIF(D7:D40,"P")</f>
        <v>13</v>
      </c>
    </row>
    <row r="47" spans="1:36" x14ac:dyDescent="0.3">
      <c r="B47" s="21" t="s">
        <v>363</v>
      </c>
      <c r="C47">
        <f>SUM(C45:C46)</f>
        <v>32</v>
      </c>
    </row>
  </sheetData>
  <sortState xmlns:xlrd2="http://schemas.microsoft.com/office/spreadsheetml/2017/richdata2" ref="B7:D39">
    <sortCondition ref="B7:B39"/>
  </sortState>
  <mergeCells count="15">
    <mergeCell ref="A42:B44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47916666666666669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4304-DD64-4038-86B2-EB873D9630DE}">
  <dimension ref="A1:AJ50"/>
  <sheetViews>
    <sheetView view="pageLayout" topLeftCell="A18" zoomScaleNormal="100" workbookViewId="0">
      <selection activeCell="C20" sqref="C20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364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80" t="s">
        <v>5200</v>
      </c>
      <c r="C7" s="174" t="s">
        <v>7969</v>
      </c>
      <c r="D7" s="48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5215</v>
      </c>
      <c r="C8" s="174" t="s">
        <v>7970</v>
      </c>
      <c r="D8" s="47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87" t="s">
        <v>5228</v>
      </c>
      <c r="C9" s="174" t="s">
        <v>7971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5198</v>
      </c>
      <c r="C10" s="174" t="s">
        <v>7972</v>
      </c>
      <c r="D10" s="48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5223</v>
      </c>
      <c r="C11" s="174" t="s">
        <v>7973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5221</v>
      </c>
      <c r="C12" s="174" t="s">
        <v>7974</v>
      </c>
      <c r="D12" s="47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3" t="s">
        <v>5211</v>
      </c>
      <c r="C13" s="174" t="s">
        <v>7975</v>
      </c>
      <c r="D13" s="48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5224</v>
      </c>
      <c r="C14" s="174" t="s">
        <v>7976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5" t="s">
        <v>5225</v>
      </c>
      <c r="C15" s="174" t="s">
        <v>7977</v>
      </c>
      <c r="D15" s="96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5202</v>
      </c>
      <c r="C16" s="174" t="s">
        <v>7978</v>
      </c>
      <c r="D16" s="48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5284</v>
      </c>
      <c r="C17" s="174" t="s">
        <v>7979</v>
      </c>
      <c r="D17" s="47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5204</v>
      </c>
      <c r="C18" s="174" t="s">
        <v>7980</v>
      </c>
      <c r="D18" s="48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5" t="s">
        <v>5226</v>
      </c>
      <c r="C19" s="174" t="s">
        <v>7981</v>
      </c>
      <c r="D19" s="96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54" t="s">
        <v>8443</v>
      </c>
      <c r="C20" s="384" t="s">
        <v>7982</v>
      </c>
      <c r="D20" s="30"/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2" t="s">
        <v>5197</v>
      </c>
      <c r="C21" s="174" t="s">
        <v>7983</v>
      </c>
      <c r="D21" s="48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64" t="s">
        <v>5220</v>
      </c>
      <c r="C22" s="174" t="s">
        <v>7984</v>
      </c>
      <c r="D22" s="365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5218</v>
      </c>
      <c r="C23" s="174" t="s">
        <v>7985</v>
      </c>
      <c r="D23" s="4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7931</v>
      </c>
      <c r="C24" s="174" t="s">
        <v>7986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73" t="s">
        <v>5205</v>
      </c>
      <c r="C25" s="174" t="s">
        <v>7987</v>
      </c>
      <c r="D25" s="48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73" t="s">
        <v>5222</v>
      </c>
      <c r="C26" s="174" t="s">
        <v>7988</v>
      </c>
      <c r="D26" s="47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5203</v>
      </c>
      <c r="C27" s="174" t="s">
        <v>7989</v>
      </c>
      <c r="D27" s="48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5219</v>
      </c>
      <c r="C28" s="174" t="s">
        <v>7990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7928</v>
      </c>
      <c r="C29" s="174" t="s">
        <v>7991</v>
      </c>
      <c r="D29" s="30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5216</v>
      </c>
      <c r="C30" s="174" t="s">
        <v>7992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5217</v>
      </c>
      <c r="C31" s="174" t="s">
        <v>7993</v>
      </c>
      <c r="D31" s="47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3" t="s">
        <v>5212</v>
      </c>
      <c r="C32" s="174" t="s">
        <v>7994</v>
      </c>
      <c r="D32" s="48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5201</v>
      </c>
      <c r="C33" s="174" t="s">
        <v>7995</v>
      </c>
      <c r="D33" s="48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2" t="s">
        <v>5208</v>
      </c>
      <c r="C34" s="174" t="s">
        <v>7996</v>
      </c>
      <c r="D34" s="48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3" t="s">
        <v>5167</v>
      </c>
      <c r="C35" s="174" t="s">
        <v>7997</v>
      </c>
      <c r="D35" s="48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5270</v>
      </c>
      <c r="C36" s="174" t="s">
        <v>7998</v>
      </c>
      <c r="D36" s="47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3" t="s">
        <v>5209</v>
      </c>
      <c r="C37" s="174" t="s">
        <v>7999</v>
      </c>
      <c r="D37" s="48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2" t="s">
        <v>5207</v>
      </c>
      <c r="C38" s="174" t="s">
        <v>8000</v>
      </c>
      <c r="D38" s="48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5199</v>
      </c>
      <c r="C39" s="174" t="s">
        <v>8001</v>
      </c>
      <c r="D39" s="48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7929</v>
      </c>
      <c r="C40" s="174" t="s">
        <v>8002</v>
      </c>
      <c r="D40" s="30" t="s">
        <v>1124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174"/>
      <c r="D41" s="30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174"/>
      <c r="D42" s="51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COUNTIF(D7:D42,"L")</f>
        <v>16</v>
      </c>
    </row>
    <row r="49" spans="2:3" x14ac:dyDescent="0.3">
      <c r="B49" s="21" t="s">
        <v>53</v>
      </c>
      <c r="C49">
        <f>COUNTIF(D7:D41,"P")</f>
        <v>17</v>
      </c>
    </row>
    <row r="50" spans="2:3" x14ac:dyDescent="0.3">
      <c r="B50" s="21" t="s">
        <v>363</v>
      </c>
      <c r="C50">
        <f>SUM(C48:C49)</f>
        <v>33</v>
      </c>
    </row>
  </sheetData>
  <sortState xmlns:xlrd2="http://schemas.microsoft.com/office/spreadsheetml/2017/richdata2" ref="B7:D41">
    <sortCondition ref="B7:B41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53125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89E7-9B0B-4A94-92CE-0E15A86B15D9}">
  <dimension ref="A1:AJ50"/>
  <sheetViews>
    <sheetView view="pageLayout" topLeftCell="A33" zoomScaleNormal="100" workbookViewId="0">
      <selection activeCell="K50" sqref="K50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517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5213</v>
      </c>
      <c r="C7" s="174" t="s">
        <v>8003</v>
      </c>
      <c r="D7" s="4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5235</v>
      </c>
      <c r="C8" s="174" t="s">
        <v>8004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4" t="s">
        <v>5250</v>
      </c>
      <c r="C9" s="174" t="s">
        <v>8005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5236</v>
      </c>
      <c r="C10" s="174" t="s">
        <v>8006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5" t="s">
        <v>5240</v>
      </c>
      <c r="C11" s="174" t="s">
        <v>8007</v>
      </c>
      <c r="D11" s="96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4" t="s">
        <v>5255</v>
      </c>
      <c r="C12" s="174" t="s">
        <v>8008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4" t="s">
        <v>5251</v>
      </c>
      <c r="C13" s="174" t="s">
        <v>8009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5237</v>
      </c>
      <c r="C14" s="174" t="s">
        <v>8010</v>
      </c>
      <c r="D14" s="47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5258</v>
      </c>
      <c r="C15" s="174" t="s">
        <v>8011</v>
      </c>
      <c r="D15" s="4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5" t="s">
        <v>5241</v>
      </c>
      <c r="C16" s="174" t="s">
        <v>8012</v>
      </c>
      <c r="D16" s="96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5" t="s">
        <v>5242</v>
      </c>
      <c r="C17" s="174" t="s">
        <v>8013</v>
      </c>
      <c r="D17" s="96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4" t="s">
        <v>5253</v>
      </c>
      <c r="C18" s="174" t="s">
        <v>8014</v>
      </c>
      <c r="D18" s="47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5238</v>
      </c>
      <c r="C19" s="174" t="s">
        <v>8015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4" t="s">
        <v>5248</v>
      </c>
      <c r="C20" s="174" t="s">
        <v>8016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2" t="s">
        <v>5239</v>
      </c>
      <c r="C21" s="174" t="s">
        <v>8017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74" t="s">
        <v>5260</v>
      </c>
      <c r="C22" s="174" t="s">
        <v>8018</v>
      </c>
      <c r="D22" s="4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5230</v>
      </c>
      <c r="C23" s="174" t="s">
        <v>8019</v>
      </c>
      <c r="D23" s="48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5261</v>
      </c>
      <c r="C24" s="174" t="s">
        <v>8020</v>
      </c>
      <c r="D24" s="47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4" t="s">
        <v>5252</v>
      </c>
      <c r="C25" s="174" t="s">
        <v>8021</v>
      </c>
      <c r="D25" s="47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4" t="s">
        <v>5256</v>
      </c>
      <c r="C26" s="174" t="s">
        <v>8022</v>
      </c>
      <c r="D26" s="47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3" t="s">
        <v>5234</v>
      </c>
      <c r="C27" s="174" t="s">
        <v>8023</v>
      </c>
      <c r="D27" s="48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4" t="s">
        <v>5254</v>
      </c>
      <c r="C28" s="174" t="s">
        <v>8024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76" t="s">
        <v>5229</v>
      </c>
      <c r="C29" s="174" t="s">
        <v>8025</v>
      </c>
      <c r="D29" s="48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4" t="s">
        <v>5257</v>
      </c>
      <c r="C30" s="174" t="s">
        <v>8026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4" t="s">
        <v>5249</v>
      </c>
      <c r="C31" s="174" t="s">
        <v>8027</v>
      </c>
      <c r="D31" s="47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4" t="s">
        <v>5247</v>
      </c>
      <c r="C32" s="174" t="s">
        <v>8028</v>
      </c>
      <c r="D32" s="4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5259</v>
      </c>
      <c r="C33" s="174" t="s">
        <v>8029</v>
      </c>
      <c r="D33" s="4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2" t="s">
        <v>5243</v>
      </c>
      <c r="C34" s="174" t="s">
        <v>8030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3" t="s">
        <v>5233</v>
      </c>
      <c r="C35" s="174" t="s">
        <v>8031</v>
      </c>
      <c r="D35" s="48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5245</v>
      </c>
      <c r="C36" s="174" t="s">
        <v>8032</v>
      </c>
      <c r="D36" s="47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8151</v>
      </c>
      <c r="C37" s="174" t="s">
        <v>8439</v>
      </c>
      <c r="D37" s="30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7930</v>
      </c>
      <c r="C38" s="174" t="s">
        <v>7951</v>
      </c>
      <c r="D38" s="3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8437</v>
      </c>
      <c r="C39" s="174" t="s">
        <v>8438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16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COUNTIF(D7:D39,"L")</f>
        <v>17</v>
      </c>
    </row>
    <row r="49" spans="2:3" x14ac:dyDescent="0.3">
      <c r="B49" s="21" t="s">
        <v>53</v>
      </c>
      <c r="C49">
        <f>COUNTIF(D7:E39,"P")</f>
        <v>16</v>
      </c>
    </row>
    <row r="50" spans="2:3" x14ac:dyDescent="0.3">
      <c r="B50" s="21" t="s">
        <v>363</v>
      </c>
      <c r="C50">
        <f>SUM(C48:C49)</f>
        <v>33</v>
      </c>
    </row>
  </sheetData>
  <sortState xmlns:xlrd2="http://schemas.microsoft.com/office/spreadsheetml/2017/richdata2" ref="B7:D40">
    <sortCondition ref="B7:B40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5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A3EA-8ACB-423F-87EB-9D7A02542ECD}">
  <dimension ref="A1:AJ50"/>
  <sheetViews>
    <sheetView view="pageLayout" topLeftCell="A42" zoomScaleNormal="100" workbookViewId="0">
      <selection activeCell="L42" sqref="L42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 t="s">
        <v>596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5244</v>
      </c>
      <c r="C7" s="174" t="s">
        <v>8033</v>
      </c>
      <c r="D7" s="4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5271</v>
      </c>
      <c r="C8" s="174" t="s">
        <v>8034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5265</v>
      </c>
      <c r="C9" s="174" t="s">
        <v>8035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5345</v>
      </c>
      <c r="C10" s="174" t="s">
        <v>8036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5365</v>
      </c>
      <c r="C11" s="174" t="s">
        <v>8037</v>
      </c>
      <c r="D11" s="47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9" t="s">
        <v>5291</v>
      </c>
      <c r="C12" s="174" t="s">
        <v>8038</v>
      </c>
      <c r="D12" s="5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9" t="s">
        <v>5287</v>
      </c>
      <c r="C13" s="174" t="s">
        <v>8039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5206</v>
      </c>
      <c r="C14" s="174" t="s">
        <v>8040</v>
      </c>
      <c r="D14" s="48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5264</v>
      </c>
      <c r="C15" s="174" t="s">
        <v>8041</v>
      </c>
      <c r="D15" s="4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5335</v>
      </c>
      <c r="C16" s="174" t="s">
        <v>8042</v>
      </c>
      <c r="D16" s="47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4" t="s">
        <v>5275</v>
      </c>
      <c r="C17" s="174" t="s">
        <v>8043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01" t="s">
        <v>8441</v>
      </c>
      <c r="C18" s="174" t="s">
        <v>8044</v>
      </c>
      <c r="D18" s="47"/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9" t="s">
        <v>5289</v>
      </c>
      <c r="C19" s="174" t="s">
        <v>8045</v>
      </c>
      <c r="D19" s="5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74" t="s">
        <v>5263</v>
      </c>
      <c r="C20" s="174" t="s">
        <v>8046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2" t="s">
        <v>5269</v>
      </c>
      <c r="C21" s="174" t="s">
        <v>8047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5282</v>
      </c>
      <c r="C22" s="174" t="s">
        <v>8048</v>
      </c>
      <c r="D22" s="4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5283</v>
      </c>
      <c r="C23" s="174" t="s">
        <v>8049</v>
      </c>
      <c r="D23" s="47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5266</v>
      </c>
      <c r="C24" s="174" t="s">
        <v>8050</v>
      </c>
      <c r="D24" s="47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5" t="s">
        <v>5268</v>
      </c>
      <c r="C25" s="174" t="s">
        <v>8051</v>
      </c>
      <c r="D25" s="96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98" t="s">
        <v>5262</v>
      </c>
      <c r="C26" s="174" t="s">
        <v>8052</v>
      </c>
      <c r="D26" s="48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5273</v>
      </c>
      <c r="C27" s="174" t="s">
        <v>8053</v>
      </c>
      <c r="D27" s="47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5267</v>
      </c>
      <c r="C28" s="174" t="s">
        <v>8054</v>
      </c>
      <c r="D28" s="47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5274</v>
      </c>
      <c r="C29" s="174" t="s">
        <v>8055</v>
      </c>
      <c r="D29" s="47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5281</v>
      </c>
      <c r="C30" s="174" t="s">
        <v>8056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1294</v>
      </c>
      <c r="C31" s="174" t="s">
        <v>8057</v>
      </c>
      <c r="D31" s="47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4" t="s">
        <v>5276</v>
      </c>
      <c r="C32" s="174" t="s">
        <v>8058</v>
      </c>
      <c r="D32" s="47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5280</v>
      </c>
      <c r="C33" s="174" t="s">
        <v>8059</v>
      </c>
      <c r="D33" s="47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4" t="s">
        <v>5277</v>
      </c>
      <c r="C34" s="174" t="s">
        <v>8060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4" t="s">
        <v>5279</v>
      </c>
      <c r="C35" s="174" t="s">
        <v>8061</v>
      </c>
      <c r="D35" s="4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74" t="s">
        <v>5272</v>
      </c>
      <c r="C36" s="174" t="s">
        <v>8062</v>
      </c>
      <c r="D36" s="47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4" t="s">
        <v>5278</v>
      </c>
      <c r="C37" s="174" t="s">
        <v>8063</v>
      </c>
      <c r="D37" s="47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9" t="s">
        <v>5288</v>
      </c>
      <c r="C38" s="174" t="s">
        <v>8064</v>
      </c>
      <c r="D38" s="5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2" t="s">
        <v>5227</v>
      </c>
      <c r="C39" s="174" t="s">
        <v>8065</v>
      </c>
      <c r="D39" s="47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5286</v>
      </c>
      <c r="C40" s="174" t="s">
        <v>8066</v>
      </c>
      <c r="D40" s="47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4" t="s">
        <v>5360</v>
      </c>
      <c r="C41" s="174" t="s">
        <v>8067</v>
      </c>
      <c r="D41" s="47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20</v>
      </c>
    </row>
    <row r="49" spans="2:3" x14ac:dyDescent="0.3">
      <c r="B49" s="21" t="s">
        <v>53</v>
      </c>
      <c r="C49">
        <f>COUNTIF(D7:D41,"P")</f>
        <v>14</v>
      </c>
    </row>
    <row r="50" spans="2:3" x14ac:dyDescent="0.3">
      <c r="B50" s="21" t="s">
        <v>363</v>
      </c>
      <c r="C50">
        <f>SUM(C48:C49)</f>
        <v>34</v>
      </c>
    </row>
  </sheetData>
  <sortState xmlns:xlrd2="http://schemas.microsoft.com/office/spreadsheetml/2017/richdata2" ref="B7:D41">
    <sortCondition ref="B7:B41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5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5B9C-CF6C-4016-B86B-052880DC2ADC}">
  <dimension ref="A1:AJ50"/>
  <sheetViews>
    <sheetView view="pageLayout" topLeftCell="A42" zoomScaleNormal="100" workbookViewId="0">
      <selection activeCell="N42" sqref="N42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5" width="1.4414062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1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1"/>
    </row>
    <row r="3" spans="1:36" x14ac:dyDescent="0.3">
      <c r="A3" s="6"/>
      <c r="B3" s="2" t="s">
        <v>1</v>
      </c>
      <c r="C3" s="2" t="s">
        <v>671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50" t="s">
        <v>4433</v>
      </c>
      <c r="AD4" s="550"/>
      <c r="AE4" s="550"/>
      <c r="AF4" s="550"/>
      <c r="AG4" s="550"/>
      <c r="AH4" s="550"/>
      <c r="AI4" s="550"/>
      <c r="AJ4" s="182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50"/>
      <c r="AD5" s="550"/>
      <c r="AE5" s="550"/>
      <c r="AF5" s="550"/>
      <c r="AG5" s="550"/>
      <c r="AH5" s="550"/>
      <c r="AI5" s="550"/>
      <c r="AJ5" s="182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</row>
    <row r="7" spans="1:36" x14ac:dyDescent="0.3">
      <c r="A7" s="10">
        <v>1</v>
      </c>
      <c r="B7" s="42" t="s">
        <v>5316</v>
      </c>
      <c r="C7" s="174" t="s">
        <v>8068</v>
      </c>
      <c r="D7" s="47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</row>
    <row r="8" spans="1:36" x14ac:dyDescent="0.3">
      <c r="A8" s="10">
        <v>2</v>
      </c>
      <c r="B8" s="42" t="s">
        <v>5311</v>
      </c>
      <c r="C8" s="174" t="s">
        <v>8069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</row>
    <row r="9" spans="1:36" x14ac:dyDescent="0.3">
      <c r="A9" s="10">
        <v>3</v>
      </c>
      <c r="B9" s="42" t="s">
        <v>5314</v>
      </c>
      <c r="C9" s="174" t="s">
        <v>8070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</row>
    <row r="10" spans="1:36" x14ac:dyDescent="0.3">
      <c r="A10" s="10">
        <v>4</v>
      </c>
      <c r="B10" s="49" t="s">
        <v>5323</v>
      </c>
      <c r="C10" s="174" t="s">
        <v>8071</v>
      </c>
      <c r="D10" s="5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</row>
    <row r="11" spans="1:36" x14ac:dyDescent="0.3">
      <c r="A11" s="10">
        <v>5</v>
      </c>
      <c r="B11" s="42" t="s">
        <v>5303</v>
      </c>
      <c r="C11" s="174" t="s">
        <v>8072</v>
      </c>
      <c r="D11" s="47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</row>
    <row r="12" spans="1:36" x14ac:dyDescent="0.3">
      <c r="A12" s="10">
        <v>6</v>
      </c>
      <c r="B12" s="173" t="s">
        <v>5320</v>
      </c>
      <c r="C12" s="174" t="s">
        <v>8073</v>
      </c>
      <c r="D12" s="47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</row>
    <row r="13" spans="1:36" x14ac:dyDescent="0.3">
      <c r="A13" s="10">
        <v>7</v>
      </c>
      <c r="B13" s="42" t="s">
        <v>5366</v>
      </c>
      <c r="C13" s="174" t="s">
        <v>8074</v>
      </c>
      <c r="D13" s="47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</row>
    <row r="14" spans="1:36" x14ac:dyDescent="0.3">
      <c r="A14" s="10">
        <v>8</v>
      </c>
      <c r="B14" s="44" t="s">
        <v>5305</v>
      </c>
      <c r="C14" s="174" t="s">
        <v>8075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</row>
    <row r="15" spans="1:36" x14ac:dyDescent="0.3">
      <c r="A15" s="10">
        <v>9</v>
      </c>
      <c r="B15" s="42" t="s">
        <v>5295</v>
      </c>
      <c r="C15" s="174" t="s">
        <v>8076</v>
      </c>
      <c r="D15" s="47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</row>
    <row r="16" spans="1:36" x14ac:dyDescent="0.3">
      <c r="A16" s="10">
        <v>10</v>
      </c>
      <c r="B16" s="49" t="s">
        <v>5325</v>
      </c>
      <c r="C16" s="174" t="s">
        <v>8077</v>
      </c>
      <c r="D16" s="50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</row>
    <row r="17" spans="1:35" x14ac:dyDescent="0.3">
      <c r="A17" s="10">
        <v>11</v>
      </c>
      <c r="B17" s="42" t="s">
        <v>5317</v>
      </c>
      <c r="C17" s="174" t="s">
        <v>8078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</row>
    <row r="18" spans="1:35" x14ac:dyDescent="0.3">
      <c r="A18" s="10">
        <v>12</v>
      </c>
      <c r="B18" s="173" t="s">
        <v>5367</v>
      </c>
      <c r="C18" s="174" t="s">
        <v>8079</v>
      </c>
      <c r="D18" s="47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</row>
    <row r="19" spans="1:35" x14ac:dyDescent="0.3">
      <c r="A19" s="10">
        <v>13</v>
      </c>
      <c r="B19" s="74" t="s">
        <v>5292</v>
      </c>
      <c r="C19" s="174" t="s">
        <v>8080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</row>
    <row r="20" spans="1:35" x14ac:dyDescent="0.3">
      <c r="A20" s="10">
        <v>14</v>
      </c>
      <c r="B20" s="42" t="s">
        <v>5318</v>
      </c>
      <c r="C20" s="174" t="s">
        <v>8081</v>
      </c>
      <c r="D20" s="7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</row>
    <row r="21" spans="1:35" x14ac:dyDescent="0.3">
      <c r="A21" s="10">
        <v>15</v>
      </c>
      <c r="B21" s="42" t="s">
        <v>5300</v>
      </c>
      <c r="C21" s="174" t="s">
        <v>8082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</row>
    <row r="22" spans="1:35" x14ac:dyDescent="0.3">
      <c r="A22" s="10">
        <v>16</v>
      </c>
      <c r="B22" s="42" t="s">
        <v>5319</v>
      </c>
      <c r="C22" s="174" t="s">
        <v>8083</v>
      </c>
      <c r="D22" s="4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</row>
    <row r="23" spans="1:35" x14ac:dyDescent="0.3">
      <c r="A23" s="10">
        <v>17</v>
      </c>
      <c r="B23" s="49" t="s">
        <v>5324</v>
      </c>
      <c r="C23" s="174" t="s">
        <v>8084</v>
      </c>
      <c r="D23" s="50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</row>
    <row r="24" spans="1:35" x14ac:dyDescent="0.3">
      <c r="A24" s="10">
        <v>18</v>
      </c>
      <c r="B24" s="44" t="s">
        <v>5309</v>
      </c>
      <c r="C24" s="174" t="s">
        <v>8085</v>
      </c>
      <c r="D24" s="47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</row>
    <row r="25" spans="1:35" x14ac:dyDescent="0.3">
      <c r="A25" s="10">
        <v>19</v>
      </c>
      <c r="B25" s="42" t="s">
        <v>5312</v>
      </c>
      <c r="C25" s="174" t="s">
        <v>8086</v>
      </c>
      <c r="D25" s="47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</row>
    <row r="26" spans="1:35" x14ac:dyDescent="0.3">
      <c r="A26" s="10">
        <v>20</v>
      </c>
      <c r="B26" s="42" t="s">
        <v>8137</v>
      </c>
      <c r="C26" s="174" t="s">
        <v>8087</v>
      </c>
      <c r="D26" s="77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</row>
    <row r="27" spans="1:35" x14ac:dyDescent="0.3">
      <c r="A27" s="10">
        <v>21</v>
      </c>
      <c r="B27" s="43" t="s">
        <v>5168</v>
      </c>
      <c r="C27" s="174" t="s">
        <v>8088</v>
      </c>
      <c r="D27" s="48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</row>
    <row r="28" spans="1:35" x14ac:dyDescent="0.3">
      <c r="A28" s="10">
        <v>22</v>
      </c>
      <c r="B28" s="44" t="s">
        <v>5306</v>
      </c>
      <c r="C28" s="174" t="s">
        <v>8089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</row>
    <row r="29" spans="1:35" x14ac:dyDescent="0.3">
      <c r="A29" s="10">
        <v>23</v>
      </c>
      <c r="B29" s="44" t="s">
        <v>5307</v>
      </c>
      <c r="C29" s="174" t="s">
        <v>8090</v>
      </c>
      <c r="D29" s="47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</row>
    <row r="30" spans="1:35" x14ac:dyDescent="0.3">
      <c r="A30" s="10">
        <v>24</v>
      </c>
      <c r="B30" s="44" t="s">
        <v>5308</v>
      </c>
      <c r="C30" s="174" t="s">
        <v>8091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</row>
    <row r="31" spans="1:35" x14ac:dyDescent="0.3">
      <c r="A31" s="10">
        <v>25</v>
      </c>
      <c r="B31" s="42" t="s">
        <v>5296</v>
      </c>
      <c r="C31" s="174" t="s">
        <v>8092</v>
      </c>
      <c r="D31" s="47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</row>
    <row r="32" spans="1:35" x14ac:dyDescent="0.3">
      <c r="A32" s="10">
        <v>26</v>
      </c>
      <c r="B32" s="42" t="s">
        <v>5294</v>
      </c>
      <c r="C32" s="174" t="s">
        <v>8093</v>
      </c>
      <c r="D32" s="4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</row>
    <row r="33" spans="1:35" x14ac:dyDescent="0.3">
      <c r="A33" s="10">
        <v>27</v>
      </c>
      <c r="B33" s="42" t="s">
        <v>5313</v>
      </c>
      <c r="C33" s="174" t="s">
        <v>8094</v>
      </c>
      <c r="D33" s="4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</row>
    <row r="34" spans="1:35" x14ac:dyDescent="0.3">
      <c r="A34" s="10">
        <v>28</v>
      </c>
      <c r="B34" s="42" t="s">
        <v>5310</v>
      </c>
      <c r="C34" s="174" t="s">
        <v>8095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</row>
    <row r="35" spans="1:35" x14ac:dyDescent="0.3">
      <c r="A35" s="10">
        <v>29</v>
      </c>
      <c r="B35" s="42" t="s">
        <v>5293</v>
      </c>
      <c r="C35" s="174" t="s">
        <v>8096</v>
      </c>
      <c r="D35" s="4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</row>
    <row r="36" spans="1:35" x14ac:dyDescent="0.3">
      <c r="A36" s="10">
        <v>30</v>
      </c>
      <c r="B36" s="42" t="s">
        <v>5301</v>
      </c>
      <c r="C36" s="174" t="s">
        <v>8097</v>
      </c>
      <c r="D36" s="47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</row>
    <row r="37" spans="1:35" x14ac:dyDescent="0.3">
      <c r="A37" s="10">
        <v>31</v>
      </c>
      <c r="B37" s="42" t="s">
        <v>5297</v>
      </c>
      <c r="C37" s="174" t="s">
        <v>8098</v>
      </c>
      <c r="D37" s="47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</row>
    <row r="38" spans="1:35" x14ac:dyDescent="0.3">
      <c r="A38" s="10">
        <v>32</v>
      </c>
      <c r="B38" s="42" t="s">
        <v>5298</v>
      </c>
      <c r="C38" s="174" t="s">
        <v>8099</v>
      </c>
      <c r="D38" s="47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</row>
    <row r="39" spans="1:35" x14ac:dyDescent="0.3">
      <c r="A39" s="10">
        <v>33</v>
      </c>
      <c r="B39" s="42" t="s">
        <v>5321</v>
      </c>
      <c r="C39" s="174" t="s">
        <v>8100</v>
      </c>
      <c r="D39" s="47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</row>
    <row r="40" spans="1:35" x14ac:dyDescent="0.3">
      <c r="A40" s="10">
        <v>34</v>
      </c>
      <c r="B40" s="42"/>
      <c r="C40" s="174"/>
      <c r="D40" s="47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</row>
    <row r="41" spans="1:35" x14ac:dyDescent="0.3">
      <c r="A41" s="10">
        <v>35</v>
      </c>
      <c r="B41" s="42"/>
      <c r="C41" s="174"/>
      <c r="D41" s="47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</row>
    <row r="42" spans="1:35" x14ac:dyDescent="0.3">
      <c r="A42" s="10">
        <v>36</v>
      </c>
      <c r="B42" s="42"/>
      <c r="C42" s="174"/>
      <c r="D42" s="47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</row>
    <row r="43" spans="1:35" x14ac:dyDescent="0.3">
      <c r="A43" s="10">
        <v>37</v>
      </c>
      <c r="B43" s="42"/>
      <c r="C43" s="174"/>
      <c r="D43" s="47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</row>
    <row r="44" spans="1:35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</row>
    <row r="45" spans="1:35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</row>
    <row r="46" spans="1:35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</row>
    <row r="47" spans="1:35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</row>
    <row r="48" spans="1:35" x14ac:dyDescent="0.3">
      <c r="B48" s="21" t="s">
        <v>52</v>
      </c>
      <c r="C48">
        <f>COUNTIF(D7:D43,"L")</f>
        <v>18</v>
      </c>
    </row>
    <row r="49" spans="2:3" x14ac:dyDescent="0.3">
      <c r="B49" s="21" t="s">
        <v>53</v>
      </c>
      <c r="C49">
        <f>COUNTIF(D7:D40,"P")</f>
        <v>15</v>
      </c>
    </row>
    <row r="50" spans="2:3" x14ac:dyDescent="0.3">
      <c r="B50" s="21" t="s">
        <v>363</v>
      </c>
      <c r="C50">
        <f>SUM(C48:C49)</f>
        <v>33</v>
      </c>
    </row>
  </sheetData>
  <sortState xmlns:xlrd2="http://schemas.microsoft.com/office/spreadsheetml/2017/richdata2" ref="B7:D41">
    <sortCondition ref="B7:B41"/>
  </sortState>
  <mergeCells count="14">
    <mergeCell ref="A45:B47"/>
    <mergeCell ref="A1:AI1"/>
    <mergeCell ref="A2:AI2"/>
    <mergeCell ref="A4:A6"/>
    <mergeCell ref="B4:B6"/>
    <mergeCell ref="C4:C6"/>
    <mergeCell ref="D4:D6"/>
    <mergeCell ref="E4:L4"/>
    <mergeCell ref="M4:T4"/>
    <mergeCell ref="U4:AB4"/>
    <mergeCell ref="E5:L5"/>
    <mergeCell ref="M5:T5"/>
    <mergeCell ref="U5:AB5"/>
    <mergeCell ref="AC4:AI5"/>
  </mergeCells>
  <phoneticPr fontId="11" type="noConversion"/>
  <pageMargins left="0.625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F020-835B-4357-A692-DFE9AF1336AD}">
  <dimension ref="A1:AI50"/>
  <sheetViews>
    <sheetView view="pageLayout" topLeftCell="A37" zoomScaleNormal="100" workbookViewId="0">
      <selection activeCell="A3" sqref="A3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5" width="1.44140625" customWidth="1"/>
  </cols>
  <sheetData>
    <row r="1" spans="1:35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</row>
    <row r="2" spans="1:35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</row>
    <row r="3" spans="1:35" x14ac:dyDescent="0.3">
      <c r="A3" s="6"/>
      <c r="B3" s="2" t="s">
        <v>1</v>
      </c>
      <c r="C3" s="2" t="s">
        <v>672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50" t="s">
        <v>4433</v>
      </c>
      <c r="AD4" s="550"/>
      <c r="AE4" s="550"/>
      <c r="AF4" s="550"/>
      <c r="AG4" s="550"/>
      <c r="AH4" s="550"/>
      <c r="AI4" s="550"/>
    </row>
    <row r="5" spans="1:35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50"/>
      <c r="AD5" s="550"/>
      <c r="AE5" s="550"/>
      <c r="AF5" s="550"/>
      <c r="AG5" s="550"/>
      <c r="AH5" s="550"/>
      <c r="AI5" s="550"/>
    </row>
    <row r="6" spans="1:35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</row>
    <row r="7" spans="1:35" x14ac:dyDescent="0.3">
      <c r="A7" s="10">
        <v>1</v>
      </c>
      <c r="B7" s="42" t="s">
        <v>5186</v>
      </c>
      <c r="C7" s="174" t="s">
        <v>8101</v>
      </c>
      <c r="D7" s="48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</row>
    <row r="8" spans="1:35" x14ac:dyDescent="0.3">
      <c r="A8" s="10">
        <v>2</v>
      </c>
      <c r="B8" s="42" t="s">
        <v>5342</v>
      </c>
      <c r="C8" s="174" t="s">
        <v>8102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</row>
    <row r="9" spans="1:35" x14ac:dyDescent="0.3">
      <c r="A9" s="10">
        <v>3</v>
      </c>
      <c r="B9" s="42" t="s">
        <v>5329</v>
      </c>
      <c r="C9" s="174" t="s">
        <v>8103</v>
      </c>
      <c r="D9" s="170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</row>
    <row r="10" spans="1:35" x14ac:dyDescent="0.3">
      <c r="A10" s="10">
        <v>4</v>
      </c>
      <c r="B10" s="42" t="s">
        <v>5347</v>
      </c>
      <c r="C10" s="174" t="s">
        <v>8104</v>
      </c>
      <c r="D10" s="47" t="s">
        <v>52</v>
      </c>
      <c r="E10" s="3"/>
      <c r="F10" s="3"/>
      <c r="G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</row>
    <row r="11" spans="1:35" x14ac:dyDescent="0.3">
      <c r="A11" s="10">
        <v>5</v>
      </c>
      <c r="B11" s="49" t="s">
        <v>5352</v>
      </c>
      <c r="C11" s="174" t="s">
        <v>8105</v>
      </c>
      <c r="D11" s="50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</row>
    <row r="12" spans="1:35" x14ac:dyDescent="0.3">
      <c r="A12" s="10">
        <v>6</v>
      </c>
      <c r="B12" s="177" t="s">
        <v>5337</v>
      </c>
      <c r="C12" s="174" t="s">
        <v>8106</v>
      </c>
      <c r="D12" s="178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</row>
    <row r="13" spans="1:35" x14ac:dyDescent="0.3">
      <c r="A13" s="10">
        <v>7</v>
      </c>
      <c r="B13" s="42" t="s">
        <v>5339</v>
      </c>
      <c r="C13" s="174" t="s">
        <v>8107</v>
      </c>
      <c r="D13" s="47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</row>
    <row r="14" spans="1:35" x14ac:dyDescent="0.3">
      <c r="A14" s="10">
        <v>8</v>
      </c>
      <c r="B14" s="49" t="s">
        <v>5356</v>
      </c>
      <c r="C14" s="174" t="s">
        <v>8108</v>
      </c>
      <c r="D14" s="50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</row>
    <row r="15" spans="1:35" x14ac:dyDescent="0.3">
      <c r="A15" s="10">
        <v>9</v>
      </c>
      <c r="B15" s="43" t="s">
        <v>5327</v>
      </c>
      <c r="C15" s="174" t="s">
        <v>8109</v>
      </c>
      <c r="D15" s="48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</row>
    <row r="16" spans="1:35" x14ac:dyDescent="0.3">
      <c r="A16" s="10">
        <v>10</v>
      </c>
      <c r="B16" s="42" t="s">
        <v>5349</v>
      </c>
      <c r="C16" s="174" t="s">
        <v>8110</v>
      </c>
      <c r="D16" s="4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</row>
    <row r="17" spans="1:35" x14ac:dyDescent="0.3">
      <c r="A17" s="10">
        <v>11</v>
      </c>
      <c r="B17" s="42" t="s">
        <v>5346</v>
      </c>
      <c r="C17" s="174" t="s">
        <v>8111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</row>
    <row r="18" spans="1:35" x14ac:dyDescent="0.3">
      <c r="A18" s="10">
        <v>12</v>
      </c>
      <c r="B18" s="42" t="s">
        <v>5341</v>
      </c>
      <c r="C18" s="174" t="s">
        <v>8112</v>
      </c>
      <c r="D18" s="47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</row>
    <row r="19" spans="1:35" x14ac:dyDescent="0.3">
      <c r="A19" s="10">
        <v>13</v>
      </c>
      <c r="B19" s="46" t="s">
        <v>5285</v>
      </c>
      <c r="C19" s="174" t="s">
        <v>8113</v>
      </c>
      <c r="D19" s="175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</row>
    <row r="20" spans="1:35" x14ac:dyDescent="0.3">
      <c r="A20" s="10">
        <v>14</v>
      </c>
      <c r="B20" s="42" t="s">
        <v>5348</v>
      </c>
      <c r="C20" s="174" t="s">
        <v>8114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</row>
    <row r="21" spans="1:35" x14ac:dyDescent="0.3">
      <c r="A21" s="10">
        <v>15</v>
      </c>
      <c r="B21" s="101" t="s">
        <v>5334</v>
      </c>
      <c r="C21" s="384" t="s">
        <v>8115</v>
      </c>
      <c r="D21" s="105"/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</row>
    <row r="22" spans="1:35" x14ac:dyDescent="0.3">
      <c r="A22" s="10">
        <v>16</v>
      </c>
      <c r="B22" s="43" t="s">
        <v>5331</v>
      </c>
      <c r="C22" s="174" t="s">
        <v>8116</v>
      </c>
      <c r="D22" s="4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</row>
    <row r="23" spans="1:35" x14ac:dyDescent="0.3">
      <c r="A23" s="10">
        <v>17</v>
      </c>
      <c r="B23" s="42" t="s">
        <v>5340</v>
      </c>
      <c r="C23" s="174" t="s">
        <v>8117</v>
      </c>
      <c r="D23" s="4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</row>
    <row r="24" spans="1:35" x14ac:dyDescent="0.3">
      <c r="A24" s="10">
        <v>18</v>
      </c>
      <c r="B24" s="49" t="s">
        <v>5351</v>
      </c>
      <c r="C24" s="174" t="s">
        <v>8118</v>
      </c>
      <c r="D24" s="5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</row>
    <row r="25" spans="1:35" x14ac:dyDescent="0.3">
      <c r="A25" s="10">
        <v>19</v>
      </c>
      <c r="B25" s="49" t="s">
        <v>5354</v>
      </c>
      <c r="C25" s="174" t="s">
        <v>8119</v>
      </c>
      <c r="D25" s="5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</row>
    <row r="26" spans="1:35" x14ac:dyDescent="0.3">
      <c r="A26" s="10">
        <v>20</v>
      </c>
      <c r="B26" s="49" t="s">
        <v>5353</v>
      </c>
      <c r="C26" s="174" t="s">
        <v>8120</v>
      </c>
      <c r="D26" s="50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</row>
    <row r="27" spans="1:35" x14ac:dyDescent="0.3">
      <c r="A27" s="10">
        <v>21</v>
      </c>
      <c r="B27" s="80" t="s">
        <v>5336</v>
      </c>
      <c r="C27" s="174" t="s">
        <v>8121</v>
      </c>
      <c r="D27" s="50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</row>
    <row r="28" spans="1:35" x14ac:dyDescent="0.3">
      <c r="A28" s="10">
        <v>22</v>
      </c>
      <c r="B28" s="49" t="s">
        <v>5363</v>
      </c>
      <c r="C28" s="174" t="s">
        <v>8122</v>
      </c>
      <c r="D28" s="50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</row>
    <row r="29" spans="1:35" x14ac:dyDescent="0.3">
      <c r="A29" s="10">
        <v>23</v>
      </c>
      <c r="B29" s="49" t="s">
        <v>5355</v>
      </c>
      <c r="C29" s="174" t="s">
        <v>8123</v>
      </c>
      <c r="D29" s="50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</row>
    <row r="30" spans="1:35" x14ac:dyDescent="0.3">
      <c r="A30" s="10">
        <v>24</v>
      </c>
      <c r="B30" s="44" t="s">
        <v>5338</v>
      </c>
      <c r="C30" s="174" t="s">
        <v>8124</v>
      </c>
      <c r="D30" s="47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</row>
    <row r="31" spans="1:35" x14ac:dyDescent="0.3">
      <c r="A31" s="10">
        <v>25</v>
      </c>
      <c r="B31" s="49" t="s">
        <v>5357</v>
      </c>
      <c r="C31" s="174" t="s">
        <v>8125</v>
      </c>
      <c r="D31" s="50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</row>
    <row r="32" spans="1:35" x14ac:dyDescent="0.3">
      <c r="A32" s="10">
        <v>26</v>
      </c>
      <c r="B32" s="42" t="s">
        <v>5344</v>
      </c>
      <c r="C32" s="174" t="s">
        <v>8126</v>
      </c>
      <c r="D32" s="4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</row>
    <row r="33" spans="1:35" x14ac:dyDescent="0.3">
      <c r="A33" s="10">
        <v>27</v>
      </c>
      <c r="B33" s="43" t="s">
        <v>5330</v>
      </c>
      <c r="C33" s="174" t="s">
        <v>8127</v>
      </c>
      <c r="D33" s="48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</row>
    <row r="34" spans="1:35" x14ac:dyDescent="0.3">
      <c r="A34" s="10">
        <v>28</v>
      </c>
      <c r="B34" s="42" t="s">
        <v>5350</v>
      </c>
      <c r="C34" s="174" t="s">
        <v>8128</v>
      </c>
      <c r="D34" s="47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</row>
    <row r="35" spans="1:35" x14ac:dyDescent="0.3">
      <c r="A35" s="10">
        <v>29</v>
      </c>
      <c r="B35" s="42" t="s">
        <v>5333</v>
      </c>
      <c r="C35" s="174" t="s">
        <v>8129</v>
      </c>
      <c r="D35" s="4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</row>
    <row r="36" spans="1:35" x14ac:dyDescent="0.3">
      <c r="A36" s="10">
        <v>30</v>
      </c>
      <c r="B36" s="42" t="s">
        <v>5364</v>
      </c>
      <c r="C36" s="174" t="s">
        <v>8130</v>
      </c>
      <c r="D36" s="47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</row>
    <row r="37" spans="1:35" x14ac:dyDescent="0.3">
      <c r="A37" s="10">
        <v>31</v>
      </c>
      <c r="B37" s="42" t="s">
        <v>5188</v>
      </c>
      <c r="C37" s="174" t="s">
        <v>8131</v>
      </c>
      <c r="D37" s="48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</row>
    <row r="38" spans="1:35" x14ac:dyDescent="0.3">
      <c r="A38" s="10">
        <v>32</v>
      </c>
      <c r="B38" s="42" t="s">
        <v>5328</v>
      </c>
      <c r="C38" s="174" t="s">
        <v>8132</v>
      </c>
      <c r="D38" s="48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</row>
    <row r="39" spans="1:35" x14ac:dyDescent="0.3">
      <c r="A39" s="10">
        <v>33</v>
      </c>
      <c r="B39" s="42" t="s">
        <v>5332</v>
      </c>
      <c r="C39" s="174" t="s">
        <v>8133</v>
      </c>
      <c r="D39" s="47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</row>
    <row r="40" spans="1:35" x14ac:dyDescent="0.3">
      <c r="A40" s="10">
        <v>34</v>
      </c>
      <c r="B40" s="43" t="s">
        <v>5326</v>
      </c>
      <c r="C40" s="174" t="s">
        <v>8134</v>
      </c>
      <c r="D40" s="48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</row>
    <row r="41" spans="1:35" x14ac:dyDescent="0.3">
      <c r="A41" s="10">
        <v>35</v>
      </c>
      <c r="B41" s="49" t="s">
        <v>5290</v>
      </c>
      <c r="C41" s="174" t="s">
        <v>8135</v>
      </c>
      <c r="D41" s="50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</row>
    <row r="42" spans="1:35" x14ac:dyDescent="0.3">
      <c r="A42" s="10">
        <v>36</v>
      </c>
      <c r="B42" s="42" t="s">
        <v>5343</v>
      </c>
      <c r="C42" s="174" t="s">
        <v>8136</v>
      </c>
      <c r="D42" s="47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</row>
    <row r="43" spans="1:35" x14ac:dyDescent="0.3">
      <c r="A43" s="10">
        <v>37</v>
      </c>
      <c r="B43" s="3" t="s">
        <v>8154</v>
      </c>
      <c r="C43" s="174" t="s">
        <v>8155</v>
      </c>
      <c r="D43" s="51" t="s">
        <v>52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</row>
    <row r="44" spans="1:35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</row>
    <row r="45" spans="1:35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</row>
    <row r="46" spans="1:35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</row>
    <row r="47" spans="1:35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</row>
    <row r="48" spans="1:35" x14ac:dyDescent="0.3">
      <c r="B48" s="21" t="s">
        <v>52</v>
      </c>
      <c r="C48">
        <f>COUNTIF(D7:D43,"L")</f>
        <v>20</v>
      </c>
    </row>
    <row r="49" spans="2:3" x14ac:dyDescent="0.3">
      <c r="B49" s="21" t="s">
        <v>53</v>
      </c>
      <c r="C49">
        <f>COUNTIF(D7:D42,"P")</f>
        <v>16</v>
      </c>
    </row>
    <row r="50" spans="2:3" x14ac:dyDescent="0.3">
      <c r="B50" s="21" t="s">
        <v>363</v>
      </c>
      <c r="C50">
        <f>SUM(C48:C49)</f>
        <v>36</v>
      </c>
    </row>
  </sheetData>
  <sortState xmlns:xlrd2="http://schemas.microsoft.com/office/spreadsheetml/2017/richdata2" ref="B7:D42">
    <sortCondition ref="B7:B42"/>
  </sortState>
  <mergeCells count="14">
    <mergeCell ref="M5:T5"/>
    <mergeCell ref="U5:AB5"/>
    <mergeCell ref="A45:B47"/>
    <mergeCell ref="A1:AI1"/>
    <mergeCell ref="A2:AI2"/>
    <mergeCell ref="A4:A6"/>
    <mergeCell ref="B4:B6"/>
    <mergeCell ref="C4:C6"/>
    <mergeCell ref="D4:D6"/>
    <mergeCell ref="E4:L4"/>
    <mergeCell ref="M4:T4"/>
    <mergeCell ref="U4:AB4"/>
    <mergeCell ref="E5:L5"/>
    <mergeCell ref="AC4:AI5"/>
  </mergeCells>
  <phoneticPr fontId="11" type="noConversion"/>
  <pageMargins left="0.60416666666666663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46BF7-1608-4263-AA04-0BDFF63271E3}">
  <dimension ref="A1:AJ50"/>
  <sheetViews>
    <sheetView view="pageLayout" topLeftCell="A41" zoomScaleNormal="100" workbookViewId="0">
      <selection activeCell="J51" sqref="J51"/>
    </sheetView>
  </sheetViews>
  <sheetFormatPr defaultRowHeight="14.4" x14ac:dyDescent="0.3"/>
  <cols>
    <col min="1" max="1" width="3.88671875" customWidth="1"/>
    <col min="2" max="2" width="27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66" t="s">
        <v>8165</v>
      </c>
      <c r="C7" s="100" t="s">
        <v>4229</v>
      </c>
      <c r="D7" s="109"/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11" t="s">
        <v>3786</v>
      </c>
      <c r="C8" s="100" t="s">
        <v>4230</v>
      </c>
      <c r="D8" s="109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85" t="s">
        <v>4462</v>
      </c>
      <c r="C9" s="359" t="s">
        <v>8174</v>
      </c>
      <c r="D9" s="11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10" t="s">
        <v>3787</v>
      </c>
      <c r="C10" s="100" t="s">
        <v>4231</v>
      </c>
      <c r="D10" s="109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10" t="s">
        <v>3788</v>
      </c>
      <c r="C11" s="100" t="s">
        <v>4232</v>
      </c>
      <c r="D11" s="109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110" t="s">
        <v>3789</v>
      </c>
      <c r="C12" s="100" t="s">
        <v>4233</v>
      </c>
      <c r="D12" s="109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10" t="s">
        <v>3790</v>
      </c>
      <c r="C13" s="100" t="s">
        <v>4234</v>
      </c>
      <c r="D13" s="109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12" t="s">
        <v>3791</v>
      </c>
      <c r="C14" s="100" t="s">
        <v>4235</v>
      </c>
      <c r="D14" s="109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7933</v>
      </c>
      <c r="C15" s="359" t="s">
        <v>7934</v>
      </c>
      <c r="D15" s="51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12" t="s">
        <v>4223</v>
      </c>
      <c r="C16" s="100" t="s">
        <v>4237</v>
      </c>
      <c r="D16" s="109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10" t="s">
        <v>3792</v>
      </c>
      <c r="C17" s="100" t="s">
        <v>4236</v>
      </c>
      <c r="D17" s="109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10" t="s">
        <v>3793</v>
      </c>
      <c r="C18" s="100" t="s">
        <v>4238</v>
      </c>
      <c r="D18" s="109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8187</v>
      </c>
      <c r="C19" s="359" t="s">
        <v>8189</v>
      </c>
      <c r="D19" s="5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11" t="s">
        <v>3794</v>
      </c>
      <c r="C20" s="100" t="s">
        <v>4239</v>
      </c>
      <c r="D20" s="109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12" t="s">
        <v>3795</v>
      </c>
      <c r="C21" s="100" t="s">
        <v>4240</v>
      </c>
      <c r="D21" s="109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10" t="s">
        <v>3796</v>
      </c>
      <c r="C22" s="100" t="s">
        <v>4241</v>
      </c>
      <c r="D22" s="109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10" t="s">
        <v>3797</v>
      </c>
      <c r="C23" s="100" t="s">
        <v>4242</v>
      </c>
      <c r="D23" s="109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10" t="s">
        <v>3798</v>
      </c>
      <c r="C24" s="100" t="s">
        <v>4243</v>
      </c>
      <c r="D24" s="109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4441</v>
      </c>
      <c r="C25" s="13" t="s">
        <v>4443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19" t="s">
        <v>3799</v>
      </c>
      <c r="C26" s="100" t="s">
        <v>4244</v>
      </c>
      <c r="D26" s="109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13" t="s">
        <v>4834</v>
      </c>
      <c r="C27" s="100" t="s">
        <v>4245</v>
      </c>
      <c r="D27" s="109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16" t="s">
        <v>3800</v>
      </c>
      <c r="C28" s="100" t="s">
        <v>4246</v>
      </c>
      <c r="D28" s="109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16" t="s">
        <v>3801</v>
      </c>
      <c r="C29" s="100" t="s">
        <v>4247</v>
      </c>
      <c r="D29" s="109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11" t="s">
        <v>3802</v>
      </c>
      <c r="C30" s="100" t="s">
        <v>4248</v>
      </c>
      <c r="D30" s="109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12" t="s">
        <v>3803</v>
      </c>
      <c r="C31" s="100" t="s">
        <v>4249</v>
      </c>
      <c r="D31" s="109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10" t="s">
        <v>3804</v>
      </c>
      <c r="C32" s="100" t="s">
        <v>4250</v>
      </c>
      <c r="D32" s="109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29" t="s">
        <v>3861</v>
      </c>
      <c r="C33" s="100" t="s">
        <v>4251</v>
      </c>
      <c r="D33" s="109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12" t="s">
        <v>3805</v>
      </c>
      <c r="C34" s="100" t="s">
        <v>4252</v>
      </c>
      <c r="D34" s="109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10" t="s">
        <v>3806</v>
      </c>
      <c r="C35" s="100" t="s">
        <v>4253</v>
      </c>
      <c r="D35" s="109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117" t="s">
        <v>3807</v>
      </c>
      <c r="C36" s="100" t="s">
        <v>4254</v>
      </c>
      <c r="D36" s="109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118" t="s">
        <v>3808</v>
      </c>
      <c r="C37" s="100" t="s">
        <v>4255</v>
      </c>
      <c r="D37" s="109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110" t="s">
        <v>3809</v>
      </c>
      <c r="C38" s="100" t="s">
        <v>4256</v>
      </c>
      <c r="D38" s="109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112" t="s">
        <v>3810</v>
      </c>
      <c r="C39" s="100" t="s">
        <v>4257</v>
      </c>
      <c r="D39" s="109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8186</v>
      </c>
      <c r="C40" s="359" t="s">
        <v>8188</v>
      </c>
      <c r="D40" s="30" t="s">
        <v>52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110" t="s">
        <v>3811</v>
      </c>
      <c r="C41" s="100" t="s">
        <v>4258</v>
      </c>
      <c r="D41" s="109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110" t="s">
        <v>3812</v>
      </c>
      <c r="C42" s="100" t="s">
        <v>4259</v>
      </c>
      <c r="D42" s="109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18</v>
      </c>
    </row>
    <row r="49" spans="2:3" x14ac:dyDescent="0.3">
      <c r="B49" s="21" t="s">
        <v>53</v>
      </c>
      <c r="C49">
        <f>COUNTIF(D7:D41,"P")</f>
        <v>16</v>
      </c>
    </row>
    <row r="50" spans="2:3" x14ac:dyDescent="0.3">
      <c r="B50" s="21" t="s">
        <v>363</v>
      </c>
      <c r="C50">
        <f>SUM(C48:C49)</f>
        <v>34</v>
      </c>
    </row>
  </sheetData>
  <sortState xmlns:xlrd2="http://schemas.microsoft.com/office/spreadsheetml/2017/richdata2" ref="B9:D42">
    <sortCondition ref="B8:B42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65625" right="0.1875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FB8CA-477C-45D5-A9D6-6B425D42A591}">
  <dimension ref="A1:AJ50"/>
  <sheetViews>
    <sheetView view="pageLayout" topLeftCell="A41" zoomScaleNormal="100" workbookViewId="0">
      <selection activeCell="F44" sqref="F44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120" t="s">
        <v>3813</v>
      </c>
      <c r="C7" s="100" t="s">
        <v>4260</v>
      </c>
      <c r="D7" s="109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21" t="s">
        <v>3814</v>
      </c>
      <c r="C8" s="100" t="s">
        <v>4261</v>
      </c>
      <c r="D8" s="109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120" t="s">
        <v>3815</v>
      </c>
      <c r="C9" s="100" t="s">
        <v>4262</v>
      </c>
      <c r="D9" s="109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20" t="s">
        <v>3816</v>
      </c>
      <c r="C10" s="100" t="s">
        <v>4263</v>
      </c>
      <c r="D10" s="109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22" t="s">
        <v>3817</v>
      </c>
      <c r="C11" s="100" t="s">
        <v>4264</v>
      </c>
      <c r="D11" s="109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123" t="s">
        <v>3818</v>
      </c>
      <c r="C12" s="100" t="s">
        <v>4265</v>
      </c>
      <c r="D12" s="109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20" t="s">
        <v>3819</v>
      </c>
      <c r="C13" s="100" t="s">
        <v>4266</v>
      </c>
      <c r="D13" s="109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20" t="s">
        <v>3820</v>
      </c>
      <c r="C14" s="100" t="s">
        <v>4267</v>
      </c>
      <c r="D14" s="109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120" t="s">
        <v>3821</v>
      </c>
      <c r="C15" s="100" t="s">
        <v>4268</v>
      </c>
      <c r="D15" s="109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20" t="s">
        <v>3822</v>
      </c>
      <c r="C16" s="100" t="s">
        <v>4269</v>
      </c>
      <c r="D16" s="109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20" t="s">
        <v>3823</v>
      </c>
      <c r="C17" s="100" t="s">
        <v>4270</v>
      </c>
      <c r="D17" s="109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20" t="s">
        <v>3825</v>
      </c>
      <c r="C18" s="100" t="s">
        <v>4271</v>
      </c>
      <c r="D18" s="109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120" t="s">
        <v>3826</v>
      </c>
      <c r="C19" s="100" t="s">
        <v>4272</v>
      </c>
      <c r="D19" s="109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20" t="s">
        <v>3827</v>
      </c>
      <c r="C20" s="100" t="s">
        <v>4273</v>
      </c>
      <c r="D20" s="109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23" t="s">
        <v>3828</v>
      </c>
      <c r="C21" s="100" t="s">
        <v>4274</v>
      </c>
      <c r="D21" s="109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20" t="s">
        <v>3829</v>
      </c>
      <c r="C22" s="100" t="s">
        <v>4275</v>
      </c>
      <c r="D22" s="109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20" t="s">
        <v>3830</v>
      </c>
      <c r="C23" s="100" t="s">
        <v>4276</v>
      </c>
      <c r="D23" s="109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23" t="s">
        <v>3831</v>
      </c>
      <c r="C24" s="100" t="s">
        <v>4277</v>
      </c>
      <c r="D24" s="109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20" t="s">
        <v>3832</v>
      </c>
      <c r="C25" s="100" t="s">
        <v>4278</v>
      </c>
      <c r="D25" s="109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26" t="s">
        <v>3833</v>
      </c>
      <c r="C26" s="100" t="s">
        <v>4279</v>
      </c>
      <c r="D26" s="109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20" t="s">
        <v>3834</v>
      </c>
      <c r="C27" s="100" t="s">
        <v>4280</v>
      </c>
      <c r="D27" s="109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27" t="s">
        <v>3835</v>
      </c>
      <c r="C28" s="100" t="s">
        <v>4281</v>
      </c>
      <c r="D28" s="109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28" t="s">
        <v>4121</v>
      </c>
      <c r="C29" s="100" t="s">
        <v>4282</v>
      </c>
      <c r="D29" s="109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25" t="s">
        <v>3836</v>
      </c>
      <c r="C30" s="100" t="s">
        <v>4283</v>
      </c>
      <c r="D30" s="109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24" t="s">
        <v>3837</v>
      </c>
      <c r="C31" s="100" t="s">
        <v>4284</v>
      </c>
      <c r="D31" s="109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23" t="s">
        <v>4213</v>
      </c>
      <c r="C32" s="100" t="s">
        <v>4285</v>
      </c>
      <c r="D32" s="109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20" t="s">
        <v>3838</v>
      </c>
      <c r="C33" s="100" t="s">
        <v>4286</v>
      </c>
      <c r="D33" s="109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20" t="s">
        <v>3839</v>
      </c>
      <c r="C34" s="100" t="s">
        <v>4287</v>
      </c>
      <c r="D34" s="109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20" t="s">
        <v>3840</v>
      </c>
      <c r="C35" s="100" t="s">
        <v>4288</v>
      </c>
      <c r="D35" s="109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120" t="s">
        <v>3841</v>
      </c>
      <c r="C36" s="100" t="s">
        <v>4289</v>
      </c>
      <c r="D36" s="109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125" t="s">
        <v>3842</v>
      </c>
      <c r="C37" s="100" t="s">
        <v>4290</v>
      </c>
      <c r="D37" s="109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4437</v>
      </c>
      <c r="C38" s="13" t="s">
        <v>4438</v>
      </c>
      <c r="D38" s="3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13" t="s">
        <v>8142</v>
      </c>
      <c r="C39" s="13" t="s">
        <v>8157</v>
      </c>
      <c r="D39" s="30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8159</v>
      </c>
      <c r="C40" s="13" t="s">
        <v>8160</v>
      </c>
      <c r="D40" s="30" t="s">
        <v>52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 t="s">
        <v>8170</v>
      </c>
      <c r="C41" s="13" t="s">
        <v>8173</v>
      </c>
      <c r="D41" s="30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20</v>
      </c>
    </row>
    <row r="49" spans="2:3" x14ac:dyDescent="0.3">
      <c r="B49" s="21" t="s">
        <v>53</v>
      </c>
      <c r="C49">
        <f>COUNTIF(D7:D41,"P")</f>
        <v>15</v>
      </c>
    </row>
    <row r="50" spans="2:3" x14ac:dyDescent="0.3">
      <c r="B50" s="21" t="s">
        <v>363</v>
      </c>
      <c r="C50">
        <f>SUM(C48:C49)</f>
        <v>35</v>
      </c>
    </row>
  </sheetData>
  <sortState xmlns:xlrd2="http://schemas.microsoft.com/office/spreadsheetml/2017/richdata2" ref="B7:D39">
    <sortCondition ref="B7:B39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69791666666666663" right="0.35416666666666669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511C-5AD1-4E9B-A863-4DA80FD80404}">
  <dimension ref="A1:AJ48"/>
  <sheetViews>
    <sheetView view="pageLayout" topLeftCell="A43" zoomScale="85" zoomScaleNormal="100" zoomScalePageLayoutView="85" workbookViewId="0">
      <selection activeCell="Z46" sqref="Z46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1050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82" t="s">
        <v>3843</v>
      </c>
      <c r="C7" s="100" t="s">
        <v>4291</v>
      </c>
      <c r="D7" s="109"/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85" t="s">
        <v>4209</v>
      </c>
      <c r="C8" s="100" t="s">
        <v>4292</v>
      </c>
      <c r="D8" s="11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130" t="s">
        <v>4440</v>
      </c>
      <c r="C9" s="100" t="s">
        <v>4293</v>
      </c>
      <c r="D9" s="109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29" t="s">
        <v>3844</v>
      </c>
      <c r="C10" s="100" t="s">
        <v>4294</v>
      </c>
      <c r="D10" s="109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30" t="s">
        <v>3845</v>
      </c>
      <c r="C11" s="100" t="s">
        <v>4295</v>
      </c>
      <c r="D11" s="109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4211</v>
      </c>
      <c r="C12" s="100" t="s">
        <v>4296</v>
      </c>
      <c r="D12" s="11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29" t="s">
        <v>3846</v>
      </c>
      <c r="C13" s="100" t="s">
        <v>4297</v>
      </c>
      <c r="D13" s="109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29" t="s">
        <v>3847</v>
      </c>
      <c r="C14" s="100" t="s">
        <v>4298</v>
      </c>
      <c r="D14" s="109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130" t="s">
        <v>3848</v>
      </c>
      <c r="C15" s="100" t="s">
        <v>4299</v>
      </c>
      <c r="D15" s="109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45" t="s">
        <v>3908</v>
      </c>
      <c r="C16" s="100" t="s">
        <v>4300</v>
      </c>
      <c r="D16" s="114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29" t="s">
        <v>3849</v>
      </c>
      <c r="C17" s="100" t="s">
        <v>4301</v>
      </c>
      <c r="D17" s="109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29" t="s">
        <v>3850</v>
      </c>
      <c r="C18" s="100" t="s">
        <v>4302</v>
      </c>
      <c r="D18" s="109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130" t="s">
        <v>3852</v>
      </c>
      <c r="C19" s="100" t="s">
        <v>4303</v>
      </c>
      <c r="D19" s="109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34" t="s">
        <v>3853</v>
      </c>
      <c r="C20" s="100" t="s">
        <v>4304</v>
      </c>
      <c r="D20" s="109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34" t="s">
        <v>3854</v>
      </c>
      <c r="C21" s="100" t="s">
        <v>4305</v>
      </c>
      <c r="D21" s="109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29" t="s">
        <v>3855</v>
      </c>
      <c r="C22" s="100" t="s">
        <v>4306</v>
      </c>
      <c r="D22" s="109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29" t="s">
        <v>4132</v>
      </c>
      <c r="C23" s="100" t="s">
        <v>4307</v>
      </c>
      <c r="D23" s="109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45" t="s">
        <v>3950</v>
      </c>
      <c r="C24" s="100" t="s">
        <v>4308</v>
      </c>
      <c r="D24" s="11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30" t="s">
        <v>3856</v>
      </c>
      <c r="C25" s="100" t="s">
        <v>4309</v>
      </c>
      <c r="D25" s="109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29" t="s">
        <v>4145</v>
      </c>
      <c r="C26" s="100" t="s">
        <v>4310</v>
      </c>
      <c r="D26" s="109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31" t="s">
        <v>3857</v>
      </c>
      <c r="C27" s="100" t="s">
        <v>4311</v>
      </c>
      <c r="D27" s="109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58" t="s">
        <v>3858</v>
      </c>
      <c r="C28" s="100" t="s">
        <v>4312</v>
      </c>
      <c r="D28" s="109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29" t="s">
        <v>3859</v>
      </c>
      <c r="C29" s="100" t="s">
        <v>4313</v>
      </c>
      <c r="D29" s="109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29" t="s">
        <v>3860</v>
      </c>
      <c r="C30" s="100" t="s">
        <v>4314</v>
      </c>
      <c r="D30" s="109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55" t="s">
        <v>3862</v>
      </c>
      <c r="C31" s="100" t="s">
        <v>4315</v>
      </c>
      <c r="D31" s="109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29" t="s">
        <v>3863</v>
      </c>
      <c r="C32" s="100" t="s">
        <v>4316</v>
      </c>
      <c r="D32" s="109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82" t="s">
        <v>8169</v>
      </c>
      <c r="C33" s="100" t="s">
        <v>4317</v>
      </c>
      <c r="D33" s="109"/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29" t="s">
        <v>3864</v>
      </c>
      <c r="C34" s="100" t="s">
        <v>4318</v>
      </c>
      <c r="D34" s="109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29" t="s">
        <v>3865</v>
      </c>
      <c r="C35" s="100" t="s">
        <v>4319</v>
      </c>
      <c r="D35" s="109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135" t="s">
        <v>3866</v>
      </c>
      <c r="C36" s="100" t="s">
        <v>4320</v>
      </c>
      <c r="D36" s="109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130" t="s">
        <v>3867</v>
      </c>
      <c r="C37" s="100" t="s">
        <v>4321</v>
      </c>
      <c r="D37" s="109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129" t="s">
        <v>3868</v>
      </c>
      <c r="C38" s="100" t="s">
        <v>4322</v>
      </c>
      <c r="D38" s="109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129" t="s">
        <v>3869</v>
      </c>
      <c r="C39" s="100" t="s">
        <v>4323</v>
      </c>
      <c r="D39" s="109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132" t="s">
        <v>3870</v>
      </c>
      <c r="C40" s="100" t="s">
        <v>4324</v>
      </c>
      <c r="D40" s="109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101" t="s">
        <v>4431</v>
      </c>
      <c r="C41" s="100" t="s">
        <v>4432</v>
      </c>
      <c r="D41" s="30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8156</v>
      </c>
      <c r="C42" s="100" t="s">
        <v>8158</v>
      </c>
      <c r="D42" s="3" t="s">
        <v>52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ht="15" customHeight="1" x14ac:dyDescent="0.3">
      <c r="A43" s="532" t="s">
        <v>4435</v>
      </c>
      <c r="B43" s="533"/>
      <c r="C43" s="159" t="s">
        <v>13</v>
      </c>
      <c r="D43" s="160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ht="15" customHeight="1" x14ac:dyDescent="0.3">
      <c r="A44" s="534"/>
      <c r="B44" s="535"/>
      <c r="C44" s="159" t="s">
        <v>12</v>
      </c>
      <c r="D44" s="160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6"/>
      <c r="B45" s="537"/>
      <c r="C45" s="159" t="s">
        <v>11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B46" s="21" t="s">
        <v>52</v>
      </c>
      <c r="C46">
        <f>COUNTIF(D7:D42,"L")</f>
        <v>14</v>
      </c>
    </row>
    <row r="47" spans="1:36" x14ac:dyDescent="0.3">
      <c r="B47" s="21" t="s">
        <v>53</v>
      </c>
      <c r="C47">
        <f>COUNTIF(D7:D41,"P")</f>
        <v>19</v>
      </c>
    </row>
    <row r="48" spans="1:36" x14ac:dyDescent="0.3">
      <c r="B48" s="21" t="s">
        <v>363</v>
      </c>
      <c r="C48">
        <f>SUM(C46:C47)</f>
        <v>33</v>
      </c>
    </row>
  </sheetData>
  <sortState xmlns:xlrd2="http://schemas.microsoft.com/office/spreadsheetml/2017/richdata2" ref="B7:D40">
    <sortCondition ref="B7:B40"/>
  </sortState>
  <mergeCells count="15">
    <mergeCell ref="A43:B45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66176470588235292" right="0.41666666666666669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56F2-C495-485E-A2DA-655930785F40}">
  <dimension ref="A1:AJ49"/>
  <sheetViews>
    <sheetView view="pageLayout" topLeftCell="A33" zoomScaleNormal="100" workbookViewId="0">
      <selection activeCell="C50" sqref="C50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136" t="s">
        <v>3871</v>
      </c>
      <c r="C7" s="100" t="s">
        <v>4325</v>
      </c>
      <c r="D7" s="13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38" t="s">
        <v>3872</v>
      </c>
      <c r="C8" s="100" t="s">
        <v>4326</v>
      </c>
      <c r="D8" s="137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139" t="s">
        <v>3873</v>
      </c>
      <c r="C9" s="100" t="s">
        <v>4327</v>
      </c>
      <c r="D9" s="137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30" t="s">
        <v>3874</v>
      </c>
      <c r="C10" s="100" t="s">
        <v>4328</v>
      </c>
      <c r="D10" s="13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40" t="s">
        <v>3875</v>
      </c>
      <c r="C11" s="100" t="s">
        <v>4329</v>
      </c>
      <c r="D11" s="13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3977</v>
      </c>
      <c r="C12" s="100" t="s">
        <v>4330</v>
      </c>
      <c r="D12" s="51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26" t="s">
        <v>3824</v>
      </c>
      <c r="C13" s="100" t="s">
        <v>4331</v>
      </c>
      <c r="D13" s="109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38" t="s">
        <v>3876</v>
      </c>
      <c r="C14" s="100" t="s">
        <v>4332</v>
      </c>
      <c r="D14" s="137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130" t="s">
        <v>3877</v>
      </c>
      <c r="C15" s="100" t="s">
        <v>4333</v>
      </c>
      <c r="D15" s="13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38" t="s">
        <v>3878</v>
      </c>
      <c r="C16" s="100" t="s">
        <v>4334</v>
      </c>
      <c r="D16" s="13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43" t="s">
        <v>3879</v>
      </c>
      <c r="C17" s="100" t="s">
        <v>4335</v>
      </c>
      <c r="D17" s="137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42" t="s">
        <v>3880</v>
      </c>
      <c r="C18" s="100" t="s">
        <v>4336</v>
      </c>
      <c r="D18" s="13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133" t="s">
        <v>3851</v>
      </c>
      <c r="C19" s="100" t="s">
        <v>4337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38" t="s">
        <v>3881</v>
      </c>
      <c r="C20" s="100" t="s">
        <v>4338</v>
      </c>
      <c r="D20" s="137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56" t="s">
        <v>3882</v>
      </c>
      <c r="C21" s="100" t="s">
        <v>4339</v>
      </c>
      <c r="D21" s="13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41" t="s">
        <v>3883</v>
      </c>
      <c r="C22" s="100" t="s">
        <v>4340</v>
      </c>
      <c r="D22" s="13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38" t="s">
        <v>3919</v>
      </c>
      <c r="C23" s="100" t="s">
        <v>4341</v>
      </c>
      <c r="D23" s="13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43" t="s">
        <v>3884</v>
      </c>
      <c r="C24" s="100" t="s">
        <v>4342</v>
      </c>
      <c r="D24" s="137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30" t="s">
        <v>3885</v>
      </c>
      <c r="C25" s="100" t="s">
        <v>4343</v>
      </c>
      <c r="D25" s="137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38" t="s">
        <v>3886</v>
      </c>
      <c r="C26" s="100" t="s">
        <v>4344</v>
      </c>
      <c r="D26" s="137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38" t="s">
        <v>3887</v>
      </c>
      <c r="C27" s="100" t="s">
        <v>4345</v>
      </c>
      <c r="D27" s="137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38" t="s">
        <v>3888</v>
      </c>
      <c r="C28" s="100" t="s">
        <v>4346</v>
      </c>
      <c r="D28" s="13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44" t="s">
        <v>4222</v>
      </c>
      <c r="C29" s="100" t="s">
        <v>4347</v>
      </c>
      <c r="D29" s="137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30" t="s">
        <v>3889</v>
      </c>
      <c r="C30" s="100" t="s">
        <v>4348</v>
      </c>
      <c r="D30" s="137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40" t="s">
        <v>3890</v>
      </c>
      <c r="C31" s="100" t="s">
        <v>4349</v>
      </c>
      <c r="D31" s="137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38" t="s">
        <v>3891</v>
      </c>
      <c r="C32" s="100" t="s">
        <v>4350</v>
      </c>
      <c r="D32" s="137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38" t="s">
        <v>3892</v>
      </c>
      <c r="C33" s="100" t="s">
        <v>4351</v>
      </c>
      <c r="D33" s="13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56" t="s">
        <v>3893</v>
      </c>
      <c r="C34" s="100" t="s">
        <v>4352</v>
      </c>
      <c r="D34" s="137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38" t="s">
        <v>3894</v>
      </c>
      <c r="C35" s="100" t="s">
        <v>4353</v>
      </c>
      <c r="D35" s="137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138" t="s">
        <v>3895</v>
      </c>
      <c r="C36" s="100" t="s">
        <v>4354</v>
      </c>
      <c r="D36" s="137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136" t="s">
        <v>3896</v>
      </c>
      <c r="C37" s="100" t="s">
        <v>4355</v>
      </c>
      <c r="D37" s="137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138" t="s">
        <v>3897</v>
      </c>
      <c r="C38" s="100" t="s">
        <v>4356</v>
      </c>
      <c r="D38" s="137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138" t="s">
        <v>3898</v>
      </c>
      <c r="C39" s="100" t="s">
        <v>4357</v>
      </c>
      <c r="D39" s="137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138" t="s">
        <v>3899</v>
      </c>
      <c r="C40" s="100" t="s">
        <v>4358</v>
      </c>
      <c r="D40" s="137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140" t="s">
        <v>3900</v>
      </c>
      <c r="C41" s="100" t="s">
        <v>4359</v>
      </c>
      <c r="D41" s="137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138" t="s">
        <v>3901</v>
      </c>
      <c r="C42" s="100" t="s">
        <v>4360</v>
      </c>
      <c r="D42" s="137" t="s">
        <v>52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ht="15" customHeight="1" x14ac:dyDescent="0.3">
      <c r="A44" s="532" t="s">
        <v>4435</v>
      </c>
      <c r="B44" s="533"/>
      <c r="C44" s="159" t="s">
        <v>13</v>
      </c>
      <c r="D44" s="160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4"/>
      <c r="B45" s="535"/>
      <c r="C45" s="159" t="s">
        <v>12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6"/>
      <c r="B46" s="537"/>
      <c r="C46" s="159" t="s">
        <v>11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B47" s="21" t="s">
        <v>52</v>
      </c>
      <c r="C47">
        <f>COUNTIF(D7:D42,"L")</f>
        <v>14</v>
      </c>
    </row>
    <row r="48" spans="1:36" x14ac:dyDescent="0.3">
      <c r="B48" s="21" t="s">
        <v>53</v>
      </c>
      <c r="C48">
        <f>COUNTIF(D7:D42,"P")</f>
        <v>22</v>
      </c>
    </row>
    <row r="49" spans="2:3" x14ac:dyDescent="0.3">
      <c r="B49" s="21" t="s">
        <v>363</v>
      </c>
      <c r="C49">
        <f>SUM(C47:C48)</f>
        <v>36</v>
      </c>
    </row>
  </sheetData>
  <sortState xmlns:xlrd2="http://schemas.microsoft.com/office/spreadsheetml/2017/richdata2" ref="A7:D43">
    <sortCondition ref="B7:B43"/>
  </sortState>
  <mergeCells count="15">
    <mergeCell ref="A44:B46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38541666666666669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7BE6-E306-410D-ACA6-0254BBF659BF}">
  <dimension ref="A1:AJ50"/>
  <sheetViews>
    <sheetView view="pageLayout" topLeftCell="A33" zoomScaleNormal="100" workbookViewId="0">
      <selection activeCell="C50" sqref="C50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130" t="s">
        <v>3902</v>
      </c>
      <c r="C7" s="100" t="s">
        <v>4361</v>
      </c>
      <c r="D7" s="109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48" t="s">
        <v>3903</v>
      </c>
      <c r="C8" s="100" t="s">
        <v>4362</v>
      </c>
      <c r="D8" s="109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148" t="s">
        <v>3904</v>
      </c>
      <c r="C9" s="100" t="s">
        <v>4363</v>
      </c>
      <c r="D9" s="109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45" t="s">
        <v>3905</v>
      </c>
      <c r="C10" s="100" t="s">
        <v>4364</v>
      </c>
      <c r="D10" s="109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46" t="s">
        <v>3906</v>
      </c>
      <c r="C11" s="100" t="s">
        <v>4365</v>
      </c>
      <c r="D11" s="109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145" t="s">
        <v>3907</v>
      </c>
      <c r="C12" s="100" t="s">
        <v>4366</v>
      </c>
      <c r="D12" s="109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45" t="s">
        <v>3909</v>
      </c>
      <c r="C13" s="100" t="s">
        <v>4367</v>
      </c>
      <c r="D13" s="109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48" t="s">
        <v>3910</v>
      </c>
      <c r="C14" s="100" t="s">
        <v>4368</v>
      </c>
      <c r="D14" s="109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145" t="s">
        <v>3911</v>
      </c>
      <c r="C15" s="100" t="s">
        <v>4369</v>
      </c>
      <c r="D15" s="109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45" t="s">
        <v>3912</v>
      </c>
      <c r="C16" s="100" t="s">
        <v>4370</v>
      </c>
      <c r="D16" s="109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30" t="s">
        <v>3913</v>
      </c>
      <c r="C17" s="100" t="s">
        <v>4371</v>
      </c>
      <c r="D17" s="109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45" t="s">
        <v>3914</v>
      </c>
      <c r="C18" s="100" t="s">
        <v>4372</v>
      </c>
      <c r="D18" s="109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140" t="s">
        <v>3915</v>
      </c>
      <c r="C19" s="100" t="s">
        <v>4373</v>
      </c>
      <c r="D19" s="109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40" t="s">
        <v>3916</v>
      </c>
      <c r="C20" s="100" t="s">
        <v>4374</v>
      </c>
      <c r="D20" s="109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45" t="s">
        <v>3917</v>
      </c>
      <c r="C21" s="100" t="s">
        <v>4375</v>
      </c>
      <c r="D21" s="109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50" t="s">
        <v>3918</v>
      </c>
      <c r="C22" s="100" t="s">
        <v>4376</v>
      </c>
      <c r="D22" s="109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48" t="s">
        <v>3986</v>
      </c>
      <c r="C23" s="100" t="s">
        <v>4377</v>
      </c>
      <c r="D23" s="109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48" t="s">
        <v>3920</v>
      </c>
      <c r="C24" s="100" t="s">
        <v>4378</v>
      </c>
      <c r="D24" s="109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48" t="s">
        <v>3921</v>
      </c>
      <c r="C25" s="100" t="s">
        <v>4379</v>
      </c>
      <c r="D25" s="109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45" t="s">
        <v>3922</v>
      </c>
      <c r="C26" s="100" t="s">
        <v>4380</v>
      </c>
      <c r="D26" s="109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45" t="s">
        <v>3923</v>
      </c>
      <c r="C27" s="100" t="s">
        <v>4381</v>
      </c>
      <c r="D27" s="109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47" t="s">
        <v>3924</v>
      </c>
      <c r="C28" s="100" t="s">
        <v>4382</v>
      </c>
      <c r="D28" s="109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49" t="s">
        <v>3925</v>
      </c>
      <c r="C29" s="100" t="s">
        <v>4383</v>
      </c>
      <c r="D29" s="109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30" t="s">
        <v>3926</v>
      </c>
      <c r="C30" s="100" t="s">
        <v>4384</v>
      </c>
      <c r="D30" s="109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45" t="s">
        <v>3927</v>
      </c>
      <c r="C31" s="100" t="s">
        <v>4385</v>
      </c>
      <c r="D31" s="109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45" t="s">
        <v>3928</v>
      </c>
      <c r="C32" s="100" t="s">
        <v>4386</v>
      </c>
      <c r="D32" s="109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45" t="s">
        <v>3929</v>
      </c>
      <c r="C33" s="100" t="s">
        <v>4387</v>
      </c>
      <c r="D33" s="109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40" t="s">
        <v>3930</v>
      </c>
      <c r="C34" s="100" t="s">
        <v>4388</v>
      </c>
      <c r="D34" s="109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30" t="s">
        <v>3931</v>
      </c>
      <c r="C35" s="100" t="s">
        <v>4389</v>
      </c>
      <c r="D35" s="109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85" t="s">
        <v>1728</v>
      </c>
      <c r="C36" s="100" t="s">
        <v>2229</v>
      </c>
      <c r="D36" s="1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95" t="s">
        <v>4427</v>
      </c>
      <c r="C37" s="100" t="s">
        <v>2276</v>
      </c>
      <c r="D37" s="30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13" t="s">
        <v>8140</v>
      </c>
      <c r="C38" s="100" t="s">
        <v>8141</v>
      </c>
      <c r="D38" s="3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8149</v>
      </c>
      <c r="C39" s="100" t="s">
        <v>8143</v>
      </c>
      <c r="D39" s="30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2" t="s">
        <v>8161</v>
      </c>
      <c r="C40" s="100" t="s">
        <v>8162</v>
      </c>
      <c r="D40" s="30" t="s">
        <v>53</v>
      </c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8171</v>
      </c>
      <c r="C41" s="100" t="s">
        <v>8172</v>
      </c>
      <c r="D41" s="30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20</v>
      </c>
    </row>
    <row r="49" spans="2:3" x14ac:dyDescent="0.3">
      <c r="B49" s="21" t="s">
        <v>53</v>
      </c>
      <c r="C49">
        <f>COUNTIF(D7:D41,"P")</f>
        <v>15</v>
      </c>
    </row>
    <row r="50" spans="2:3" x14ac:dyDescent="0.3">
      <c r="B50" s="21" t="s">
        <v>363</v>
      </c>
      <c r="C50">
        <f>SUM(C48:C49)</f>
        <v>35</v>
      </c>
    </row>
  </sheetData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35416666666666669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B41A6-0C75-4CBE-88DF-423B597F59A6}">
  <dimension ref="A1:AJ50"/>
  <sheetViews>
    <sheetView view="pageLayout" topLeftCell="A33" zoomScaleNormal="100" workbookViewId="0">
      <selection activeCell="C50" sqref="C50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5546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8176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145" t="s">
        <v>3932</v>
      </c>
      <c r="C7" s="100" t="s">
        <v>4390</v>
      </c>
      <c r="D7" s="109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130" t="s">
        <v>3933</v>
      </c>
      <c r="C8" s="100" t="s">
        <v>4391</v>
      </c>
      <c r="D8" s="109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145" t="s">
        <v>3934</v>
      </c>
      <c r="C9" s="100" t="s">
        <v>4392</v>
      </c>
      <c r="D9" s="109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154" t="s">
        <v>3935</v>
      </c>
      <c r="C10" s="100" t="s">
        <v>4393</v>
      </c>
      <c r="D10" s="109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145" t="s">
        <v>3936</v>
      </c>
      <c r="C11" s="100" t="s">
        <v>4394</v>
      </c>
      <c r="D11" s="109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145" t="s">
        <v>3937</v>
      </c>
      <c r="C12" s="100" t="s">
        <v>4395</v>
      </c>
      <c r="D12" s="109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145" t="s">
        <v>3938</v>
      </c>
      <c r="C13" s="100" t="s">
        <v>4396</v>
      </c>
      <c r="D13" s="109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140" t="s">
        <v>3939</v>
      </c>
      <c r="C14" s="100" t="s">
        <v>4397</v>
      </c>
      <c r="D14" s="109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130" t="s">
        <v>3940</v>
      </c>
      <c r="C15" s="100" t="s">
        <v>4398</v>
      </c>
      <c r="D15" s="109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145" t="s">
        <v>3941</v>
      </c>
      <c r="C16" s="100" t="s">
        <v>4399</v>
      </c>
      <c r="D16" s="109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152" t="s">
        <v>4674</v>
      </c>
      <c r="C17" s="100" t="s">
        <v>4400</v>
      </c>
      <c r="D17" s="109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48" t="s">
        <v>3942</v>
      </c>
      <c r="C18" s="100" t="s">
        <v>4401</v>
      </c>
      <c r="D18" s="109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130" t="s">
        <v>3943</v>
      </c>
      <c r="C19" s="100" t="s">
        <v>4402</v>
      </c>
      <c r="D19" s="109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40" t="s">
        <v>3944</v>
      </c>
      <c r="C20" s="100" t="s">
        <v>4403</v>
      </c>
      <c r="D20" s="109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83" t="s">
        <v>3997</v>
      </c>
      <c r="C21" s="384" t="s">
        <v>4404</v>
      </c>
      <c r="D21" s="109"/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30" t="s">
        <v>3945</v>
      </c>
      <c r="C22" s="100" t="s">
        <v>4405</v>
      </c>
      <c r="D22" s="109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130" t="s">
        <v>3946</v>
      </c>
      <c r="C23" s="100" t="s">
        <v>4406</v>
      </c>
      <c r="D23" s="109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30" t="s">
        <v>3947</v>
      </c>
      <c r="C24" s="100" t="s">
        <v>4407</v>
      </c>
      <c r="D24" s="109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52" t="s">
        <v>3948</v>
      </c>
      <c r="C25" s="100" t="s">
        <v>4408</v>
      </c>
      <c r="D25" s="109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134" t="s">
        <v>3949</v>
      </c>
      <c r="C26" s="100" t="s">
        <v>4409</v>
      </c>
      <c r="D26" s="109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45" t="s">
        <v>3951</v>
      </c>
      <c r="C27" s="100" t="s">
        <v>4410</v>
      </c>
      <c r="D27" s="109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130" t="s">
        <v>4955</v>
      </c>
      <c r="C28" s="100" t="s">
        <v>4411</v>
      </c>
      <c r="D28" s="109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145" t="s">
        <v>3952</v>
      </c>
      <c r="C29" s="100" t="s">
        <v>4412</v>
      </c>
      <c r="D29" s="109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145" t="s">
        <v>3953</v>
      </c>
      <c r="C30" s="100" t="s">
        <v>4413</v>
      </c>
      <c r="D30" s="109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115" t="s">
        <v>3954</v>
      </c>
      <c r="C31" s="100" t="s">
        <v>4414</v>
      </c>
      <c r="D31" s="109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45" t="s">
        <v>3955</v>
      </c>
      <c r="C32" s="100" t="s">
        <v>4415</v>
      </c>
      <c r="D32" s="109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45" t="s">
        <v>3956</v>
      </c>
      <c r="C33" s="100" t="s">
        <v>4416</v>
      </c>
      <c r="D33" s="109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153" t="s">
        <v>3896</v>
      </c>
      <c r="C34" s="100" t="s">
        <v>4417</v>
      </c>
      <c r="D34" s="109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151" t="s">
        <v>3957</v>
      </c>
      <c r="C35" s="100" t="s">
        <v>4418</v>
      </c>
      <c r="D35" s="109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146" t="s">
        <v>3958</v>
      </c>
      <c r="C36" s="100" t="s">
        <v>4419</v>
      </c>
      <c r="D36" s="109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145" t="s">
        <v>3959</v>
      </c>
      <c r="C37" s="100" t="s">
        <v>4420</v>
      </c>
      <c r="D37" s="109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4422</v>
      </c>
      <c r="C38" s="100" t="s">
        <v>4421</v>
      </c>
      <c r="D38" s="3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5143</v>
      </c>
      <c r="C39" s="13" t="s">
        <v>5144</v>
      </c>
      <c r="D39" s="51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85" t="s">
        <v>5358</v>
      </c>
      <c r="C40" s="13" t="s">
        <v>5359</v>
      </c>
      <c r="D40" s="1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20</v>
      </c>
    </row>
    <row r="49" spans="2:3" x14ac:dyDescent="0.3">
      <c r="B49" s="21" t="s">
        <v>53</v>
      </c>
      <c r="C49">
        <f>COUNTIF(D7:D40,"P")</f>
        <v>13</v>
      </c>
    </row>
    <row r="50" spans="2:3" x14ac:dyDescent="0.3">
      <c r="B50" s="21" t="s">
        <v>363</v>
      </c>
      <c r="C50">
        <f>SUM(C48:C49)</f>
        <v>33</v>
      </c>
    </row>
  </sheetData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38541666666666669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75CD-E477-4360-BD4F-97678EE3BD51}">
  <dimension ref="A1:AJ50"/>
  <sheetViews>
    <sheetView view="pageLayout" topLeftCell="A33" zoomScaleNormal="100" workbookViewId="0">
      <selection activeCell="B40" sqref="B40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3" t="s">
        <v>1644</v>
      </c>
      <c r="C7" s="100" t="s">
        <v>2096</v>
      </c>
      <c r="D7" s="1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1638</v>
      </c>
      <c r="C8" s="100" t="s">
        <v>2097</v>
      </c>
      <c r="D8" s="11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2058</v>
      </c>
      <c r="C9" s="100" t="s">
        <v>2098</v>
      </c>
      <c r="D9" s="11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3" t="s">
        <v>2067</v>
      </c>
      <c r="C10" s="100" t="s">
        <v>2099</v>
      </c>
      <c r="D10" s="11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3" t="s">
        <v>2059</v>
      </c>
      <c r="C11" s="100" t="s">
        <v>2100</v>
      </c>
      <c r="D11" s="11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80" t="s">
        <v>1643</v>
      </c>
      <c r="C12" s="100" t="s">
        <v>2101</v>
      </c>
      <c r="D12" s="1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3" t="s">
        <v>1649</v>
      </c>
      <c r="C13" s="100" t="s">
        <v>2102</v>
      </c>
      <c r="D13" s="11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3" t="s">
        <v>2066</v>
      </c>
      <c r="C14" s="100" t="s">
        <v>2103</v>
      </c>
      <c r="D14" s="47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1646</v>
      </c>
      <c r="C15" s="100" t="s">
        <v>2104</v>
      </c>
      <c r="D15" s="4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3" t="s">
        <v>1655</v>
      </c>
      <c r="C16" s="100" t="s">
        <v>2105</v>
      </c>
      <c r="D16" s="4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3" t="s">
        <v>1647</v>
      </c>
      <c r="C17" s="100" t="s">
        <v>2106</v>
      </c>
      <c r="D17" s="11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1642</v>
      </c>
      <c r="C18" s="100" t="s">
        <v>2107</v>
      </c>
      <c r="D18" s="11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98" t="s">
        <v>2075</v>
      </c>
      <c r="C19" s="100" t="s">
        <v>2108</v>
      </c>
      <c r="D19" s="1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3" t="s">
        <v>1637</v>
      </c>
      <c r="C20" s="100" t="s">
        <v>2109</v>
      </c>
      <c r="D20" s="1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2" t="s">
        <v>2064</v>
      </c>
      <c r="C21" s="100" t="s">
        <v>2111</v>
      </c>
      <c r="D21" s="1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1640</v>
      </c>
      <c r="C22" s="100" t="s">
        <v>2112</v>
      </c>
      <c r="D22" s="4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3" t="s">
        <v>1650</v>
      </c>
      <c r="C23" s="100" t="s">
        <v>2113</v>
      </c>
      <c r="D23" s="11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1653</v>
      </c>
      <c r="C24" s="100" t="s">
        <v>2114</v>
      </c>
      <c r="D24" s="11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81" t="s">
        <v>2060</v>
      </c>
      <c r="C25" s="100" t="s">
        <v>2115</v>
      </c>
      <c r="D25" s="11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3" t="s">
        <v>1652</v>
      </c>
      <c r="C26" s="100" t="s">
        <v>2117</v>
      </c>
      <c r="D26" s="11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3" t="s">
        <v>2094</v>
      </c>
      <c r="C27" s="100" t="s">
        <v>2119</v>
      </c>
      <c r="D27" s="11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3" t="s">
        <v>1651</v>
      </c>
      <c r="C28" s="100" t="s">
        <v>2120</v>
      </c>
      <c r="D28" s="11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1641</v>
      </c>
      <c r="C29" s="100" t="s">
        <v>2121</v>
      </c>
      <c r="D29" s="11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84" t="s">
        <v>1654</v>
      </c>
      <c r="C30" s="100" t="s">
        <v>2122</v>
      </c>
      <c r="D30" s="47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2074</v>
      </c>
      <c r="C31" s="100" t="s">
        <v>2123</v>
      </c>
      <c r="D31" s="11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2062</v>
      </c>
      <c r="C32" s="100" t="s">
        <v>2124</v>
      </c>
      <c r="D32" s="11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1645</v>
      </c>
      <c r="C33" s="100" t="s">
        <v>2125</v>
      </c>
      <c r="D33" s="11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85" t="s">
        <v>1648</v>
      </c>
      <c r="C34" s="100" t="s">
        <v>2126</v>
      </c>
      <c r="D34" s="1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2" t="s">
        <v>2057</v>
      </c>
      <c r="C35" s="100" t="s">
        <v>2127</v>
      </c>
      <c r="D35" s="30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4423</v>
      </c>
      <c r="C36" s="100" t="s">
        <v>4424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5163</v>
      </c>
      <c r="C37" s="100" t="s">
        <v>5164</v>
      </c>
      <c r="D37" s="30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100"/>
      <c r="D39" s="30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COUNTIF(D7:D37,"L")</f>
        <v>12</v>
      </c>
    </row>
    <row r="49" spans="2:3" x14ac:dyDescent="0.3">
      <c r="B49" s="21" t="s">
        <v>53</v>
      </c>
      <c r="C49">
        <f>COUNTIF(D7:D44,"P")</f>
        <v>19</v>
      </c>
    </row>
    <row r="50" spans="2:3" x14ac:dyDescent="0.3">
      <c r="B50" s="21" t="s">
        <v>363</v>
      </c>
      <c r="C50">
        <f>SUM(C48:C49)</f>
        <v>31</v>
      </c>
    </row>
  </sheetData>
  <sortState xmlns:xlrd2="http://schemas.microsoft.com/office/spreadsheetml/2017/richdata2" ref="B7:D41">
    <sortCondition ref="B7:B41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125" right="0.23958333333333334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D7DA-D087-47A1-8ABA-F8EB7628A433}">
  <dimension ref="A1:AJ50"/>
  <sheetViews>
    <sheetView view="pageLayout" topLeftCell="A33" zoomScaleNormal="100" workbookViewId="0">
      <selection activeCell="I44" sqref="I44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/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2061</v>
      </c>
      <c r="C7" s="100" t="s">
        <v>2128</v>
      </c>
      <c r="D7" s="11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80" t="s">
        <v>1672</v>
      </c>
      <c r="C8" s="100" t="s">
        <v>2129</v>
      </c>
      <c r="D8" s="48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1657</v>
      </c>
      <c r="C9" s="100" t="s">
        <v>2130</v>
      </c>
      <c r="D9" s="48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3" t="s">
        <v>2068</v>
      </c>
      <c r="C10" s="100" t="s">
        <v>2131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1669</v>
      </c>
      <c r="C11" s="100" t="s">
        <v>2133</v>
      </c>
      <c r="D11" s="11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1667</v>
      </c>
      <c r="C12" s="100" t="s">
        <v>2134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1668</v>
      </c>
      <c r="C13" s="100" t="s">
        <v>2136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2071</v>
      </c>
      <c r="C14" s="100" t="s">
        <v>2137</v>
      </c>
      <c r="D14" s="47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1664</v>
      </c>
      <c r="C15" s="100" t="s">
        <v>2138</v>
      </c>
      <c r="D15" s="47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1665</v>
      </c>
      <c r="C16" s="100" t="s">
        <v>2139</v>
      </c>
      <c r="D16" s="47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1663</v>
      </c>
      <c r="C17" s="100" t="s">
        <v>2141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1674</v>
      </c>
      <c r="C18" s="100" t="s">
        <v>2142</v>
      </c>
      <c r="D18" s="30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1658</v>
      </c>
      <c r="C19" s="100" t="s">
        <v>2143</v>
      </c>
      <c r="D19" s="48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80" t="s">
        <v>1659</v>
      </c>
      <c r="C20" s="100" t="s">
        <v>2144</v>
      </c>
      <c r="D20" s="1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2" t="s">
        <v>2076</v>
      </c>
      <c r="C21" s="100" t="s">
        <v>2146</v>
      </c>
      <c r="D21" s="1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88" t="s">
        <v>1660</v>
      </c>
      <c r="C22" s="100" t="s">
        <v>2147</v>
      </c>
      <c r="D22" s="47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2" t="s">
        <v>1671</v>
      </c>
      <c r="C23" s="100" t="s">
        <v>2148</v>
      </c>
      <c r="D23" s="47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2049</v>
      </c>
      <c r="C24" s="100" t="s">
        <v>2149</v>
      </c>
      <c r="D24" s="47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2063</v>
      </c>
      <c r="C25" s="100" t="s">
        <v>2151</v>
      </c>
      <c r="D25" s="47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9" t="s">
        <v>1670</v>
      </c>
      <c r="C26" s="100" t="s">
        <v>2152</v>
      </c>
      <c r="D26" s="47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9" t="s">
        <v>2077</v>
      </c>
      <c r="C27" s="100" t="s">
        <v>2153</v>
      </c>
      <c r="D27" s="47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1666</v>
      </c>
      <c r="C28" s="100" t="s">
        <v>2154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2" t="s">
        <v>2078</v>
      </c>
      <c r="C29" s="100" t="s">
        <v>2155</v>
      </c>
      <c r="D29" s="11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1662</v>
      </c>
      <c r="C30" s="100" t="s">
        <v>2156</v>
      </c>
      <c r="D30" s="47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2070</v>
      </c>
      <c r="C31" s="100" t="s">
        <v>2157</v>
      </c>
      <c r="D31" s="47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1673</v>
      </c>
      <c r="C32" s="100" t="s">
        <v>2158</v>
      </c>
      <c r="D32" s="4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2" t="s">
        <v>1675</v>
      </c>
      <c r="C33" s="100" t="s">
        <v>2159</v>
      </c>
      <c r="D33" s="4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89" t="s">
        <v>1661</v>
      </c>
      <c r="C34" s="100" t="s">
        <v>2160</v>
      </c>
      <c r="D34" s="48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3781</v>
      </c>
      <c r="C35" s="100" t="s">
        <v>4216</v>
      </c>
      <c r="D35" s="3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2" t="s">
        <v>1682</v>
      </c>
      <c r="C36" s="100" t="s">
        <v>2175</v>
      </c>
      <c r="D36" s="48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8150</v>
      </c>
      <c r="C37" s="100" t="s">
        <v>8153</v>
      </c>
      <c r="D37" s="3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5361</v>
      </c>
      <c r="C38" s="100" t="s">
        <v>5362</v>
      </c>
      <c r="D38" s="3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C42" s="161"/>
      <c r="D42" s="161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COUNTIF(D7:D38,"L")</f>
        <v>14</v>
      </c>
    </row>
    <row r="49" spans="2:3" x14ac:dyDescent="0.3">
      <c r="B49" s="21" t="s">
        <v>53</v>
      </c>
      <c r="C49">
        <f>COUNTIF(D7:D37,"P")</f>
        <v>18</v>
      </c>
    </row>
    <row r="50" spans="2:3" x14ac:dyDescent="0.3">
      <c r="B50" s="21" t="s">
        <v>363</v>
      </c>
      <c r="C50">
        <f>SUM(C48:C49)</f>
        <v>32</v>
      </c>
    </row>
  </sheetData>
  <sortState xmlns:xlrd2="http://schemas.microsoft.com/office/spreadsheetml/2017/richdata2" ref="B7:D42">
    <sortCondition ref="B7:B42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11458333333333333" right="0.17708333333333334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AF164-6854-4BB7-BD5D-8EAA8FAFD673}">
  <dimension ref="A1:AJ49"/>
  <sheetViews>
    <sheetView view="pageLayout" topLeftCell="A15" zoomScaleNormal="100" workbookViewId="0">
      <selection activeCell="C30" sqref="C30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1050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9" t="s">
        <v>1695</v>
      </c>
      <c r="C7" s="100" t="s">
        <v>2161</v>
      </c>
      <c r="D7" s="47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9" t="s">
        <v>1694</v>
      </c>
      <c r="C8" s="100" t="s">
        <v>2164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9" t="s">
        <v>1697</v>
      </c>
      <c r="C9" s="100" t="s">
        <v>2165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90" t="s">
        <v>1691</v>
      </c>
      <c r="C10" s="100" t="s">
        <v>2166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9" t="s">
        <v>1693</v>
      </c>
      <c r="C11" s="100" t="s">
        <v>2167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90" t="s">
        <v>2052</v>
      </c>
      <c r="C12" s="100" t="s">
        <v>2168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9" t="s">
        <v>1678</v>
      </c>
      <c r="C13" s="100" t="s">
        <v>2169</v>
      </c>
      <c r="D13" s="48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9" t="s">
        <v>1686</v>
      </c>
      <c r="C14" s="100" t="s">
        <v>2170</v>
      </c>
      <c r="D14" s="48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9" t="s">
        <v>1679</v>
      </c>
      <c r="C15" s="100" t="s">
        <v>2171</v>
      </c>
      <c r="D15" s="48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9" t="s">
        <v>1677</v>
      </c>
      <c r="C16" s="100" t="s">
        <v>2172</v>
      </c>
      <c r="D16" s="48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9" t="s">
        <v>1696</v>
      </c>
      <c r="C17" s="100" t="s">
        <v>2173</v>
      </c>
      <c r="D17" s="47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74" t="s">
        <v>1692</v>
      </c>
      <c r="C18" s="100" t="s">
        <v>2174</v>
      </c>
      <c r="D18" s="48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1688</v>
      </c>
      <c r="C19" s="100" t="s">
        <v>2176</v>
      </c>
      <c r="D19" s="48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9" t="s">
        <v>2079</v>
      </c>
      <c r="C20" s="100" t="s">
        <v>2177</v>
      </c>
      <c r="D20" s="48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9" t="s">
        <v>1676</v>
      </c>
      <c r="C21" s="100" t="s">
        <v>2178</v>
      </c>
      <c r="D21" s="48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83" t="s">
        <v>1684</v>
      </c>
      <c r="C22" s="100" t="s">
        <v>2179</v>
      </c>
      <c r="D22" s="4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83" t="s">
        <v>1683</v>
      </c>
      <c r="C23" s="100" t="s">
        <v>2180</v>
      </c>
      <c r="D23" s="48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9" t="s">
        <v>1687</v>
      </c>
      <c r="C24" s="100" t="s">
        <v>2181</v>
      </c>
      <c r="D24" s="48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9" t="s">
        <v>2080</v>
      </c>
      <c r="C25" s="100" t="s">
        <v>2182</v>
      </c>
      <c r="D25" s="47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9" t="s">
        <v>1689</v>
      </c>
      <c r="C26" s="100" t="s">
        <v>2183</v>
      </c>
      <c r="D26" s="48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86" t="s">
        <v>2081</v>
      </c>
      <c r="C27" s="100" t="s">
        <v>2184</v>
      </c>
      <c r="D27" s="47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90" t="s">
        <v>1690</v>
      </c>
      <c r="C28" s="100" t="s">
        <v>2185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1699</v>
      </c>
      <c r="C29" s="100" t="s">
        <v>2186</v>
      </c>
      <c r="D29" s="30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3" t="s">
        <v>1698</v>
      </c>
      <c r="C30" s="100" t="s">
        <v>2187</v>
      </c>
      <c r="D30" s="30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9" t="s">
        <v>1681</v>
      </c>
      <c r="C31" s="100" t="s">
        <v>2188</v>
      </c>
      <c r="D31" s="48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9" t="s">
        <v>2051</v>
      </c>
      <c r="C32" s="100" t="s">
        <v>2189</v>
      </c>
      <c r="D32" s="30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82" t="s">
        <v>1680</v>
      </c>
      <c r="C33" s="100" t="s">
        <v>2190</v>
      </c>
      <c r="D33" s="48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9" t="s">
        <v>2065</v>
      </c>
      <c r="C34" s="100" t="s">
        <v>2191</v>
      </c>
      <c r="D34" s="47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4225</v>
      </c>
      <c r="C35" s="100" t="s">
        <v>4226</v>
      </c>
      <c r="D35" s="51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5165</v>
      </c>
      <c r="C36" s="100" t="s">
        <v>5166</v>
      </c>
      <c r="D36" s="51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/>
      <c r="C38" s="100"/>
      <c r="D38" s="51"/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100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ht="15" customHeight="1" x14ac:dyDescent="0.3">
      <c r="A44" s="532" t="s">
        <v>4435</v>
      </c>
      <c r="B44" s="533"/>
      <c r="C44" s="159" t="s">
        <v>13</v>
      </c>
      <c r="D44" s="160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4"/>
      <c r="B45" s="535"/>
      <c r="C45" s="159" t="s">
        <v>12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6"/>
      <c r="B46" s="537"/>
      <c r="C46" s="159" t="s">
        <v>11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B47" s="21" t="s">
        <v>52</v>
      </c>
      <c r="C47">
        <f>COUNTIF(D7:D40,"L")</f>
        <v>14</v>
      </c>
    </row>
    <row r="48" spans="1:36" x14ac:dyDescent="0.3">
      <c r="B48" s="21" t="s">
        <v>53</v>
      </c>
      <c r="C48">
        <f>COUNTIF(D7:D40,"P")</f>
        <v>16</v>
      </c>
    </row>
    <row r="49" spans="2:3" x14ac:dyDescent="0.3">
      <c r="B49" s="21" t="s">
        <v>363</v>
      </c>
      <c r="C49">
        <f>SUM(C47:C48)</f>
        <v>30</v>
      </c>
    </row>
  </sheetData>
  <sortState xmlns:xlrd2="http://schemas.microsoft.com/office/spreadsheetml/2017/richdata2" ref="B10:D43">
    <sortCondition ref="B10:B43"/>
  </sortState>
  <mergeCells count="15">
    <mergeCell ref="A44:B46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14583333333333334" right="0.17708333333333334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F35B-0A75-4B82-8667-70EC906369DC}">
  <dimension ref="A1:AJ48"/>
  <sheetViews>
    <sheetView view="pageLayout" topLeftCell="A29" zoomScaleNormal="100" workbookViewId="0">
      <selection activeCell="AB39" sqref="AB39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1701</v>
      </c>
      <c r="C7" s="100" t="s">
        <v>2192</v>
      </c>
      <c r="D7" s="4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4" t="s">
        <v>1714</v>
      </c>
      <c r="C8" s="100" t="s">
        <v>2193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1721</v>
      </c>
      <c r="C9" s="100" t="s">
        <v>2194</v>
      </c>
      <c r="D9" s="47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2" t="s">
        <v>1720</v>
      </c>
      <c r="C10" s="100" t="s">
        <v>2195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91" t="s">
        <v>1715</v>
      </c>
      <c r="C11" s="100" t="s">
        <v>2196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4" t="s">
        <v>1712</v>
      </c>
      <c r="C12" s="100" t="s">
        <v>2198</v>
      </c>
      <c r="D12" s="47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3" t="s">
        <v>2069</v>
      </c>
      <c r="C13" s="100" t="s">
        <v>2199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4" t="s">
        <v>1706</v>
      </c>
      <c r="C14" s="100" t="s">
        <v>2200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1700</v>
      </c>
      <c r="C15" s="100" t="s">
        <v>2201</v>
      </c>
      <c r="D15" s="47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42" t="s">
        <v>1702</v>
      </c>
      <c r="C16" s="100" t="s">
        <v>2202</v>
      </c>
      <c r="D16" s="47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9" t="s">
        <v>1703</v>
      </c>
      <c r="C17" s="100" t="s">
        <v>2203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2" t="s">
        <v>1711</v>
      </c>
      <c r="C18" s="100" t="s">
        <v>2204</v>
      </c>
      <c r="D18" s="4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2090</v>
      </c>
      <c r="C19" s="100" t="s">
        <v>2205</v>
      </c>
      <c r="D19" s="47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4" t="s">
        <v>1705</v>
      </c>
      <c r="C20" s="100" t="s">
        <v>2206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44" t="s">
        <v>1707</v>
      </c>
      <c r="C21" s="100" t="s">
        <v>2207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1710</v>
      </c>
      <c r="C22" s="100" t="s">
        <v>2208</v>
      </c>
      <c r="D22" s="48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87" t="s">
        <v>1704</v>
      </c>
      <c r="C23" s="100" t="s">
        <v>2210</v>
      </c>
      <c r="D23" s="47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1708</v>
      </c>
      <c r="C24" s="100" t="s">
        <v>2211</v>
      </c>
      <c r="D24" s="48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80" t="s">
        <v>1709</v>
      </c>
      <c r="C25" s="100" t="s">
        <v>2212</v>
      </c>
      <c r="D25" s="47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2083</v>
      </c>
      <c r="C26" s="100" t="s">
        <v>2213</v>
      </c>
      <c r="D26" s="47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2050</v>
      </c>
      <c r="C27" s="100" t="s">
        <v>2214</v>
      </c>
      <c r="D27" s="47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1719</v>
      </c>
      <c r="C28" s="100" t="s">
        <v>2215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4" t="s">
        <v>1716</v>
      </c>
      <c r="C29" s="100" t="s">
        <v>2216</v>
      </c>
      <c r="D29" s="47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2072</v>
      </c>
      <c r="C30" s="100" t="s">
        <v>2217</v>
      </c>
      <c r="D30" s="47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1718</v>
      </c>
      <c r="C31" s="100" t="s">
        <v>2218</v>
      </c>
      <c r="D31" s="47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1717</v>
      </c>
      <c r="C32" s="100" t="s">
        <v>2219</v>
      </c>
      <c r="D32" s="47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4" t="s">
        <v>1713</v>
      </c>
      <c r="C33" s="100" t="s">
        <v>2220</v>
      </c>
      <c r="D33" s="47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2290</v>
      </c>
      <c r="C34" s="100" t="s">
        <v>2293</v>
      </c>
      <c r="D34" s="51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2291</v>
      </c>
      <c r="C35" s="100" t="s">
        <v>2294</v>
      </c>
      <c r="D35" s="51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2292</v>
      </c>
      <c r="C36" s="100" t="s">
        <v>2295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2" t="s">
        <v>4219</v>
      </c>
      <c r="C37" s="100" t="s">
        <v>4220</v>
      </c>
      <c r="D37" s="48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4425</v>
      </c>
      <c r="C38" s="100" t="s">
        <v>4426</v>
      </c>
      <c r="D38" s="51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4436</v>
      </c>
      <c r="C39" s="100" t="s">
        <v>8145</v>
      </c>
      <c r="D39" s="51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ht="15" customHeight="1" x14ac:dyDescent="0.3">
      <c r="A43" s="532" t="s">
        <v>4435</v>
      </c>
      <c r="B43" s="533"/>
      <c r="C43" s="159" t="s">
        <v>13</v>
      </c>
      <c r="D43" s="160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ht="15" customHeight="1" x14ac:dyDescent="0.3">
      <c r="A44" s="534"/>
      <c r="B44" s="535"/>
      <c r="C44" s="159" t="s">
        <v>12</v>
      </c>
      <c r="D44" s="160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6"/>
      <c r="B45" s="537"/>
      <c r="C45" s="159" t="s">
        <v>11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B46" s="21" t="s">
        <v>52</v>
      </c>
      <c r="C46">
        <f>COUNTIF(D7:D39,"L")</f>
        <v>16</v>
      </c>
    </row>
    <row r="47" spans="1:36" x14ac:dyDescent="0.3">
      <c r="B47" s="21" t="s">
        <v>53</v>
      </c>
      <c r="C47">
        <f>COUNTIF(D7:D38,"P")</f>
        <v>17</v>
      </c>
    </row>
    <row r="48" spans="1:36" x14ac:dyDescent="0.3">
      <c r="B48" s="21" t="s">
        <v>363</v>
      </c>
      <c r="C48">
        <f>SUM(C46:C47)</f>
        <v>33</v>
      </c>
    </row>
  </sheetData>
  <sortState xmlns:xlrd2="http://schemas.microsoft.com/office/spreadsheetml/2017/richdata2" ref="B7:D41">
    <sortCondition ref="B7:B41"/>
  </sortState>
  <mergeCells count="15">
    <mergeCell ref="A43:B45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23958333333333334" right="0.14583333333333334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2780-91D2-48F8-8A4C-83F2CEA40FA0}">
  <dimension ref="A1:AJ50"/>
  <sheetViews>
    <sheetView view="pageLayout" zoomScaleNormal="100" workbookViewId="0">
      <selection activeCell="C51" sqref="C51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1741</v>
      </c>
      <c r="C7" s="100" t="s">
        <v>2221</v>
      </c>
      <c r="D7" s="47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1742</v>
      </c>
      <c r="C8" s="100" t="s">
        <v>2222</v>
      </c>
      <c r="D8" s="48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3" t="s">
        <v>2092</v>
      </c>
      <c r="C9" s="100" t="s">
        <v>2223</v>
      </c>
      <c r="D9" s="48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3" t="s">
        <v>1730</v>
      </c>
      <c r="C10" s="100" t="s">
        <v>2224</v>
      </c>
      <c r="D10" s="48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2" t="s">
        <v>1740</v>
      </c>
      <c r="C11" s="100" t="s">
        <v>2225</v>
      </c>
      <c r="D11" s="48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2056</v>
      </c>
      <c r="C12" s="100" t="s">
        <v>2226</v>
      </c>
      <c r="D12" s="48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1739</v>
      </c>
      <c r="C13" s="100" t="s">
        <v>2227</v>
      </c>
      <c r="D13" s="48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1723</v>
      </c>
      <c r="C14" s="100" t="s">
        <v>2228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42" t="s">
        <v>1724</v>
      </c>
      <c r="C15" s="100" t="s">
        <v>2230</v>
      </c>
      <c r="D15" s="47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94" t="s">
        <v>1726</v>
      </c>
      <c r="C16" s="100" t="s">
        <v>2231</v>
      </c>
      <c r="D16" s="47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74" t="s">
        <v>1729</v>
      </c>
      <c r="C17" s="100" t="s">
        <v>2232</v>
      </c>
      <c r="D17" s="47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4" t="s">
        <v>1731</v>
      </c>
      <c r="C18" s="100" t="s">
        <v>2233</v>
      </c>
      <c r="D18" s="48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9" t="s">
        <v>2084</v>
      </c>
      <c r="C19" s="100" t="s">
        <v>2234</v>
      </c>
      <c r="D19" s="47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87" t="s">
        <v>1727</v>
      </c>
      <c r="C20" s="100" t="s">
        <v>2235</v>
      </c>
      <c r="D20" s="47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88" t="s">
        <v>1732</v>
      </c>
      <c r="C21" s="100" t="s">
        <v>2236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4" t="s">
        <v>1736</v>
      </c>
      <c r="C22" s="100" t="s">
        <v>2237</v>
      </c>
      <c r="D22" s="48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88" t="s">
        <v>1737</v>
      </c>
      <c r="C23" s="100" t="s">
        <v>2238</v>
      </c>
      <c r="D23" s="48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1744</v>
      </c>
      <c r="C24" s="100" t="s">
        <v>2240</v>
      </c>
      <c r="D24" s="48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1722</v>
      </c>
      <c r="C25" s="100" t="s">
        <v>2241</v>
      </c>
      <c r="D25" s="47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4" t="s">
        <v>2093</v>
      </c>
      <c r="C26" s="100" t="s">
        <v>2242</v>
      </c>
      <c r="D26" s="48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4" t="s">
        <v>1735</v>
      </c>
      <c r="C27" s="100" t="s">
        <v>2243</v>
      </c>
      <c r="D27" s="48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 t="s">
        <v>1394</v>
      </c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1734</v>
      </c>
      <c r="C28" s="100" t="s">
        <v>2245</v>
      </c>
      <c r="D28" s="48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5" t="s">
        <v>2085</v>
      </c>
      <c r="C29" s="100" t="s">
        <v>2246</v>
      </c>
      <c r="D29" s="47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2073</v>
      </c>
      <c r="C30" s="100" t="s">
        <v>2247</v>
      </c>
      <c r="D30" s="48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2091</v>
      </c>
      <c r="C31" s="100" t="s">
        <v>2248</v>
      </c>
      <c r="D31" s="48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42" t="s">
        <v>2086</v>
      </c>
      <c r="C32" s="100" t="s">
        <v>2249</v>
      </c>
      <c r="D32" s="48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92" t="s">
        <v>1725</v>
      </c>
      <c r="C33" s="100" t="s">
        <v>2250</v>
      </c>
      <c r="D33" s="47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93" t="s">
        <v>1743</v>
      </c>
      <c r="C34" s="100" t="s">
        <v>2251</v>
      </c>
      <c r="D34" s="48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1656</v>
      </c>
      <c r="C35" s="100" t="s">
        <v>2118</v>
      </c>
      <c r="D35" s="30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8144</v>
      </c>
      <c r="C36" s="100" t="s">
        <v>8146</v>
      </c>
      <c r="D36" s="3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/>
      <c r="C41" s="73"/>
      <c r="D41" s="47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55"/>
      <c r="C42" s="73"/>
      <c r="D42" s="47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51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73"/>
      <c r="D44" s="51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COUNTIF(D7:D43,"L")</f>
        <v>15</v>
      </c>
    </row>
    <row r="49" spans="2:3" x14ac:dyDescent="0.3">
      <c r="B49" s="21" t="s">
        <v>53</v>
      </c>
      <c r="C49">
        <f>COUNTIF(D7:D42,"P")</f>
        <v>15</v>
      </c>
    </row>
    <row r="50" spans="2:3" x14ac:dyDescent="0.3">
      <c r="B50" s="21" t="s">
        <v>363</v>
      </c>
      <c r="C50">
        <f>SUM(C48:C49)</f>
        <v>30</v>
      </c>
    </row>
  </sheetData>
  <sortState xmlns:xlrd2="http://schemas.microsoft.com/office/spreadsheetml/2017/richdata2" ref="B7:D41">
    <sortCondition ref="B7:B41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125" right="0.16666666666666666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BD43-2BB4-4361-81E6-CA0EA8B332B8}">
  <dimension ref="A1:AJ50"/>
  <sheetViews>
    <sheetView view="pageLayout" topLeftCell="A41" zoomScaleNormal="100" workbookViewId="0">
      <selection activeCell="V48" sqref="V48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5145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42" t="s">
        <v>1766</v>
      </c>
      <c r="C7" s="100" t="s">
        <v>2252</v>
      </c>
      <c r="D7" s="47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42" t="s">
        <v>1763</v>
      </c>
      <c r="C8" s="100" t="s">
        <v>2253</v>
      </c>
      <c r="D8" s="47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42" t="s">
        <v>1749</v>
      </c>
      <c r="C9" s="100" t="s">
        <v>2254</v>
      </c>
      <c r="D9" s="47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43" t="s">
        <v>1765</v>
      </c>
      <c r="C10" s="100" t="s">
        <v>2255</v>
      </c>
      <c r="D10" s="47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44" t="s">
        <v>1759</v>
      </c>
      <c r="C11" s="100" t="s">
        <v>2256</v>
      </c>
      <c r="D11" s="47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42" t="s">
        <v>1746</v>
      </c>
      <c r="C12" s="100" t="s">
        <v>2257</v>
      </c>
      <c r="D12" s="48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42" t="s">
        <v>2054</v>
      </c>
      <c r="C13" s="100" t="s">
        <v>2258</v>
      </c>
      <c r="D13" s="47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42" t="s">
        <v>1751</v>
      </c>
      <c r="C14" s="100" t="s">
        <v>2259</v>
      </c>
      <c r="D14" s="47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74" t="s">
        <v>1745</v>
      </c>
      <c r="C15" s="100" t="s">
        <v>2260</v>
      </c>
      <c r="D15" s="47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74" t="s">
        <v>1752</v>
      </c>
      <c r="C16" s="100" t="s">
        <v>2262</v>
      </c>
      <c r="D16" s="47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42" t="s">
        <v>2055</v>
      </c>
      <c r="C17" s="100" t="s">
        <v>2263</v>
      </c>
      <c r="D17" s="47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44" t="s">
        <v>1760</v>
      </c>
      <c r="C18" s="100" t="s">
        <v>2264</v>
      </c>
      <c r="D18" s="47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42" t="s">
        <v>1755</v>
      </c>
      <c r="C19" s="100" t="s">
        <v>2265</v>
      </c>
      <c r="D19" s="47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44" t="s">
        <v>1761</v>
      </c>
      <c r="C20" s="100" t="s">
        <v>2266</v>
      </c>
      <c r="D20" s="47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74" t="s">
        <v>1747</v>
      </c>
      <c r="C21" s="100" t="s">
        <v>2267</v>
      </c>
      <c r="D21" s="47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42" t="s">
        <v>1756</v>
      </c>
      <c r="C22" s="100" t="s">
        <v>2268</v>
      </c>
      <c r="D22" s="47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44" t="s">
        <v>2088</v>
      </c>
      <c r="C23" s="100" t="s">
        <v>2270</v>
      </c>
      <c r="D23" s="47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42" t="s">
        <v>1757</v>
      </c>
      <c r="C24" s="100" t="s">
        <v>2271</v>
      </c>
      <c r="D24" s="47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42" t="s">
        <v>2089</v>
      </c>
      <c r="C25" s="100" t="s">
        <v>2272</v>
      </c>
      <c r="D25" s="47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42" t="s">
        <v>1764</v>
      </c>
      <c r="C26" s="100" t="s">
        <v>2273</v>
      </c>
      <c r="D26" s="47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42" t="s">
        <v>1750</v>
      </c>
      <c r="C27" s="100" t="s">
        <v>2274</v>
      </c>
      <c r="D27" s="47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42" t="s">
        <v>1753</v>
      </c>
      <c r="C28" s="100" t="s">
        <v>2275</v>
      </c>
      <c r="D28" s="47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46" t="s">
        <v>1748</v>
      </c>
      <c r="C29" s="100" t="s">
        <v>2276</v>
      </c>
      <c r="D29" s="47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42" t="s">
        <v>1758</v>
      </c>
      <c r="C30" s="100" t="s">
        <v>2277</v>
      </c>
      <c r="D30" s="47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42" t="s">
        <v>1754</v>
      </c>
      <c r="C31" s="100" t="s">
        <v>2278</v>
      </c>
      <c r="D31" s="47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 t="s">
        <v>1394</v>
      </c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3780</v>
      </c>
      <c r="C32" s="100" t="s">
        <v>4217</v>
      </c>
      <c r="D32" s="51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49" t="s">
        <v>4212</v>
      </c>
      <c r="C33" s="100" t="s">
        <v>4218</v>
      </c>
      <c r="D33" s="47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49"/>
      <c r="C34" s="49"/>
      <c r="D34" s="49"/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9"/>
      <c r="C35" s="49"/>
      <c r="D35" s="49"/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49"/>
      <c r="C36" s="162"/>
      <c r="D36" s="50"/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49"/>
      <c r="C37" s="49"/>
      <c r="D37" s="49"/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49"/>
      <c r="C38" s="49"/>
      <c r="D38" s="49"/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49"/>
      <c r="C39" s="49"/>
      <c r="D39" s="49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49"/>
      <c r="C40" s="49"/>
      <c r="D40" s="49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42"/>
      <c r="C41" s="99"/>
      <c r="D41" s="47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55"/>
      <c r="C44" s="73"/>
      <c r="D44" s="47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ht="15" customHeight="1" x14ac:dyDescent="0.3">
      <c r="A45" s="532" t="s">
        <v>4435</v>
      </c>
      <c r="B45" s="533"/>
      <c r="C45" s="159" t="s">
        <v>13</v>
      </c>
      <c r="D45" s="160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ht="15" customHeight="1" x14ac:dyDescent="0.3">
      <c r="A46" s="534"/>
      <c r="B46" s="535"/>
      <c r="C46" s="159" t="s">
        <v>12</v>
      </c>
      <c r="D46" s="160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6"/>
      <c r="B47" s="537"/>
      <c r="C47" s="159" t="s">
        <v>11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1" t="s">
        <v>52</v>
      </c>
      <c r="C48">
        <f>COUNTIF(D7:D44,"L")</f>
        <v>11</v>
      </c>
    </row>
    <row r="49" spans="2:3" x14ac:dyDescent="0.3">
      <c r="B49" s="21" t="s">
        <v>53</v>
      </c>
      <c r="C49">
        <f>COUNTIF(D7:D44,"P")</f>
        <v>16</v>
      </c>
    </row>
    <row r="50" spans="2:3" x14ac:dyDescent="0.3">
      <c r="B50" s="21" t="s">
        <v>363</v>
      </c>
      <c r="C50">
        <f>SUM(C48:C49)</f>
        <v>27</v>
      </c>
    </row>
  </sheetData>
  <sortState xmlns:xlrd2="http://schemas.microsoft.com/office/spreadsheetml/2017/richdata2" ref="B7:D43">
    <sortCondition ref="B7:B43"/>
  </sortState>
  <mergeCells count="15">
    <mergeCell ref="A45:B47"/>
    <mergeCell ref="A1:AJ1"/>
    <mergeCell ref="A2:AJ2"/>
    <mergeCell ref="A4:A6"/>
    <mergeCell ref="B4:B6"/>
    <mergeCell ref="C4:C6"/>
    <mergeCell ref="D4:D6"/>
    <mergeCell ref="E4:L4"/>
    <mergeCell ref="M4:T4"/>
    <mergeCell ref="U4:AB4"/>
    <mergeCell ref="AC4:AJ4"/>
    <mergeCell ref="E5:L5"/>
    <mergeCell ref="M5:T5"/>
    <mergeCell ref="U5:AB5"/>
    <mergeCell ref="AC5:AJ5"/>
  </mergeCells>
  <phoneticPr fontId="11" type="noConversion"/>
  <pageMargins left="0.16666666666666666" right="0.15625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B45A-29AB-4A28-9742-AA8DD89DECC1}">
  <dimension ref="A1:AJ51"/>
  <sheetViews>
    <sheetView view="pageLayout" topLeftCell="A43" zoomScaleNormal="100" workbookViewId="0">
      <selection activeCell="I48" sqref="I48"/>
    </sheetView>
  </sheetViews>
  <sheetFormatPr defaultRowHeight="14.4" x14ac:dyDescent="0.3"/>
  <cols>
    <col min="1" max="1" width="3.88671875" customWidth="1"/>
    <col min="2" max="2" width="24.44140625" customWidth="1"/>
    <col min="3" max="3" width="9.55468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1343</v>
      </c>
      <c r="C7" s="13" t="s">
        <v>1396</v>
      </c>
      <c r="D7" s="30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1767</v>
      </c>
      <c r="C8" s="13" t="s">
        <v>1397</v>
      </c>
      <c r="D8" s="30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1344</v>
      </c>
      <c r="C9" s="13" t="s">
        <v>1398</v>
      </c>
      <c r="D9" s="30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1345</v>
      </c>
      <c r="C10" s="13" t="s">
        <v>1399</v>
      </c>
      <c r="D10" s="3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1768</v>
      </c>
      <c r="C11" s="13" t="s">
        <v>1400</v>
      </c>
      <c r="D11" s="30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1346</v>
      </c>
      <c r="C12" s="13" t="s">
        <v>1401</v>
      </c>
      <c r="D12" s="3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1769</v>
      </c>
      <c r="C13" s="13" t="s">
        <v>1402</v>
      </c>
      <c r="D13" s="30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1770</v>
      </c>
      <c r="C14" s="13" t="s">
        <v>1403</v>
      </c>
      <c r="D14" s="30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1347</v>
      </c>
      <c r="C15" s="13" t="s">
        <v>1404</v>
      </c>
      <c r="D15" s="30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1348</v>
      </c>
      <c r="C16" s="13" t="s">
        <v>1405</v>
      </c>
      <c r="D16" s="30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1349</v>
      </c>
      <c r="C17" s="13" t="s">
        <v>1406</v>
      </c>
      <c r="D17" s="30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1771</v>
      </c>
      <c r="C18" s="13" t="s">
        <v>1407</v>
      </c>
      <c r="D18" s="30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1772</v>
      </c>
      <c r="C19" s="13" t="s">
        <v>1413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1773</v>
      </c>
      <c r="C20" s="13" t="s">
        <v>1597</v>
      </c>
      <c r="D20" s="30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1774</v>
      </c>
      <c r="C21" s="13" t="s">
        <v>1408</v>
      </c>
      <c r="D21" s="30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1775</v>
      </c>
      <c r="C22" s="13" t="s">
        <v>1409</v>
      </c>
      <c r="D22" s="30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1350</v>
      </c>
      <c r="C23" s="13" t="s">
        <v>1410</v>
      </c>
      <c r="D23" s="3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1776</v>
      </c>
      <c r="C24" s="13" t="s">
        <v>1411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1777</v>
      </c>
      <c r="C25" s="13" t="s">
        <v>1412</v>
      </c>
      <c r="D25" s="3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1351</v>
      </c>
      <c r="C26" s="13" t="s">
        <v>1414</v>
      </c>
      <c r="D26" s="30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1352</v>
      </c>
      <c r="C27" s="13" t="s">
        <v>1415</v>
      </c>
      <c r="D27" s="30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1395</v>
      </c>
      <c r="C28" s="13" t="s">
        <v>1416</v>
      </c>
      <c r="D28" s="30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1778</v>
      </c>
      <c r="C29" s="13" t="s">
        <v>1417</v>
      </c>
      <c r="D29" s="30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1779</v>
      </c>
      <c r="C30" s="13" t="s">
        <v>1418</v>
      </c>
      <c r="D30" s="30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1780</v>
      </c>
      <c r="C31" s="13" t="s">
        <v>1419</v>
      </c>
      <c r="D31" s="30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1782</v>
      </c>
      <c r="C32" s="13" t="s">
        <v>1421</v>
      </c>
      <c r="D32" s="30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1783</v>
      </c>
      <c r="C33" s="13" t="s">
        <v>1422</v>
      </c>
      <c r="D33" s="3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1784</v>
      </c>
      <c r="C34" s="13" t="s">
        <v>1595</v>
      </c>
      <c r="D34" s="30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1785</v>
      </c>
      <c r="C35" s="13" t="s">
        <v>1423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1786</v>
      </c>
      <c r="C36" s="13" t="s">
        <v>1596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1635</v>
      </c>
      <c r="C37" s="13" t="s">
        <v>3785</v>
      </c>
      <c r="D37" s="30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1629</v>
      </c>
      <c r="C38" s="13" t="s">
        <v>3784</v>
      </c>
      <c r="D38" s="47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2279</v>
      </c>
      <c r="C39" s="13" t="s">
        <v>2285</v>
      </c>
      <c r="D39" s="47" t="s">
        <v>52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54" t="s">
        <v>2280</v>
      </c>
      <c r="C40" s="13" t="s">
        <v>2286</v>
      </c>
      <c r="D40" s="47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t="s">
        <v>2298</v>
      </c>
      <c r="C41" s="14" t="s">
        <v>1582</v>
      </c>
      <c r="D41" s="77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163" t="s">
        <v>1883</v>
      </c>
      <c r="C42" s="14" t="s">
        <v>1420</v>
      </c>
      <c r="D42" s="164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2" t="s">
        <v>4435</v>
      </c>
      <c r="B47" s="533"/>
      <c r="C47" s="159" t="s">
        <v>13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5" customHeight="1" x14ac:dyDescent="0.3">
      <c r="A48" s="534"/>
      <c r="B48" s="535"/>
      <c r="C48" s="159" t="s">
        <v>12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5" customHeight="1" x14ac:dyDescent="0.3">
      <c r="A49" s="536"/>
      <c r="B49" s="537"/>
      <c r="C49" s="159" t="s">
        <v>11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B50" s="21" t="s">
        <v>52</v>
      </c>
      <c r="C50">
        <f>COUNTIF(D7:D42,"L")</f>
        <v>16</v>
      </c>
      <c r="E50" t="s">
        <v>53</v>
      </c>
      <c r="F50" s="551">
        <f>COUNTIF(D7:D42,"P")</f>
        <v>19</v>
      </c>
      <c r="G50" s="551">
        <v>19</v>
      </c>
      <c r="N50" s="551"/>
      <c r="O50" s="551"/>
      <c r="R50" s="21" t="s">
        <v>363</v>
      </c>
      <c r="U50" s="551">
        <f>SUM(C50:F50)</f>
        <v>35</v>
      </c>
      <c r="V50" s="551"/>
      <c r="W50" s="551"/>
    </row>
    <row r="51" spans="1:36" x14ac:dyDescent="0.3">
      <c r="B51" s="21"/>
    </row>
  </sheetData>
  <mergeCells count="18">
    <mergeCell ref="U50:W50"/>
    <mergeCell ref="A1:AJ1"/>
    <mergeCell ref="A2:AJ2"/>
    <mergeCell ref="AC4:AJ4"/>
    <mergeCell ref="E5:L5"/>
    <mergeCell ref="M5:T5"/>
    <mergeCell ref="U5:AB5"/>
    <mergeCell ref="AC5:AJ5"/>
    <mergeCell ref="E4:L4"/>
    <mergeCell ref="M4:T4"/>
    <mergeCell ref="U4:AB4"/>
    <mergeCell ref="A4:A6"/>
    <mergeCell ref="B4:B6"/>
    <mergeCell ref="C4:C6"/>
    <mergeCell ref="D4:D6"/>
    <mergeCell ref="A47:B49"/>
    <mergeCell ref="F50:G50"/>
    <mergeCell ref="N50:O50"/>
  </mergeCells>
  <phoneticPr fontId="11" type="noConversion"/>
  <pageMargins left="0.1875" right="7.2916666666666671E-2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8D9C-7EA0-4054-98EA-8A20641F8AD4}">
  <dimension ref="A1:AJ50"/>
  <sheetViews>
    <sheetView view="pageLayout" topLeftCell="A43" zoomScaleNormal="100" workbookViewId="0">
      <selection activeCell="D25" sqref="D25"/>
    </sheetView>
  </sheetViews>
  <sheetFormatPr defaultRowHeight="14.4" x14ac:dyDescent="0.3"/>
  <cols>
    <col min="1" max="1" width="3.88671875" customWidth="1"/>
    <col min="2" max="2" width="23.6640625" customWidth="1"/>
    <col min="3" max="3" width="9.3320312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1787</v>
      </c>
      <c r="C7" s="13" t="s">
        <v>1574</v>
      </c>
      <c r="D7" s="5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1385</v>
      </c>
      <c r="C8" s="13" t="s">
        <v>1575</v>
      </c>
      <c r="D8" s="51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1788</v>
      </c>
      <c r="C9" s="13" t="s">
        <v>1424</v>
      </c>
      <c r="D9" s="51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1789</v>
      </c>
      <c r="C10" s="13" t="s">
        <v>1425</v>
      </c>
      <c r="D10" s="51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1790</v>
      </c>
      <c r="C11" s="13" t="s">
        <v>1426</v>
      </c>
      <c r="D11" s="51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1791</v>
      </c>
      <c r="C12" s="13" t="s">
        <v>1427</v>
      </c>
      <c r="D12" s="51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1353</v>
      </c>
      <c r="C13" s="13" t="s">
        <v>1428</v>
      </c>
      <c r="D13" s="51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95" t="s">
        <v>1792</v>
      </c>
      <c r="C14" s="13" t="s">
        <v>1429</v>
      </c>
      <c r="D14" s="51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1354</v>
      </c>
      <c r="C15" s="13" t="s">
        <v>1430</v>
      </c>
      <c r="D15" s="51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1793</v>
      </c>
      <c r="C16" s="13" t="s">
        <v>1431</v>
      </c>
      <c r="D16" s="51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57</v>
      </c>
      <c r="C17" s="13" t="s">
        <v>1457</v>
      </c>
      <c r="D17" s="51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1794</v>
      </c>
      <c r="C18" s="13" t="s">
        <v>1432</v>
      </c>
      <c r="D18" s="51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1795</v>
      </c>
      <c r="C19" s="13" t="s">
        <v>1433</v>
      </c>
      <c r="D19" s="5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1796</v>
      </c>
      <c r="C20" s="13" t="s">
        <v>1434</v>
      </c>
      <c r="D20" s="5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1797</v>
      </c>
      <c r="C21" s="13" t="s">
        <v>1435</v>
      </c>
      <c r="D21" s="5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1798</v>
      </c>
      <c r="C22" s="13" t="s">
        <v>1436</v>
      </c>
      <c r="D22" s="51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1799</v>
      </c>
      <c r="C23" s="13" t="s">
        <v>1437</v>
      </c>
      <c r="D23" s="51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54" t="s">
        <v>1800</v>
      </c>
      <c r="C24" s="13" t="s">
        <v>1438</v>
      </c>
      <c r="D24" s="51"/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1801</v>
      </c>
      <c r="C25" s="13" t="s">
        <v>1439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1802</v>
      </c>
      <c r="C26" s="13" t="s">
        <v>1440</v>
      </c>
      <c r="D26" s="51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1803</v>
      </c>
      <c r="C27" s="13" t="s">
        <v>1441</v>
      </c>
      <c r="D27" s="51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1804</v>
      </c>
      <c r="C28" s="13" t="s">
        <v>1442</v>
      </c>
      <c r="D28" s="51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1805</v>
      </c>
      <c r="C29" s="13" t="s">
        <v>1443</v>
      </c>
      <c r="D29" s="51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1355</v>
      </c>
      <c r="C30" s="13" t="s">
        <v>1444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95" t="s">
        <v>1806</v>
      </c>
      <c r="C31" s="13" t="s">
        <v>1456</v>
      </c>
      <c r="D31" s="51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1807</v>
      </c>
      <c r="C32" s="13" t="s">
        <v>1445</v>
      </c>
      <c r="D32" s="51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13" t="s">
        <v>1808</v>
      </c>
      <c r="C33" s="104" t="s">
        <v>1446</v>
      </c>
      <c r="D33" s="51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1809</v>
      </c>
      <c r="C34" s="13" t="s">
        <v>1447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1810</v>
      </c>
      <c r="C35" s="13" t="s">
        <v>1448</v>
      </c>
      <c r="D35" s="51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1811</v>
      </c>
      <c r="C36" s="13" t="s">
        <v>1449</v>
      </c>
      <c r="D36" s="51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1812</v>
      </c>
      <c r="C37" s="13" t="s">
        <v>1451</v>
      </c>
      <c r="D37" s="51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1356</v>
      </c>
      <c r="C38" s="13" t="s">
        <v>1450</v>
      </c>
      <c r="D38" s="51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1813</v>
      </c>
      <c r="C39" s="13" t="s">
        <v>1452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1357</v>
      </c>
      <c r="C40" s="13" t="s">
        <v>1453</v>
      </c>
      <c r="D40" s="5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95" t="s">
        <v>1814</v>
      </c>
      <c r="C41" s="13" t="s">
        <v>1454</v>
      </c>
      <c r="D41" s="51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1815</v>
      </c>
      <c r="C42" s="13" t="s">
        <v>1455</v>
      </c>
      <c r="D42" s="51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62" t="s">
        <v>1627</v>
      </c>
      <c r="C43" s="13" t="s">
        <v>1600</v>
      </c>
      <c r="D43" s="51" t="s">
        <v>52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 t="s">
        <v>2281</v>
      </c>
      <c r="C44" s="13" t="s">
        <v>3783</v>
      </c>
      <c r="D44" s="51" t="s">
        <v>53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ht="15" customHeight="1" x14ac:dyDescent="0.3">
      <c r="A47" s="532" t="s">
        <v>4435</v>
      </c>
      <c r="B47" s="533"/>
      <c r="C47" s="159" t="s">
        <v>13</v>
      </c>
      <c r="D47" s="160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5" customHeight="1" x14ac:dyDescent="0.3">
      <c r="A48" s="534"/>
      <c r="B48" s="535"/>
      <c r="C48" s="159" t="s">
        <v>12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5" customHeight="1" x14ac:dyDescent="0.3">
      <c r="A49" s="536"/>
      <c r="B49" s="537"/>
      <c r="C49" s="159" t="s">
        <v>11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x14ac:dyDescent="0.3">
      <c r="E50" s="21" t="s">
        <v>52</v>
      </c>
      <c r="F50" s="552">
        <f>COUNTIF(D7:D44,"L")</f>
        <v>18</v>
      </c>
      <c r="G50" s="552"/>
      <c r="I50" s="21" t="s">
        <v>53</v>
      </c>
      <c r="K50" s="553">
        <f>COUNTIF(D7:D44,"P")</f>
        <v>19</v>
      </c>
      <c r="L50" s="553"/>
      <c r="R50" s="21" t="s">
        <v>363</v>
      </c>
      <c r="V50" s="551">
        <f>SUM(F50:K50)</f>
        <v>37</v>
      </c>
      <c r="W50" s="551"/>
      <c r="X50" s="551"/>
      <c r="Y50" s="551"/>
    </row>
  </sheetData>
  <mergeCells count="18">
    <mergeCell ref="A1:AJ1"/>
    <mergeCell ref="F50:G50"/>
    <mergeCell ref="K50:L50"/>
    <mergeCell ref="V50:Y50"/>
    <mergeCell ref="A2:AJ2"/>
    <mergeCell ref="AC4:AJ4"/>
    <mergeCell ref="E5:L5"/>
    <mergeCell ref="M5:T5"/>
    <mergeCell ref="U5:AB5"/>
    <mergeCell ref="AC5:AJ5"/>
    <mergeCell ref="A4:A6"/>
    <mergeCell ref="A47:B49"/>
    <mergeCell ref="B4:B6"/>
    <mergeCell ref="C4:C6"/>
    <mergeCell ref="D4:D6"/>
    <mergeCell ref="E4:L4"/>
    <mergeCell ref="M4:T4"/>
    <mergeCell ref="U4:AB4"/>
  </mergeCells>
  <phoneticPr fontId="11" type="noConversion"/>
  <pageMargins left="0.28125" right="0.1875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B453B-C5FF-4BB3-B88C-BF416986C2B4}">
  <dimension ref="A1:AJ51"/>
  <sheetViews>
    <sheetView view="pageLayout" zoomScale="91" zoomScaleNormal="100" zoomScalePageLayoutView="91" workbookViewId="0">
      <selection activeCell="C15" sqref="C15"/>
    </sheetView>
  </sheetViews>
  <sheetFormatPr defaultRowHeight="14.4" x14ac:dyDescent="0.3"/>
  <cols>
    <col min="1" max="1" width="3.88671875" customWidth="1"/>
    <col min="2" max="2" width="24.5546875" customWidth="1"/>
    <col min="3" max="3" width="9.44140625" customWidth="1"/>
    <col min="4" max="4" width="3.554687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1050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ht="12" customHeight="1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1816</v>
      </c>
      <c r="C7" s="13" t="s">
        <v>1458</v>
      </c>
      <c r="D7" s="30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95" t="s">
        <v>1386</v>
      </c>
      <c r="C8" s="13" t="s">
        <v>1577</v>
      </c>
      <c r="D8" s="30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1387</v>
      </c>
      <c r="C9" s="13" t="s">
        <v>1578</v>
      </c>
      <c r="D9" s="30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1817</v>
      </c>
      <c r="C10" s="13" t="s">
        <v>1459</v>
      </c>
      <c r="D10" s="3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1818</v>
      </c>
      <c r="C11" s="13" t="s">
        <v>1460</v>
      </c>
      <c r="D11" s="30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1819</v>
      </c>
      <c r="C12" s="13" t="s">
        <v>1461</v>
      </c>
      <c r="D12" s="3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1820</v>
      </c>
      <c r="C13" s="13" t="s">
        <v>1462</v>
      </c>
      <c r="D13" s="30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1358</v>
      </c>
      <c r="C14" s="13" t="s">
        <v>1463</v>
      </c>
      <c r="D14" s="30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1388</v>
      </c>
      <c r="C15" s="13" t="s">
        <v>1579</v>
      </c>
      <c r="D15" s="30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1821</v>
      </c>
      <c r="C16" s="13" t="s">
        <v>1464</v>
      </c>
      <c r="D16" s="30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1359</v>
      </c>
      <c r="C17" s="13" t="s">
        <v>1465</v>
      </c>
      <c r="D17" s="30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1360</v>
      </c>
      <c r="C18" s="13" t="s">
        <v>1466</v>
      </c>
      <c r="D18" s="30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95" t="s">
        <v>1822</v>
      </c>
      <c r="C19" s="13" t="s">
        <v>1467</v>
      </c>
      <c r="D19" s="30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1823</v>
      </c>
      <c r="C20" s="13" t="s">
        <v>1468</v>
      </c>
      <c r="D20" s="30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1361</v>
      </c>
      <c r="C21" s="13" t="s">
        <v>1469</v>
      </c>
      <c r="D21" s="30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1824</v>
      </c>
      <c r="C22" s="13" t="s">
        <v>1470</v>
      </c>
      <c r="D22" s="30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1825</v>
      </c>
      <c r="C23" s="13" t="s">
        <v>1471</v>
      </c>
      <c r="D23" s="3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1826</v>
      </c>
      <c r="C24" s="13" t="s">
        <v>1473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1362</v>
      </c>
      <c r="C25" s="13" t="s">
        <v>1472</v>
      </c>
      <c r="D25" s="3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95" t="s">
        <v>1827</v>
      </c>
      <c r="C26" s="13" t="s">
        <v>1474</v>
      </c>
      <c r="D26" s="30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1828</v>
      </c>
      <c r="C27" s="13" t="s">
        <v>2287</v>
      </c>
      <c r="D27" s="30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1829</v>
      </c>
      <c r="C28" s="13" t="s">
        <v>1475</v>
      </c>
      <c r="D28" s="30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1830</v>
      </c>
      <c r="C29" s="13" t="s">
        <v>1476</v>
      </c>
      <c r="D29" s="30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1831</v>
      </c>
      <c r="C30" s="13" t="s">
        <v>1477</v>
      </c>
      <c r="D30" s="30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1832</v>
      </c>
      <c r="C31" s="13" t="s">
        <v>1478</v>
      </c>
      <c r="D31" s="30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1833</v>
      </c>
      <c r="C32" s="13" t="s">
        <v>1479</v>
      </c>
      <c r="D32" s="30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1834</v>
      </c>
      <c r="C33" s="13" t="s">
        <v>1480</v>
      </c>
      <c r="D33" s="3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1835</v>
      </c>
      <c r="C34" s="13" t="s">
        <v>1481</v>
      </c>
      <c r="D34" s="30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1363</v>
      </c>
      <c r="C35" s="13" t="s">
        <v>1482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1364</v>
      </c>
      <c r="C36" s="13" t="s">
        <v>1483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1836</v>
      </c>
      <c r="C37" s="13" t="s">
        <v>1484</v>
      </c>
      <c r="D37" s="30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1837</v>
      </c>
      <c r="C38" s="13" t="s">
        <v>1485</v>
      </c>
      <c r="D38" s="30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1838</v>
      </c>
      <c r="C39" s="13" t="s">
        <v>1486</v>
      </c>
      <c r="D39" s="30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5" customHeight="1" x14ac:dyDescent="0.3">
      <c r="A48" s="532" t="s">
        <v>4435</v>
      </c>
      <c r="B48" s="533"/>
      <c r="C48" s="159" t="s">
        <v>13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5" customHeight="1" x14ac:dyDescent="0.3">
      <c r="A49" s="534"/>
      <c r="B49" s="535"/>
      <c r="C49" s="159" t="s">
        <v>12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ht="15" customHeight="1" x14ac:dyDescent="0.3">
      <c r="A50" s="536"/>
      <c r="B50" s="537"/>
      <c r="C50" s="159" t="s">
        <v>11</v>
      </c>
      <c r="D50" s="16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D51" s="21" t="s">
        <v>52</v>
      </c>
      <c r="E51" s="551">
        <f>COUNTIF(D7:D50,"L")</f>
        <v>12</v>
      </c>
      <c r="F51" s="551"/>
      <c r="J51" s="21" t="s">
        <v>53</v>
      </c>
      <c r="L51" s="551">
        <f>COUNTIF(D7:D50,"P")</f>
        <v>21</v>
      </c>
      <c r="M51" s="551"/>
      <c r="Q51" s="21" t="s">
        <v>363</v>
      </c>
      <c r="U51" s="551">
        <f>SUM(E51:L51)</f>
        <v>33</v>
      </c>
      <c r="V51" s="551"/>
    </row>
  </sheetData>
  <mergeCells count="18">
    <mergeCell ref="E51:F51"/>
    <mergeCell ref="L51:M51"/>
    <mergeCell ref="U51:V51"/>
    <mergeCell ref="A48:B50"/>
    <mergeCell ref="D4:D6"/>
    <mergeCell ref="E4:L4"/>
    <mergeCell ref="M4:T4"/>
    <mergeCell ref="U4:AB4"/>
    <mergeCell ref="A1:AJ1"/>
    <mergeCell ref="A2:AJ2"/>
    <mergeCell ref="AC4:AJ4"/>
    <mergeCell ref="E5:L5"/>
    <mergeCell ref="M5:T5"/>
    <mergeCell ref="U5:AB5"/>
    <mergeCell ref="AC5:AJ5"/>
    <mergeCell ref="A4:A6"/>
    <mergeCell ref="B4:B6"/>
    <mergeCell ref="C4:C6"/>
  </mergeCells>
  <pageMargins left="0.17708333333333334" right="0.1041666666666666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BDB8-4BBB-4F3E-B5CF-B0B73422E992}">
  <dimension ref="A1:AJ51"/>
  <sheetViews>
    <sheetView view="pageLayout" topLeftCell="A25" zoomScaleNormal="100" workbookViewId="0">
      <selection activeCell="C41" sqref="C41"/>
    </sheetView>
  </sheetViews>
  <sheetFormatPr defaultRowHeight="14.4" x14ac:dyDescent="0.3"/>
  <cols>
    <col min="1" max="1" width="3.88671875" customWidth="1"/>
    <col min="2" max="2" width="23.33203125" customWidth="1"/>
    <col min="3" max="3" width="9.5546875" customWidth="1"/>
    <col min="4" max="4" width="3.332031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1839</v>
      </c>
      <c r="C7" s="13" t="s">
        <v>1487</v>
      </c>
      <c r="D7" s="5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1840</v>
      </c>
      <c r="C8" s="13" t="s">
        <v>1488</v>
      </c>
      <c r="D8" s="51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1841</v>
      </c>
      <c r="C9" s="13" t="s">
        <v>1489</v>
      </c>
      <c r="D9" s="51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1842</v>
      </c>
      <c r="C10" s="13" t="s">
        <v>1490</v>
      </c>
      <c r="D10" s="51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1843</v>
      </c>
      <c r="C11" s="13" t="s">
        <v>1491</v>
      </c>
      <c r="D11" s="51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1844</v>
      </c>
      <c r="C12" s="13" t="s">
        <v>1492</v>
      </c>
      <c r="D12" s="5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1365</v>
      </c>
      <c r="C13" s="13" t="s">
        <v>1493</v>
      </c>
      <c r="D13" s="51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95" t="s">
        <v>1845</v>
      </c>
      <c r="C14" s="13" t="s">
        <v>1494</v>
      </c>
      <c r="D14" s="51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1846</v>
      </c>
      <c r="C15" s="13" t="s">
        <v>1495</v>
      </c>
      <c r="D15" s="51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1847</v>
      </c>
      <c r="C16" s="13" t="s">
        <v>1496</v>
      </c>
      <c r="D16" s="51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1848</v>
      </c>
      <c r="C17" s="13" t="s">
        <v>1497</v>
      </c>
      <c r="D17" s="51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1849</v>
      </c>
      <c r="C18" s="13" t="s">
        <v>1498</v>
      </c>
      <c r="D18" s="51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1850</v>
      </c>
      <c r="C19" s="13" t="s">
        <v>1499</v>
      </c>
      <c r="D19" s="51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1851</v>
      </c>
      <c r="C20" s="13" t="s">
        <v>1500</v>
      </c>
      <c r="D20" s="5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1852</v>
      </c>
      <c r="C21" s="13" t="s">
        <v>1580</v>
      </c>
      <c r="D21" s="5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1853</v>
      </c>
      <c r="C22" s="13" t="s">
        <v>1581</v>
      </c>
      <c r="D22" s="51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1854</v>
      </c>
      <c r="C23" s="13" t="s">
        <v>1501</v>
      </c>
      <c r="D23" s="51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1855</v>
      </c>
      <c r="C24" s="13" t="s">
        <v>1502</v>
      </c>
      <c r="D24" s="51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1366</v>
      </c>
      <c r="C25" s="13" t="s">
        <v>1503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1367</v>
      </c>
      <c r="C26" s="13" t="s">
        <v>1504</v>
      </c>
      <c r="D26" s="51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95" t="s">
        <v>1856</v>
      </c>
      <c r="C27" s="13" t="s">
        <v>1605</v>
      </c>
      <c r="D27" s="51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1368</v>
      </c>
      <c r="C28" s="13" t="s">
        <v>1505</v>
      </c>
      <c r="D28" s="51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1369</v>
      </c>
      <c r="C29" s="13" t="s">
        <v>1506</v>
      </c>
      <c r="D29" s="51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1857</v>
      </c>
      <c r="C30" s="13" t="s">
        <v>1507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1370</v>
      </c>
      <c r="C31" s="13" t="s">
        <v>1508</v>
      </c>
      <c r="D31" s="51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1666</v>
      </c>
      <c r="C32" s="13" t="s">
        <v>1509</v>
      </c>
      <c r="D32" s="51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95" t="s">
        <v>1858</v>
      </c>
      <c r="C33" s="13" t="s">
        <v>1510</v>
      </c>
      <c r="D33" s="51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1859</v>
      </c>
      <c r="C34" s="13" t="s">
        <v>1511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1860</v>
      </c>
      <c r="C35" s="13" t="s">
        <v>1512</v>
      </c>
      <c r="D35" s="51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1861</v>
      </c>
      <c r="C36" s="13" t="s">
        <v>1514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1641</v>
      </c>
      <c r="C37" s="13" t="s">
        <v>1515</v>
      </c>
      <c r="D37" s="51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1862</v>
      </c>
      <c r="C38" s="13" t="s">
        <v>1516</v>
      </c>
      <c r="D38" s="51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1371</v>
      </c>
      <c r="C39" s="13" t="s">
        <v>1517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1372</v>
      </c>
      <c r="C40" s="13" t="s">
        <v>1518</v>
      </c>
      <c r="D40" s="5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1628</v>
      </c>
      <c r="C41" s="13" t="s">
        <v>1590</v>
      </c>
      <c r="D41" s="51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2282</v>
      </c>
      <c r="C42" s="13" t="s">
        <v>2288</v>
      </c>
      <c r="D42" s="51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 t="s">
        <v>2296</v>
      </c>
      <c r="C43" s="13" t="s">
        <v>4224</v>
      </c>
      <c r="D43" s="51" t="s">
        <v>52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102"/>
      <c r="C47" s="165"/>
      <c r="D47" s="103"/>
      <c r="E47" s="161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4.25" customHeight="1" x14ac:dyDescent="0.3">
      <c r="A48" s="532" t="s">
        <v>4435</v>
      </c>
      <c r="B48" s="533"/>
      <c r="C48" s="159" t="s">
        <v>13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4.25" customHeight="1" x14ac:dyDescent="0.3">
      <c r="A49" s="534"/>
      <c r="B49" s="535"/>
      <c r="C49" s="159" t="s">
        <v>12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ht="14.25" customHeight="1" x14ac:dyDescent="0.3">
      <c r="A50" s="536"/>
      <c r="B50" s="537"/>
      <c r="C50" s="159" t="s">
        <v>11</v>
      </c>
      <c r="D50" s="16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D51" s="21" t="s">
        <v>52</v>
      </c>
      <c r="E51" s="554">
        <f>COUNTIF(D7:D43,"L")</f>
        <v>18</v>
      </c>
      <c r="F51" s="554"/>
      <c r="I51" t="s">
        <v>53</v>
      </c>
      <c r="K51" s="551">
        <f>COUNTIF(D7:D43,"P")</f>
        <v>19</v>
      </c>
      <c r="L51" s="551"/>
      <c r="O51" s="21" t="s">
        <v>363</v>
      </c>
      <c r="R51" s="551">
        <f>SUM(E51:K51)</f>
        <v>37</v>
      </c>
      <c r="S51" s="551"/>
      <c r="T51" s="551"/>
    </row>
  </sheetData>
  <mergeCells count="18">
    <mergeCell ref="A1:AJ1"/>
    <mergeCell ref="A2:AJ2"/>
    <mergeCell ref="A4:A6"/>
    <mergeCell ref="B4:B6"/>
    <mergeCell ref="C4:C6"/>
    <mergeCell ref="D4:D6"/>
    <mergeCell ref="E51:F51"/>
    <mergeCell ref="K51:L51"/>
    <mergeCell ref="A48:B50"/>
    <mergeCell ref="R51:T51"/>
    <mergeCell ref="AC4:AJ4"/>
    <mergeCell ref="E5:L5"/>
    <mergeCell ref="M5:T5"/>
    <mergeCell ref="U5:AB5"/>
    <mergeCell ref="AC5:AJ5"/>
    <mergeCell ref="E4:L4"/>
    <mergeCell ref="M4:T4"/>
    <mergeCell ref="U4:AB4"/>
  </mergeCells>
  <phoneticPr fontId="11" type="noConversion"/>
  <pageMargins left="0.17708333333333334" right="0.1875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9363-8468-4F03-8186-617B2589EB65}">
  <dimension ref="A1:AJ51"/>
  <sheetViews>
    <sheetView view="pageLayout" zoomScaleNormal="100" workbookViewId="0">
      <selection activeCell="J29" sqref="J29"/>
    </sheetView>
  </sheetViews>
  <sheetFormatPr defaultRowHeight="14.4" x14ac:dyDescent="0.3"/>
  <cols>
    <col min="1" max="1" width="3.33203125" customWidth="1"/>
    <col min="2" max="2" width="25.6640625" customWidth="1"/>
    <col min="3" max="3" width="9.5546875" customWidth="1"/>
    <col min="4" max="4" width="2.8867187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1863</v>
      </c>
      <c r="C7" s="13" t="s">
        <v>1519</v>
      </c>
      <c r="D7" s="5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1864</v>
      </c>
      <c r="C8" s="13" t="s">
        <v>1520</v>
      </c>
      <c r="D8" s="51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1865</v>
      </c>
      <c r="C9" s="13" t="s">
        <v>1521</v>
      </c>
      <c r="D9" s="51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1866</v>
      </c>
      <c r="C10" s="13" t="s">
        <v>1522</v>
      </c>
      <c r="D10" s="51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1867</v>
      </c>
      <c r="C11" s="13" t="s">
        <v>1523</v>
      </c>
      <c r="D11" s="51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1373</v>
      </c>
      <c r="C12" s="13" t="s">
        <v>1524</v>
      </c>
      <c r="D12" s="5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4228</v>
      </c>
      <c r="C13" s="13" t="s">
        <v>1525</v>
      </c>
      <c r="D13" s="51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1869</v>
      </c>
      <c r="C14" s="13" t="s">
        <v>1526</v>
      </c>
      <c r="D14" s="51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1870</v>
      </c>
      <c r="C15" s="13" t="s">
        <v>1527</v>
      </c>
      <c r="D15" s="51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1871</v>
      </c>
      <c r="C16" s="13" t="s">
        <v>1528</v>
      </c>
      <c r="D16" s="51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1872</v>
      </c>
      <c r="C17" s="13" t="s">
        <v>1530</v>
      </c>
      <c r="D17" s="51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1873</v>
      </c>
      <c r="C18" s="13" t="s">
        <v>1531</v>
      </c>
      <c r="D18" s="51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1874</v>
      </c>
      <c r="C19" s="13" t="s">
        <v>1532</v>
      </c>
      <c r="D19" s="5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1875</v>
      </c>
      <c r="C20" s="13" t="s">
        <v>1876</v>
      </c>
      <c r="D20" s="5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95" t="s">
        <v>1877</v>
      </c>
      <c r="C21" s="13" t="s">
        <v>1583</v>
      </c>
      <c r="D21" s="5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95" t="s">
        <v>1878</v>
      </c>
      <c r="C22" s="13" t="s">
        <v>1584</v>
      </c>
      <c r="D22" s="51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1879</v>
      </c>
      <c r="C23" s="13" t="s">
        <v>1585</v>
      </c>
      <c r="D23" s="51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1880</v>
      </c>
      <c r="C24" s="13" t="s">
        <v>1529</v>
      </c>
      <c r="D24" s="51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1881</v>
      </c>
      <c r="C25" s="13" t="s">
        <v>1586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1882</v>
      </c>
      <c r="C26" s="13" t="s">
        <v>1587</v>
      </c>
      <c r="D26" s="51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95" t="s">
        <v>1599</v>
      </c>
      <c r="C27" s="13" t="s">
        <v>1600</v>
      </c>
      <c r="D27" s="51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54" t="s">
        <v>1883</v>
      </c>
      <c r="C28" s="13" t="s">
        <v>1533</v>
      </c>
      <c r="D28" s="51"/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1374</v>
      </c>
      <c r="C29" s="13" t="s">
        <v>1534</v>
      </c>
      <c r="D29" s="51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1884</v>
      </c>
      <c r="C30" s="13" t="s">
        <v>1535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1885</v>
      </c>
      <c r="C31" s="13" t="s">
        <v>1598</v>
      </c>
      <c r="D31" s="51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1886</v>
      </c>
      <c r="C32" s="13" t="s">
        <v>1536</v>
      </c>
      <c r="D32" s="51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1887</v>
      </c>
      <c r="C33" s="13" t="s">
        <v>1537</v>
      </c>
      <c r="D33" s="51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1375</v>
      </c>
      <c r="C34" s="13" t="s">
        <v>1538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1888</v>
      </c>
      <c r="C35" s="13" t="s">
        <v>1539</v>
      </c>
      <c r="D35" s="51" t="s">
        <v>52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1889</v>
      </c>
      <c r="C36" s="13" t="s">
        <v>1540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1376</v>
      </c>
      <c r="C37" s="13" t="s">
        <v>1541</v>
      </c>
      <c r="D37" s="51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1890</v>
      </c>
      <c r="C38" s="13" t="s">
        <v>1542</v>
      </c>
      <c r="D38" s="51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1891</v>
      </c>
      <c r="C39" s="13" t="s">
        <v>1543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1377</v>
      </c>
      <c r="C40" s="13" t="s">
        <v>1544</v>
      </c>
      <c r="D40" s="5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2284</v>
      </c>
      <c r="C41" s="13" t="s">
        <v>2289</v>
      </c>
      <c r="D41" s="51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10">
        <v>41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1.25" customHeight="1" x14ac:dyDescent="0.3">
      <c r="A48" s="532" t="s">
        <v>4435</v>
      </c>
      <c r="B48" s="533"/>
      <c r="C48" s="159" t="s">
        <v>13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1.25" customHeight="1" x14ac:dyDescent="0.3">
      <c r="A49" s="534"/>
      <c r="B49" s="535"/>
      <c r="C49" s="159" t="s">
        <v>12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ht="11.25" customHeight="1" x14ac:dyDescent="0.3">
      <c r="A50" s="536"/>
      <c r="B50" s="537"/>
      <c r="C50" s="159" t="s">
        <v>11</v>
      </c>
      <c r="D50" s="16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B51" s="76" t="s">
        <v>52</v>
      </c>
      <c r="C51">
        <f>COUNTIF(D7:D39,"L")</f>
        <v>21</v>
      </c>
      <c r="F51" s="21" t="s">
        <v>53</v>
      </c>
      <c r="H51" s="551">
        <f>COUNTIF(D7:D41,"P")</f>
        <v>13</v>
      </c>
      <c r="I51" s="551"/>
      <c r="N51" s="21" t="s">
        <v>363</v>
      </c>
      <c r="Q51" s="551">
        <f>SUM(C51:H51)</f>
        <v>34</v>
      </c>
      <c r="R51" s="551"/>
      <c r="S51" s="551"/>
    </row>
  </sheetData>
  <mergeCells count="17">
    <mergeCell ref="H51:I51"/>
    <mergeCell ref="Q51:S51"/>
    <mergeCell ref="AC4:AJ4"/>
    <mergeCell ref="E5:L5"/>
    <mergeCell ref="M5:T5"/>
    <mergeCell ref="U5:AB5"/>
    <mergeCell ref="AC5:AJ5"/>
    <mergeCell ref="E4:L4"/>
    <mergeCell ref="M4:T4"/>
    <mergeCell ref="U4:AB4"/>
    <mergeCell ref="A48:B50"/>
    <mergeCell ref="A1:AJ1"/>
    <mergeCell ref="A2:AJ2"/>
    <mergeCell ref="A4:A6"/>
    <mergeCell ref="B4:B6"/>
    <mergeCell ref="C4:C6"/>
    <mergeCell ref="D4:D6"/>
  </mergeCells>
  <phoneticPr fontId="11" type="noConversion"/>
  <pageMargins left="0.14583333333333334" right="0.125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9BC-A168-4A0B-AAE5-D42A9FD5571C}">
  <dimension ref="A1:AJ52"/>
  <sheetViews>
    <sheetView view="pageLayout" topLeftCell="B36" zoomScaleNormal="100" workbookViewId="0">
      <selection activeCell="AA51" sqref="AA51"/>
    </sheetView>
  </sheetViews>
  <sheetFormatPr defaultRowHeight="14.4" x14ac:dyDescent="0.3"/>
  <cols>
    <col min="1" max="1" width="3.88671875" customWidth="1"/>
    <col min="2" max="2" width="23.109375" customWidth="1"/>
    <col min="3" max="3" width="10.109375" customWidth="1"/>
    <col min="4" max="4" width="3.66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3782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39" t="s">
        <v>5</v>
      </c>
      <c r="B4" s="542" t="s">
        <v>6</v>
      </c>
      <c r="C4" s="542" t="s">
        <v>7</v>
      </c>
      <c r="D4" s="542" t="s">
        <v>8</v>
      </c>
      <c r="E4" s="545" t="s">
        <v>4433</v>
      </c>
      <c r="F4" s="545"/>
      <c r="G4" s="545"/>
      <c r="H4" s="545"/>
      <c r="I4" s="545"/>
      <c r="J4" s="545"/>
      <c r="K4" s="545"/>
      <c r="L4" s="546"/>
      <c r="M4" s="545" t="s">
        <v>4433</v>
      </c>
      <c r="N4" s="545"/>
      <c r="O4" s="545"/>
      <c r="P4" s="545"/>
      <c r="Q4" s="545"/>
      <c r="R4" s="545"/>
      <c r="S4" s="545"/>
      <c r="T4" s="546"/>
      <c r="U4" s="545" t="s">
        <v>4433</v>
      </c>
      <c r="V4" s="545"/>
      <c r="W4" s="545"/>
      <c r="X4" s="545"/>
      <c r="Y4" s="545"/>
      <c r="Z4" s="545"/>
      <c r="AA4" s="545"/>
      <c r="AB4" s="546"/>
      <c r="AC4" s="545" t="s">
        <v>4433</v>
      </c>
      <c r="AD4" s="545"/>
      <c r="AE4" s="545"/>
      <c r="AF4" s="545"/>
      <c r="AG4" s="545"/>
      <c r="AH4" s="545"/>
      <c r="AI4" s="545"/>
      <c r="AJ4" s="546"/>
    </row>
    <row r="5" spans="1:36" x14ac:dyDescent="0.3">
      <c r="A5" s="540"/>
      <c r="B5" s="543"/>
      <c r="C5" s="543"/>
      <c r="D5" s="543"/>
      <c r="E5" s="547" t="s">
        <v>4434</v>
      </c>
      <c r="F5" s="548"/>
      <c r="G5" s="548"/>
      <c r="H5" s="548"/>
      <c r="I5" s="548"/>
      <c r="J5" s="548"/>
      <c r="K5" s="548"/>
      <c r="L5" s="549"/>
      <c r="M5" s="547" t="s">
        <v>4434</v>
      </c>
      <c r="N5" s="548"/>
      <c r="O5" s="548"/>
      <c r="P5" s="548"/>
      <c r="Q5" s="548"/>
      <c r="R5" s="548"/>
      <c r="S5" s="548"/>
      <c r="T5" s="549"/>
      <c r="U5" s="547" t="s">
        <v>4434</v>
      </c>
      <c r="V5" s="548"/>
      <c r="W5" s="548"/>
      <c r="X5" s="548"/>
      <c r="Y5" s="548"/>
      <c r="Z5" s="548"/>
      <c r="AA5" s="548"/>
      <c r="AB5" s="549"/>
      <c r="AC5" s="547" t="s">
        <v>4434</v>
      </c>
      <c r="AD5" s="548"/>
      <c r="AE5" s="548"/>
      <c r="AF5" s="548"/>
      <c r="AG5" s="548"/>
      <c r="AH5" s="548"/>
      <c r="AI5" s="548"/>
      <c r="AJ5" s="549"/>
    </row>
    <row r="6" spans="1:36" x14ac:dyDescent="0.3">
      <c r="A6" s="541"/>
      <c r="B6" s="544"/>
      <c r="C6" s="544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1892</v>
      </c>
      <c r="C7" s="13" t="s">
        <v>1545</v>
      </c>
      <c r="D7" s="5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1893</v>
      </c>
      <c r="C8" s="13" t="s">
        <v>1576</v>
      </c>
      <c r="D8" s="51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1601</v>
      </c>
      <c r="C9" s="13" t="s">
        <v>1894</v>
      </c>
      <c r="D9" s="51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1895</v>
      </c>
      <c r="C10" s="13" t="s">
        <v>1546</v>
      </c>
      <c r="D10" s="51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1896</v>
      </c>
      <c r="C11" s="13" t="s">
        <v>1547</v>
      </c>
      <c r="D11" s="51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1897</v>
      </c>
      <c r="C12" s="13" t="s">
        <v>1548</v>
      </c>
      <c r="D12" s="5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1898</v>
      </c>
      <c r="C13" s="13" t="s">
        <v>1549</v>
      </c>
      <c r="D13" s="51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1378</v>
      </c>
      <c r="C14" s="13" t="s">
        <v>1550</v>
      </c>
      <c r="D14" s="51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1899</v>
      </c>
      <c r="C15" s="13" t="s">
        <v>1551</v>
      </c>
      <c r="D15" s="51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1900</v>
      </c>
      <c r="C16" s="13" t="s">
        <v>1552</v>
      </c>
      <c r="D16" s="51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1379</v>
      </c>
      <c r="C17" s="13" t="s">
        <v>1553</v>
      </c>
      <c r="D17" s="51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3705</v>
      </c>
      <c r="C18" s="13" t="s">
        <v>1554</v>
      </c>
      <c r="D18" s="51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1901</v>
      </c>
      <c r="C19" s="13" t="s">
        <v>1555</v>
      </c>
      <c r="D19" s="5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1902</v>
      </c>
      <c r="C20" s="13" t="s">
        <v>1556</v>
      </c>
      <c r="D20" s="5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1903</v>
      </c>
      <c r="C21" s="13" t="s">
        <v>1557</v>
      </c>
      <c r="D21" s="51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1904</v>
      </c>
      <c r="C22" s="13" t="s">
        <v>1558</v>
      </c>
      <c r="D22" s="51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1380</v>
      </c>
      <c r="C23" s="13" t="s">
        <v>1560</v>
      </c>
      <c r="D23" s="51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1905</v>
      </c>
      <c r="C24" s="13" t="s">
        <v>1561</v>
      </c>
      <c r="D24" s="51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1381</v>
      </c>
      <c r="C25" s="13" t="s">
        <v>1562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1906</v>
      </c>
      <c r="C26" s="13" t="s">
        <v>1563</v>
      </c>
      <c r="D26" s="51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1907</v>
      </c>
      <c r="C27" s="13" t="s">
        <v>1564</v>
      </c>
      <c r="D27" s="51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1908</v>
      </c>
      <c r="C28" s="13" t="s">
        <v>1559</v>
      </c>
      <c r="D28" s="51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1909</v>
      </c>
      <c r="C29" s="13" t="s">
        <v>1588</v>
      </c>
      <c r="D29" s="51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1910</v>
      </c>
      <c r="C30" s="13" t="s">
        <v>1589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1911</v>
      </c>
      <c r="C31" s="13" t="s">
        <v>1591</v>
      </c>
      <c r="D31" s="51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1912</v>
      </c>
      <c r="C32" s="13" t="s">
        <v>1592</v>
      </c>
      <c r="D32" s="51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1382</v>
      </c>
      <c r="C33" s="13" t="s">
        <v>1565</v>
      </c>
      <c r="D33" s="51" t="s">
        <v>52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1913</v>
      </c>
      <c r="C34" s="13" t="s">
        <v>1566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49" t="s">
        <v>1718</v>
      </c>
      <c r="C35" s="82" t="s">
        <v>1567</v>
      </c>
      <c r="D35" s="5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1914</v>
      </c>
      <c r="C36" s="13" t="s">
        <v>1568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s="78" customFormat="1" x14ac:dyDescent="0.3">
      <c r="A37" s="96">
        <v>31</v>
      </c>
      <c r="B37" s="3" t="s">
        <v>1383</v>
      </c>
      <c r="C37" s="13" t="s">
        <v>1569</v>
      </c>
      <c r="D37" s="51" t="s">
        <v>53</v>
      </c>
      <c r="E37" s="49"/>
      <c r="F37" s="49"/>
      <c r="G37" s="49"/>
      <c r="H37" s="49"/>
      <c r="I37" s="49"/>
      <c r="J37" s="49"/>
      <c r="K37" s="49"/>
      <c r="L37" s="49"/>
      <c r="M37" s="72"/>
      <c r="N37" s="72"/>
      <c r="O37" s="72"/>
      <c r="P37" s="72"/>
      <c r="Q37" s="72"/>
      <c r="R37" s="72"/>
      <c r="S37" s="72"/>
      <c r="T37" s="72"/>
      <c r="U37" s="49"/>
      <c r="V37" s="49"/>
      <c r="W37" s="49"/>
      <c r="X37" s="49"/>
      <c r="Y37" s="49"/>
      <c r="Z37" s="49"/>
      <c r="AA37" s="49"/>
      <c r="AB37" s="49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1389</v>
      </c>
      <c r="C38" s="13" t="s">
        <v>1593</v>
      </c>
      <c r="D38" s="51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1915</v>
      </c>
      <c r="C39" s="13" t="s">
        <v>1571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1916</v>
      </c>
      <c r="C40" s="13" t="s">
        <v>1594</v>
      </c>
      <c r="D40" s="5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1384</v>
      </c>
      <c r="C41" s="13" t="s">
        <v>1570</v>
      </c>
      <c r="D41" s="51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1917</v>
      </c>
      <c r="C42" s="13" t="s">
        <v>1572</v>
      </c>
      <c r="D42" s="51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 t="s">
        <v>1918</v>
      </c>
      <c r="C43" s="13" t="s">
        <v>1573</v>
      </c>
      <c r="D43" s="51" t="s">
        <v>53</v>
      </c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49" t="s">
        <v>2297</v>
      </c>
      <c r="C44" s="82" t="s">
        <v>1513</v>
      </c>
      <c r="D44" s="50" t="s">
        <v>52</v>
      </c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10">
        <v>39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10">
        <v>40</v>
      </c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</row>
    <row r="47" spans="1:36" x14ac:dyDescent="0.3">
      <c r="A47" s="10">
        <v>41</v>
      </c>
      <c r="B47" s="62"/>
      <c r="C47" s="75"/>
      <c r="D47" s="51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ht="15" customHeight="1" x14ac:dyDescent="0.3">
      <c r="A48" s="532" t="s">
        <v>4435</v>
      </c>
      <c r="B48" s="533"/>
      <c r="C48" s="159" t="s">
        <v>13</v>
      </c>
      <c r="D48" s="160"/>
      <c r="E48" s="3"/>
      <c r="F48" s="3"/>
      <c r="G48" s="3"/>
      <c r="H48" s="3"/>
      <c r="I48" s="3"/>
      <c r="J48" s="3"/>
      <c r="K48" s="3"/>
      <c r="L48" s="3"/>
      <c r="M48" s="72"/>
      <c r="N48" s="72"/>
      <c r="O48" s="72"/>
      <c r="P48" s="72"/>
      <c r="Q48" s="72"/>
      <c r="R48" s="72"/>
      <c r="S48" s="72"/>
      <c r="T48" s="72"/>
      <c r="U48" s="3"/>
      <c r="V48" s="3"/>
      <c r="W48" s="3"/>
      <c r="X48" s="3"/>
      <c r="Y48" s="3"/>
      <c r="Z48" s="3"/>
      <c r="AA48" s="3"/>
      <c r="AB48" s="3"/>
      <c r="AC48" s="72"/>
      <c r="AD48" s="72"/>
      <c r="AE48" s="72"/>
      <c r="AF48" s="72"/>
      <c r="AG48" s="72"/>
      <c r="AH48" s="72"/>
      <c r="AI48" s="72"/>
      <c r="AJ48" s="72"/>
    </row>
    <row r="49" spans="1:36" ht="15" customHeight="1" x14ac:dyDescent="0.3">
      <c r="A49" s="534"/>
      <c r="B49" s="535"/>
      <c r="C49" s="159" t="s">
        <v>12</v>
      </c>
      <c r="D49" s="160"/>
      <c r="E49" s="3"/>
      <c r="F49" s="3"/>
      <c r="G49" s="3"/>
      <c r="H49" s="3"/>
      <c r="I49" s="3"/>
      <c r="J49" s="3"/>
      <c r="K49" s="3"/>
      <c r="L49" s="3"/>
      <c r="M49" s="72"/>
      <c r="N49" s="72"/>
      <c r="O49" s="72"/>
      <c r="P49" s="72"/>
      <c r="Q49" s="72"/>
      <c r="R49" s="72"/>
      <c r="S49" s="72"/>
      <c r="T49" s="72"/>
      <c r="U49" s="3"/>
      <c r="V49" s="3"/>
      <c r="W49" s="3"/>
      <c r="X49" s="3"/>
      <c r="Y49" s="3"/>
      <c r="Z49" s="3"/>
      <c r="AA49" s="3"/>
      <c r="AB49" s="3"/>
      <c r="AC49" s="72"/>
      <c r="AD49" s="72"/>
      <c r="AE49" s="72"/>
      <c r="AF49" s="72"/>
      <c r="AG49" s="72"/>
      <c r="AH49" s="72"/>
      <c r="AI49" s="72"/>
      <c r="AJ49" s="72"/>
    </row>
    <row r="50" spans="1:36" ht="15" customHeight="1" x14ac:dyDescent="0.3">
      <c r="A50" s="536"/>
      <c r="B50" s="537"/>
      <c r="C50" s="159" t="s">
        <v>11</v>
      </c>
      <c r="D50" s="160"/>
      <c r="E50" s="3"/>
      <c r="F50" s="3"/>
      <c r="G50" s="3"/>
      <c r="H50" s="3"/>
      <c r="I50" s="3"/>
      <c r="J50" s="3"/>
      <c r="K50" s="3"/>
      <c r="L50" s="3"/>
      <c r="M50" s="72"/>
      <c r="N50" s="72"/>
      <c r="O50" s="72"/>
      <c r="P50" s="72"/>
      <c r="Q50" s="72"/>
      <c r="R50" s="72"/>
      <c r="S50" s="72"/>
      <c r="T50" s="72"/>
      <c r="U50" s="3"/>
      <c r="V50" s="3"/>
      <c r="W50" s="3"/>
      <c r="X50" s="3"/>
      <c r="Y50" s="3"/>
      <c r="Z50" s="3"/>
      <c r="AA50" s="3"/>
      <c r="AB50" s="3"/>
      <c r="AC50" s="72"/>
      <c r="AD50" s="72"/>
      <c r="AE50" s="72"/>
      <c r="AF50" s="72"/>
      <c r="AG50" s="72"/>
      <c r="AH50" s="72"/>
      <c r="AI50" s="72"/>
      <c r="AJ50" s="72"/>
    </row>
    <row r="51" spans="1:36" x14ac:dyDescent="0.3">
      <c r="B51" s="21" t="s">
        <v>52</v>
      </c>
      <c r="C51">
        <f>COUNTIF(D7:D47,"L")</f>
        <v>19</v>
      </c>
    </row>
    <row r="52" spans="1:36" x14ac:dyDescent="0.3">
      <c r="B52" s="21" t="s">
        <v>53</v>
      </c>
      <c r="C52">
        <f>COUNTIF(D7:D44,"P")</f>
        <v>19</v>
      </c>
      <c r="F52" s="21" t="s">
        <v>363</v>
      </c>
      <c r="I52" s="555">
        <f>SUM(C51:C52)</f>
        <v>38</v>
      </c>
      <c r="J52" s="555"/>
      <c r="K52" s="555"/>
    </row>
  </sheetData>
  <mergeCells count="16">
    <mergeCell ref="I52:K52"/>
    <mergeCell ref="A48:B50"/>
    <mergeCell ref="A1:AJ1"/>
    <mergeCell ref="A2:AJ2"/>
    <mergeCell ref="AC4:AJ4"/>
    <mergeCell ref="E5:L5"/>
    <mergeCell ref="M5:T5"/>
    <mergeCell ref="U5:AB5"/>
    <mergeCell ref="AC5:AJ5"/>
    <mergeCell ref="A4:A6"/>
    <mergeCell ref="B4:B6"/>
    <mergeCell ref="C4:C6"/>
    <mergeCell ref="D4:D6"/>
    <mergeCell ref="E4:L4"/>
    <mergeCell ref="M4:T4"/>
    <mergeCell ref="U4:AB4"/>
  </mergeCells>
  <pageMargins left="0.17708333333333334" right="0.22916666666666666" top="0.51041666666666663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49"/>
  <sheetViews>
    <sheetView view="pageLayout" topLeftCell="A25" zoomScaleNormal="100" workbookViewId="0">
      <selection activeCell="L39" sqref="L39"/>
    </sheetView>
  </sheetViews>
  <sheetFormatPr defaultRowHeight="14.4" x14ac:dyDescent="0.3"/>
  <cols>
    <col min="1" max="1" width="3.88671875" customWidth="1"/>
    <col min="2" max="2" width="27.33203125" customWidth="1"/>
    <col min="3" max="3" width="9" customWidth="1"/>
    <col min="4" max="4" width="3.332031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1626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50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50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50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14</v>
      </c>
      <c r="C7" s="13" t="s">
        <v>25</v>
      </c>
      <c r="D7" s="51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1919</v>
      </c>
      <c r="C8" s="13" t="s">
        <v>26</v>
      </c>
      <c r="D8" s="51" t="s">
        <v>52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1920</v>
      </c>
      <c r="C9" s="13" t="s">
        <v>266</v>
      </c>
      <c r="D9" s="51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15</v>
      </c>
      <c r="C10" s="13" t="s">
        <v>27</v>
      </c>
      <c r="D10" s="51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1921</v>
      </c>
      <c r="C11" s="13" t="s">
        <v>28</v>
      </c>
      <c r="D11" s="51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1922</v>
      </c>
      <c r="C12" s="13" t="s">
        <v>29</v>
      </c>
      <c r="D12" s="5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1923</v>
      </c>
      <c r="C13" s="13" t="s">
        <v>30</v>
      </c>
      <c r="D13" s="51" t="s">
        <v>53</v>
      </c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16</v>
      </c>
      <c r="C14" s="13" t="s">
        <v>31</v>
      </c>
      <c r="D14" s="51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17</v>
      </c>
      <c r="C15" s="13" t="s">
        <v>32</v>
      </c>
      <c r="D15" s="51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1924</v>
      </c>
      <c r="C16" s="13" t="s">
        <v>270</v>
      </c>
      <c r="D16" s="51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1925</v>
      </c>
      <c r="C17" s="13" t="s">
        <v>1341</v>
      </c>
      <c r="D17" s="51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1926</v>
      </c>
      <c r="C18" s="13" t="s">
        <v>33</v>
      </c>
      <c r="D18" s="51" t="s">
        <v>53</v>
      </c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18</v>
      </c>
      <c r="C19" s="13" t="s">
        <v>34</v>
      </c>
      <c r="D19" s="51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258</v>
      </c>
      <c r="C20" s="13" t="s">
        <v>271</v>
      </c>
      <c r="D20" s="51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19</v>
      </c>
      <c r="C21" s="13" t="s">
        <v>35</v>
      </c>
      <c r="D21" s="51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1927</v>
      </c>
      <c r="C22" s="13" t="s">
        <v>36</v>
      </c>
      <c r="D22" s="51" t="s">
        <v>53</v>
      </c>
      <c r="E22" s="49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20</v>
      </c>
      <c r="C23" s="13" t="s">
        <v>37</v>
      </c>
      <c r="D23" s="51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1928</v>
      </c>
      <c r="C24" s="13" t="s">
        <v>38</v>
      </c>
      <c r="D24" s="51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1929</v>
      </c>
      <c r="C25" s="13" t="s">
        <v>39</v>
      </c>
      <c r="D25" s="51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1930</v>
      </c>
      <c r="C26" s="13" t="s">
        <v>41</v>
      </c>
      <c r="D26" s="51" t="s">
        <v>53</v>
      </c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1602</v>
      </c>
      <c r="C27" s="13" t="s">
        <v>1931</v>
      </c>
      <c r="D27" s="51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1932</v>
      </c>
      <c r="C28" s="13" t="s">
        <v>40</v>
      </c>
      <c r="D28" s="51" t="s">
        <v>52</v>
      </c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1933</v>
      </c>
      <c r="C29" s="13" t="s">
        <v>42</v>
      </c>
      <c r="D29" s="51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1934</v>
      </c>
      <c r="C30" s="13" t="s">
        <v>43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1935</v>
      </c>
      <c r="C31" s="13" t="s">
        <v>44</v>
      </c>
      <c r="D31" s="51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1936</v>
      </c>
      <c r="C32" s="13" t="s">
        <v>45</v>
      </c>
      <c r="D32" s="51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21</v>
      </c>
      <c r="C33" s="13" t="s">
        <v>46</v>
      </c>
      <c r="D33" s="51" t="s">
        <v>53</v>
      </c>
      <c r="E33" s="68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22</v>
      </c>
      <c r="C34" s="13" t="s">
        <v>47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1937</v>
      </c>
      <c r="C35" s="13" t="s">
        <v>48</v>
      </c>
      <c r="D35" s="51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23</v>
      </c>
      <c r="C36" s="13" t="s">
        <v>49</v>
      </c>
      <c r="D36" s="51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24</v>
      </c>
      <c r="C37" s="13" t="s">
        <v>50</v>
      </c>
      <c r="D37" s="51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1938</v>
      </c>
      <c r="C38" s="13" t="s">
        <v>51</v>
      </c>
      <c r="D38" s="51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565" t="s">
        <v>1632</v>
      </c>
      <c r="B44" s="565"/>
      <c r="C44" s="565"/>
      <c r="D44" s="565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6" t="s">
        <v>1633</v>
      </c>
      <c r="B45" s="567"/>
      <c r="C45" s="567"/>
      <c r="D45" s="568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66" t="s">
        <v>1634</v>
      </c>
      <c r="B46" s="567"/>
      <c r="C46" s="567"/>
      <c r="D46" s="568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B47" s="21" t="s">
        <v>52</v>
      </c>
      <c r="C47">
        <f>COUNTIF(D7:D38,"L")</f>
        <v>13</v>
      </c>
    </row>
    <row r="48" spans="1:36" x14ac:dyDescent="0.3">
      <c r="B48" s="21" t="s">
        <v>53</v>
      </c>
      <c r="C48">
        <f>COUNTIF(D7:D38,"P")</f>
        <v>19</v>
      </c>
    </row>
    <row r="49" spans="2:3" x14ac:dyDescent="0.3">
      <c r="B49" s="21" t="s">
        <v>363</v>
      </c>
      <c r="C49">
        <f>SUM(C47:C48)</f>
        <v>32</v>
      </c>
    </row>
  </sheetData>
  <mergeCells count="17">
    <mergeCell ref="A44:D44"/>
    <mergeCell ref="A45:D45"/>
    <mergeCell ref="A46:D46"/>
    <mergeCell ref="D4:D6"/>
    <mergeCell ref="C4:C6"/>
    <mergeCell ref="B4:B6"/>
    <mergeCell ref="A4:A6"/>
    <mergeCell ref="A1:AJ1"/>
    <mergeCell ref="A2:AJ2"/>
    <mergeCell ref="AC4:AJ4"/>
    <mergeCell ref="E5:L5"/>
    <mergeCell ref="M5:T5"/>
    <mergeCell ref="U5:AB5"/>
    <mergeCell ref="AC5:AJ5"/>
    <mergeCell ref="E4:L4"/>
    <mergeCell ref="M4:T4"/>
    <mergeCell ref="U4:AB4"/>
  </mergeCells>
  <pageMargins left="0.13541666666666666" right="9.375E-2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50"/>
  <sheetViews>
    <sheetView view="pageLayout" topLeftCell="A32" zoomScaleNormal="100" workbookViewId="0">
      <selection activeCell="O42" sqref="O42"/>
    </sheetView>
  </sheetViews>
  <sheetFormatPr defaultRowHeight="14.4" x14ac:dyDescent="0.3"/>
  <cols>
    <col min="1" max="1" width="4.44140625" customWidth="1"/>
    <col min="2" max="2" width="24.6640625" customWidth="1"/>
    <col min="3" max="3" width="9" customWidth="1"/>
    <col min="4" max="4" width="3.441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1626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902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42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43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44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55</v>
      </c>
      <c r="C7" s="13" t="s">
        <v>64</v>
      </c>
      <c r="D7" s="30" t="s">
        <v>52</v>
      </c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1939</v>
      </c>
      <c r="C8" s="13" t="s">
        <v>65</v>
      </c>
      <c r="D8" s="30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56</v>
      </c>
      <c r="C9" s="13" t="s">
        <v>66</v>
      </c>
      <c r="D9" s="30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1940</v>
      </c>
      <c r="C10" s="13" t="s">
        <v>67</v>
      </c>
      <c r="D10" s="3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95" t="s">
        <v>1941</v>
      </c>
      <c r="C11" s="13" t="s">
        <v>68</v>
      </c>
      <c r="D11" s="30" t="s">
        <v>52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1942</v>
      </c>
      <c r="C12" s="13" t="s">
        <v>69</v>
      </c>
      <c r="D12" s="3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58</v>
      </c>
      <c r="C13" s="13" t="s">
        <v>70</v>
      </c>
      <c r="D13" s="30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1943</v>
      </c>
      <c r="C14" s="13" t="s">
        <v>72</v>
      </c>
      <c r="D14" s="30" t="s">
        <v>53</v>
      </c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1944</v>
      </c>
      <c r="C15" s="13" t="s">
        <v>272</v>
      </c>
      <c r="D15" s="30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1945</v>
      </c>
      <c r="C16" s="13" t="s">
        <v>73</v>
      </c>
      <c r="D16" s="30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1946</v>
      </c>
      <c r="C17" s="13" t="s">
        <v>74</v>
      </c>
      <c r="D17" s="30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1947</v>
      </c>
      <c r="C18" s="13" t="s">
        <v>273</v>
      </c>
      <c r="D18" s="30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1948</v>
      </c>
      <c r="C19" s="13" t="s">
        <v>75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1949</v>
      </c>
      <c r="C20" s="13" t="s">
        <v>76</v>
      </c>
      <c r="D20" s="30" t="s">
        <v>52</v>
      </c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1950</v>
      </c>
      <c r="C21" s="13" t="s">
        <v>77</v>
      </c>
      <c r="D21" s="30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3" t="s">
        <v>1951</v>
      </c>
      <c r="C22" s="13" t="s">
        <v>1952</v>
      </c>
      <c r="D22" s="30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259</v>
      </c>
      <c r="C23" s="13" t="s">
        <v>276</v>
      </c>
      <c r="D23" s="3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1953</v>
      </c>
      <c r="C24" s="13" t="s">
        <v>275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1954</v>
      </c>
      <c r="C25" s="13" t="s">
        <v>278</v>
      </c>
      <c r="D25" s="3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97" t="s">
        <v>1955</v>
      </c>
      <c r="C26" s="13" t="s">
        <v>78</v>
      </c>
      <c r="D26" s="30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1956</v>
      </c>
      <c r="C27" s="13" t="s">
        <v>79</v>
      </c>
      <c r="D27" s="30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59</v>
      </c>
      <c r="C28" s="13" t="s">
        <v>80</v>
      </c>
      <c r="D28" s="30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1957</v>
      </c>
      <c r="C29" s="13" t="s">
        <v>81</v>
      </c>
      <c r="D29" s="30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1958</v>
      </c>
      <c r="C30" s="13" t="s">
        <v>82</v>
      </c>
      <c r="D30" s="30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1959</v>
      </c>
      <c r="C31" s="13" t="s">
        <v>71</v>
      </c>
      <c r="D31" s="30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60</v>
      </c>
      <c r="C32" s="13" t="s">
        <v>83</v>
      </c>
      <c r="D32" s="30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1960</v>
      </c>
      <c r="C33" s="13" t="s">
        <v>1961</v>
      </c>
      <c r="D33" s="3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61</v>
      </c>
      <c r="C34" s="13" t="s">
        <v>84</v>
      </c>
      <c r="D34" s="30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62</v>
      </c>
      <c r="C35" s="13" t="s">
        <v>85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1962</v>
      </c>
      <c r="C36" s="13" t="s">
        <v>86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1963</v>
      </c>
      <c r="C37" s="13" t="s">
        <v>87</v>
      </c>
      <c r="D37" s="30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63</v>
      </c>
      <c r="C38" s="13" t="s">
        <v>88</v>
      </c>
      <c r="D38" s="30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565" t="s">
        <v>1632</v>
      </c>
      <c r="B44" s="565"/>
      <c r="C44" s="565"/>
      <c r="D44" s="565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6" t="s">
        <v>1633</v>
      </c>
      <c r="B45" s="567"/>
      <c r="C45" s="567"/>
      <c r="D45" s="568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66" t="s">
        <v>1634</v>
      </c>
      <c r="B46" s="567"/>
      <c r="C46" s="567"/>
      <c r="D46" s="568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8" spans="1:36" x14ac:dyDescent="0.3">
      <c r="B48" s="41" t="s">
        <v>52</v>
      </c>
      <c r="C48">
        <f>COUNTIF(D7:D38,"L")</f>
        <v>16</v>
      </c>
    </row>
    <row r="49" spans="2:3" x14ac:dyDescent="0.3">
      <c r="B49" s="41" t="s">
        <v>53</v>
      </c>
      <c r="C49">
        <f>COUNTIF(D7:D43,"P")</f>
        <v>16</v>
      </c>
    </row>
    <row r="50" spans="2:3" x14ac:dyDescent="0.3">
      <c r="B50" s="41" t="s">
        <v>363</v>
      </c>
      <c r="C50">
        <f>SUM(C48:C49)</f>
        <v>32</v>
      </c>
    </row>
  </sheetData>
  <mergeCells count="17">
    <mergeCell ref="A45:D45"/>
    <mergeCell ref="A1:AJ1"/>
    <mergeCell ref="A2:AJ2"/>
    <mergeCell ref="A46:D46"/>
    <mergeCell ref="AC4:AJ4"/>
    <mergeCell ref="E5:L5"/>
    <mergeCell ref="M5:T5"/>
    <mergeCell ref="U5:AB5"/>
    <mergeCell ref="AC5:AJ5"/>
    <mergeCell ref="E4:L4"/>
    <mergeCell ref="M4:T4"/>
    <mergeCell ref="U4:AB4"/>
    <mergeCell ref="A4:A6"/>
    <mergeCell ref="D4:D6"/>
    <mergeCell ref="C4:C6"/>
    <mergeCell ref="B4:B6"/>
    <mergeCell ref="A44:D44"/>
  </mergeCells>
  <phoneticPr fontId="11" type="noConversion"/>
  <dataValidations count="1">
    <dataValidation allowBlank="1" showInputMessage="1" showErrorMessage="1" promptTitle="Petunjuk Pengisian" prompt="Isikan dengan Nama Lengkap siswa. Untuk nama yang mengandung tanda petik, gunakan tanda petik di bawah tombol Esc (`)." sqref="E8:E9 E12" xr:uid="{0B60CF8D-DB74-4BF5-A35F-3B019448A6D0}"/>
  </dataValidations>
  <pageMargins left="0.16666666666666666" right="0.13541666666666666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50"/>
  <sheetViews>
    <sheetView view="pageLayout" topLeftCell="A31" zoomScaleNormal="100" workbookViewId="0">
      <selection activeCell="O42" sqref="O42"/>
    </sheetView>
  </sheetViews>
  <sheetFormatPr defaultRowHeight="14.4" x14ac:dyDescent="0.3"/>
  <cols>
    <col min="1" max="1" width="4.44140625" customWidth="1"/>
    <col min="2" max="2" width="24.33203125" customWidth="1"/>
    <col min="3" max="3" width="9.44140625" customWidth="1"/>
    <col min="4" max="4" width="2.8867187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1626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1050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50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50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50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89</v>
      </c>
      <c r="C7" s="13" t="s">
        <v>100</v>
      </c>
      <c r="D7" s="30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255</v>
      </c>
      <c r="C8" s="13" t="s">
        <v>265</v>
      </c>
      <c r="D8" s="30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90</v>
      </c>
      <c r="C9" s="13" t="s">
        <v>101</v>
      </c>
      <c r="D9" s="30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91</v>
      </c>
      <c r="C10" s="13" t="s">
        <v>102</v>
      </c>
      <c r="D10" s="3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92</v>
      </c>
      <c r="C11" s="13" t="s">
        <v>103</v>
      </c>
      <c r="D11" s="30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1964</v>
      </c>
      <c r="C12" s="13" t="s">
        <v>104</v>
      </c>
      <c r="D12" s="3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1965</v>
      </c>
      <c r="C13" s="13" t="s">
        <v>105</v>
      </c>
      <c r="D13" s="30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1966</v>
      </c>
      <c r="C14" s="13" t="s">
        <v>106</v>
      </c>
      <c r="D14" s="30" t="s">
        <v>53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93</v>
      </c>
      <c r="C15" s="13" t="s">
        <v>107</v>
      </c>
      <c r="D15" s="30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1967</v>
      </c>
      <c r="C16" s="13" t="s">
        <v>108</v>
      </c>
      <c r="D16" s="30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94</v>
      </c>
      <c r="C17" s="13" t="s">
        <v>109</v>
      </c>
      <c r="D17" s="30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1968</v>
      </c>
      <c r="C18" s="13" t="s">
        <v>110</v>
      </c>
      <c r="D18" s="30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1969</v>
      </c>
      <c r="C19" s="13" t="s">
        <v>111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95</v>
      </c>
      <c r="C20" s="13" t="s">
        <v>112</v>
      </c>
      <c r="D20" s="30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1970</v>
      </c>
      <c r="C21" s="13" t="s">
        <v>113</v>
      </c>
      <c r="D21" s="30" t="s">
        <v>53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1971</v>
      </c>
      <c r="C22" s="13" t="s">
        <v>114</v>
      </c>
      <c r="D22" s="30" t="s">
        <v>53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1972</v>
      </c>
      <c r="C23" s="13" t="s">
        <v>116</v>
      </c>
      <c r="D23" s="3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96</v>
      </c>
      <c r="C24" s="13" t="s">
        <v>118</v>
      </c>
      <c r="D24" s="30" t="s">
        <v>53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1973</v>
      </c>
      <c r="C25" s="13" t="s">
        <v>115</v>
      </c>
      <c r="D25" s="3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1974</v>
      </c>
      <c r="C26" s="13" t="s">
        <v>119</v>
      </c>
      <c r="D26" s="30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1975</v>
      </c>
      <c r="C27" s="13" t="s">
        <v>120</v>
      </c>
      <c r="D27" s="30" t="s">
        <v>52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1976</v>
      </c>
      <c r="C28" s="13" t="s">
        <v>121</v>
      </c>
      <c r="D28" s="30" t="s">
        <v>52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1977</v>
      </c>
      <c r="C29" s="13" t="s">
        <v>117</v>
      </c>
      <c r="D29" s="30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260</v>
      </c>
      <c r="C30" s="13" t="s">
        <v>277</v>
      </c>
      <c r="D30" s="30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1978</v>
      </c>
      <c r="C31" s="13" t="s">
        <v>122</v>
      </c>
      <c r="D31" s="30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1393</v>
      </c>
      <c r="C32" s="13" t="s">
        <v>1979</v>
      </c>
      <c r="D32" s="30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97</v>
      </c>
      <c r="C33" s="13" t="s">
        <v>123</v>
      </c>
      <c r="D33" s="3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261</v>
      </c>
      <c r="C34" s="13" t="s">
        <v>1980</v>
      </c>
      <c r="D34" s="30" t="s">
        <v>52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1981</v>
      </c>
      <c r="C35" s="13" t="s">
        <v>124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98</v>
      </c>
      <c r="C36" s="13" t="s">
        <v>125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1982</v>
      </c>
      <c r="C37" s="13" t="s">
        <v>1983</v>
      </c>
      <c r="D37" s="30" t="s">
        <v>52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1984</v>
      </c>
      <c r="C38" s="13" t="s">
        <v>126</v>
      </c>
      <c r="D38" s="30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1985</v>
      </c>
      <c r="C39" s="13" t="s">
        <v>127</v>
      </c>
      <c r="D39" s="30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99</v>
      </c>
      <c r="C40" s="13" t="s">
        <v>128</v>
      </c>
      <c r="D40" s="30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1986</v>
      </c>
      <c r="C41" s="13" t="s">
        <v>129</v>
      </c>
      <c r="D41" s="30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1625</v>
      </c>
      <c r="C42" s="95" t="s">
        <v>2095</v>
      </c>
      <c r="D42" s="30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5" t="s">
        <v>1632</v>
      </c>
      <c r="B45" s="565"/>
      <c r="C45" s="565"/>
      <c r="D45" s="565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66" t="s">
        <v>1633</v>
      </c>
      <c r="B46" s="567"/>
      <c r="C46" s="567"/>
      <c r="D46" s="568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566" t="s">
        <v>1634</v>
      </c>
      <c r="B47" s="567"/>
      <c r="C47" s="567"/>
      <c r="D47" s="568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41" t="s">
        <v>52</v>
      </c>
      <c r="C48">
        <f>COUNTIF(D7:D42,"L")</f>
        <v>16</v>
      </c>
    </row>
    <row r="49" spans="2:3" x14ac:dyDescent="0.3">
      <c r="B49" s="41" t="s">
        <v>53</v>
      </c>
      <c r="C49">
        <f>COUNTIF(D7:D43,"P")</f>
        <v>20</v>
      </c>
    </row>
    <row r="50" spans="2:3" x14ac:dyDescent="0.3">
      <c r="B50" s="41" t="s">
        <v>363</v>
      </c>
      <c r="C50">
        <f>SUM(C48:C49)</f>
        <v>36</v>
      </c>
    </row>
  </sheetData>
  <mergeCells count="17">
    <mergeCell ref="A45:D45"/>
    <mergeCell ref="A46:D46"/>
    <mergeCell ref="A47:D47"/>
    <mergeCell ref="A4:A6"/>
    <mergeCell ref="B4:B6"/>
    <mergeCell ref="C4:C6"/>
    <mergeCell ref="D4:D6"/>
    <mergeCell ref="A1:AJ1"/>
    <mergeCell ref="A2:AJ2"/>
    <mergeCell ref="AC4:AJ4"/>
    <mergeCell ref="E5:L5"/>
    <mergeCell ref="M5:T5"/>
    <mergeCell ref="U5:AB5"/>
    <mergeCell ref="AC5:AJ5"/>
    <mergeCell ref="E4:L4"/>
    <mergeCell ref="M4:T4"/>
    <mergeCell ref="U4:AB4"/>
  </mergeCells>
  <phoneticPr fontId="11" type="noConversion"/>
  <dataValidations count="1">
    <dataValidation allowBlank="1" showInputMessage="1" showErrorMessage="1" promptTitle="Petunjuk Pengisian" prompt="Isikan dengan Nama Lengkap siswa. Untuk nama yang mengandung tanda petik, gunakan tanda petik di bawah tombol Esc (`)." sqref="E16:E18" xr:uid="{867A4F76-F8DA-41D4-A6D0-B48EC207F6BA}"/>
  </dataValidations>
  <pageMargins left="0.20833333333333334" right="0.14583333333333334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50"/>
  <sheetViews>
    <sheetView view="pageLayout" topLeftCell="A13" zoomScaleNormal="100" workbookViewId="0">
      <selection activeCell="C50" sqref="C50"/>
    </sheetView>
  </sheetViews>
  <sheetFormatPr defaultRowHeight="14.4" x14ac:dyDescent="0.3"/>
  <cols>
    <col min="1" max="1" width="4.44140625" customWidth="1"/>
    <col min="2" max="2" width="23.5546875" customWidth="1"/>
    <col min="3" max="3" width="8.88671875" customWidth="1"/>
    <col min="4" max="4" width="3.44140625" customWidth="1"/>
    <col min="5" max="36" width="1.88671875" customWidth="1"/>
  </cols>
  <sheetData>
    <row r="1" spans="1:36" x14ac:dyDescent="0.3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  <c r="V1" s="570"/>
      <c r="W1" s="570"/>
      <c r="X1" s="570"/>
      <c r="Y1" s="570"/>
      <c r="Z1" s="570"/>
      <c r="AA1" s="570"/>
      <c r="AB1" s="570"/>
      <c r="AC1" s="570"/>
      <c r="AD1" s="570"/>
      <c r="AE1" s="570"/>
      <c r="AF1" s="570"/>
      <c r="AG1" s="570"/>
      <c r="AH1" s="570"/>
      <c r="AI1" s="570"/>
      <c r="AJ1" s="570"/>
    </row>
    <row r="2" spans="1:36" x14ac:dyDescent="0.3">
      <c r="A2" s="570" t="s">
        <v>1626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  <c r="AB2" s="570"/>
      <c r="AC2" s="570"/>
      <c r="AD2" s="570"/>
      <c r="AE2" s="570"/>
      <c r="AF2" s="570"/>
      <c r="AG2" s="570"/>
      <c r="AH2" s="570"/>
      <c r="AI2" s="570"/>
      <c r="AJ2" s="570"/>
    </row>
    <row r="3" spans="1:36" x14ac:dyDescent="0.3">
      <c r="A3" s="6"/>
      <c r="B3" s="2" t="s">
        <v>1</v>
      </c>
      <c r="C3" s="2"/>
      <c r="D3" s="1" t="s">
        <v>1125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50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50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50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1987</v>
      </c>
      <c r="C7" s="13" t="s">
        <v>141</v>
      </c>
      <c r="D7" s="30" t="s">
        <v>52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1988</v>
      </c>
      <c r="C8" s="13" t="s">
        <v>142</v>
      </c>
      <c r="D8" s="30" t="s">
        <v>52</v>
      </c>
      <c r="E8" s="68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1989</v>
      </c>
      <c r="C9" s="13" t="s">
        <v>143</v>
      </c>
      <c r="D9" s="30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1990</v>
      </c>
      <c r="C10" s="13" t="s">
        <v>144</v>
      </c>
      <c r="D10" s="30" t="s">
        <v>52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1991</v>
      </c>
      <c r="C11" s="13" t="s">
        <v>268</v>
      </c>
      <c r="D11" s="30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130</v>
      </c>
      <c r="C12" s="13" t="s">
        <v>145</v>
      </c>
      <c r="D12" s="30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257</v>
      </c>
      <c r="C13" s="13" t="s">
        <v>269</v>
      </c>
      <c r="D13" s="30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1992</v>
      </c>
      <c r="C14" s="13" t="s">
        <v>1391</v>
      </c>
      <c r="D14" s="30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131</v>
      </c>
      <c r="C15" s="13" t="s">
        <v>146</v>
      </c>
      <c r="D15" s="30" t="s">
        <v>52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132</v>
      </c>
      <c r="C16" s="13" t="s">
        <v>147</v>
      </c>
      <c r="D16" s="30" t="s">
        <v>52</v>
      </c>
      <c r="E16" s="68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133</v>
      </c>
      <c r="C17" s="13" t="s">
        <v>148</v>
      </c>
      <c r="D17" s="30" t="s">
        <v>53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1993</v>
      </c>
      <c r="C18" s="13" t="s">
        <v>149</v>
      </c>
      <c r="D18" s="30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134</v>
      </c>
      <c r="C19" s="13" t="s">
        <v>150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1994</v>
      </c>
      <c r="C20" s="13" t="s">
        <v>151</v>
      </c>
      <c r="D20" s="30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175</v>
      </c>
      <c r="C21" s="13" t="s">
        <v>196</v>
      </c>
      <c r="D21" s="30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95" t="s">
        <v>1995</v>
      </c>
      <c r="C22" s="13" t="s">
        <v>1996</v>
      </c>
      <c r="D22" s="30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95" t="s">
        <v>1997</v>
      </c>
      <c r="C23" s="13" t="s">
        <v>153</v>
      </c>
      <c r="D23" s="30" t="s">
        <v>53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95" t="s">
        <v>1998</v>
      </c>
      <c r="C24" s="13" t="s">
        <v>152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135</v>
      </c>
      <c r="C25" s="13" t="s">
        <v>154</v>
      </c>
      <c r="D25" s="30" t="s">
        <v>53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1999</v>
      </c>
      <c r="C26" s="13" t="s">
        <v>155</v>
      </c>
      <c r="D26" s="30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2000</v>
      </c>
      <c r="C27" s="13" t="s">
        <v>156</v>
      </c>
      <c r="D27" s="30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136</v>
      </c>
      <c r="C28" s="13" t="s">
        <v>157</v>
      </c>
      <c r="D28" s="30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2001</v>
      </c>
      <c r="C29" s="13" t="s">
        <v>280</v>
      </c>
      <c r="D29" s="30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137</v>
      </c>
      <c r="C30" s="13" t="s">
        <v>158</v>
      </c>
      <c r="D30" s="30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2002</v>
      </c>
      <c r="C31" s="13" t="s">
        <v>159</v>
      </c>
      <c r="D31" s="30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95" t="s">
        <v>2003</v>
      </c>
      <c r="C32" s="13" t="s">
        <v>160</v>
      </c>
      <c r="D32" s="30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2004</v>
      </c>
      <c r="C33" s="13" t="s">
        <v>2005</v>
      </c>
      <c r="D33" s="30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138</v>
      </c>
      <c r="C34" s="13" t="s">
        <v>161</v>
      </c>
      <c r="D34" s="30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2006</v>
      </c>
      <c r="C35" s="13" t="s">
        <v>162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2007</v>
      </c>
      <c r="C36" s="13" t="s">
        <v>163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2008</v>
      </c>
      <c r="C37" s="13" t="s">
        <v>164</v>
      </c>
      <c r="D37" s="30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139</v>
      </c>
      <c r="C38" s="13" t="s">
        <v>165</v>
      </c>
      <c r="D38" s="30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2009</v>
      </c>
      <c r="C39" s="13" t="s">
        <v>166</v>
      </c>
      <c r="D39" s="30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2010</v>
      </c>
      <c r="C40" s="13" t="s">
        <v>167</v>
      </c>
      <c r="D40" s="30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13" t="s">
        <v>2011</v>
      </c>
      <c r="C41" s="13" t="s">
        <v>168</v>
      </c>
      <c r="D41" s="30" t="s">
        <v>52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140</v>
      </c>
      <c r="C42" s="13" t="s">
        <v>169</v>
      </c>
      <c r="D42" s="30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3"/>
      <c r="C43" s="13"/>
      <c r="D43" s="3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10">
        <v>38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5" t="s">
        <v>1632</v>
      </c>
      <c r="B45" s="565"/>
      <c r="C45" s="565"/>
      <c r="D45" s="565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66" t="s">
        <v>1633</v>
      </c>
      <c r="B46" s="567"/>
      <c r="C46" s="567"/>
      <c r="D46" s="568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A47" s="566" t="s">
        <v>1634</v>
      </c>
      <c r="B47" s="567"/>
      <c r="C47" s="567"/>
      <c r="D47" s="568"/>
      <c r="E47" s="3"/>
      <c r="F47" s="3"/>
      <c r="G47" s="3"/>
      <c r="H47" s="3"/>
      <c r="I47" s="3"/>
      <c r="J47" s="3"/>
      <c r="K47" s="3"/>
      <c r="L47" s="3"/>
      <c r="M47" s="72"/>
      <c r="N47" s="72"/>
      <c r="O47" s="72"/>
      <c r="P47" s="72"/>
      <c r="Q47" s="72"/>
      <c r="R47" s="72"/>
      <c r="S47" s="72"/>
      <c r="T47" s="72"/>
      <c r="U47" s="3"/>
      <c r="V47" s="3"/>
      <c r="W47" s="3"/>
      <c r="X47" s="3"/>
      <c r="Y47" s="3"/>
      <c r="Z47" s="3"/>
      <c r="AA47" s="3"/>
      <c r="AB47" s="3"/>
      <c r="AC47" s="72"/>
      <c r="AD47" s="72"/>
      <c r="AE47" s="72"/>
      <c r="AF47" s="72"/>
      <c r="AG47" s="72"/>
      <c r="AH47" s="72"/>
      <c r="AI47" s="72"/>
      <c r="AJ47" s="72"/>
    </row>
    <row r="48" spans="1:36" x14ac:dyDescent="0.3">
      <c r="B48" s="22" t="s">
        <v>52</v>
      </c>
      <c r="C48">
        <f>COUNTIF(D7:D41,"L")</f>
        <v>14</v>
      </c>
    </row>
    <row r="49" spans="2:3" x14ac:dyDescent="0.3">
      <c r="B49" s="22" t="s">
        <v>53</v>
      </c>
      <c r="C49">
        <f>COUNTIF(D7:D41,"P")</f>
        <v>18</v>
      </c>
    </row>
    <row r="50" spans="2:3" x14ac:dyDescent="0.3">
      <c r="B50" s="22" t="s">
        <v>363</v>
      </c>
      <c r="C50">
        <f>SUM(C48:C49)</f>
        <v>32</v>
      </c>
    </row>
  </sheetData>
  <mergeCells count="17">
    <mergeCell ref="A1:AJ1"/>
    <mergeCell ref="A2:AJ2"/>
    <mergeCell ref="B4:B6"/>
    <mergeCell ref="C4:C6"/>
    <mergeCell ref="A45:D45"/>
    <mergeCell ref="A46:D46"/>
    <mergeCell ref="A47:D47"/>
    <mergeCell ref="AC4:AJ4"/>
    <mergeCell ref="E5:L5"/>
    <mergeCell ref="M5:T5"/>
    <mergeCell ref="U5:AB5"/>
    <mergeCell ref="AC5:AJ5"/>
    <mergeCell ref="E4:L4"/>
    <mergeCell ref="M4:T4"/>
    <mergeCell ref="U4:AB4"/>
    <mergeCell ref="D4:D6"/>
    <mergeCell ref="A4:A6"/>
  </mergeCells>
  <phoneticPr fontId="11" type="noConversion"/>
  <pageMargins left="0.21875" right="0.17708333333333334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48"/>
  <sheetViews>
    <sheetView view="pageLayout" topLeftCell="A34" zoomScaleNormal="100" workbookViewId="0">
      <selection activeCell="J37" sqref="J37"/>
    </sheetView>
  </sheetViews>
  <sheetFormatPr defaultRowHeight="14.4" x14ac:dyDescent="0.3"/>
  <cols>
    <col min="1" max="1" width="4.44140625" customWidth="1"/>
    <col min="2" max="2" width="23.6640625" customWidth="1"/>
    <col min="3" max="3" width="9.88671875" customWidth="1"/>
    <col min="4" max="4" width="3.441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1626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1191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50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50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50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2012</v>
      </c>
      <c r="C7" s="13" t="s">
        <v>184</v>
      </c>
      <c r="D7" s="30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2013</v>
      </c>
      <c r="C8" s="13" t="s">
        <v>183</v>
      </c>
      <c r="D8" s="30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170</v>
      </c>
      <c r="C9" s="13" t="s">
        <v>185</v>
      </c>
      <c r="D9" s="30" t="s">
        <v>53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2014</v>
      </c>
      <c r="C10" s="13" t="s">
        <v>186</v>
      </c>
      <c r="D10" s="30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2015</v>
      </c>
      <c r="C11" s="13" t="s">
        <v>187</v>
      </c>
      <c r="D11" s="30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171</v>
      </c>
      <c r="C12" s="13" t="s">
        <v>188</v>
      </c>
      <c r="D12" s="30" t="s">
        <v>53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172</v>
      </c>
      <c r="C13" s="13" t="s">
        <v>189</v>
      </c>
      <c r="D13" s="30" t="s">
        <v>52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2016</v>
      </c>
      <c r="C14" s="13" t="s">
        <v>190</v>
      </c>
      <c r="D14" s="30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173</v>
      </c>
      <c r="C15" s="13" t="s">
        <v>191</v>
      </c>
      <c r="D15" s="30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2017</v>
      </c>
      <c r="C16" s="13" t="s">
        <v>193</v>
      </c>
      <c r="D16" s="30" t="s">
        <v>52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2018</v>
      </c>
      <c r="C17" s="13" t="s">
        <v>192</v>
      </c>
      <c r="D17" s="30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13" t="s">
        <v>2019</v>
      </c>
      <c r="C18" s="13" t="s">
        <v>194</v>
      </c>
      <c r="D18" s="30" t="s">
        <v>53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174</v>
      </c>
      <c r="C19" s="13" t="s">
        <v>195</v>
      </c>
      <c r="D19" s="30" t="s">
        <v>52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13" t="s">
        <v>2020</v>
      </c>
      <c r="C20" s="13" t="s">
        <v>197</v>
      </c>
      <c r="D20" s="30" t="s">
        <v>52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3" t="s">
        <v>176</v>
      </c>
      <c r="C21" s="13" t="s">
        <v>198</v>
      </c>
      <c r="D21" s="30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13" t="s">
        <v>177</v>
      </c>
      <c r="C22" s="13" t="s">
        <v>199</v>
      </c>
      <c r="D22" s="30" t="s">
        <v>52</v>
      </c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2021</v>
      </c>
      <c r="C23" s="13" t="s">
        <v>200</v>
      </c>
      <c r="D23" s="30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13" t="s">
        <v>2022</v>
      </c>
      <c r="C24" s="13" t="s">
        <v>201</v>
      </c>
      <c r="D24" s="30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13" t="s">
        <v>178</v>
      </c>
      <c r="C25" s="13" t="s">
        <v>202</v>
      </c>
      <c r="D25" s="30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179</v>
      </c>
      <c r="C26" s="13" t="s">
        <v>203</v>
      </c>
      <c r="D26" s="30" t="s">
        <v>53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13" t="s">
        <v>2023</v>
      </c>
      <c r="C27" s="13" t="s">
        <v>204</v>
      </c>
      <c r="D27" s="30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180</v>
      </c>
      <c r="C28" s="13" t="s">
        <v>205</v>
      </c>
      <c r="D28" s="30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2024</v>
      </c>
      <c r="C29" s="13" t="s">
        <v>206</v>
      </c>
      <c r="D29" s="30" t="s">
        <v>52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181</v>
      </c>
      <c r="C30" s="13" t="s">
        <v>207</v>
      </c>
      <c r="D30" s="30" t="s">
        <v>52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3" t="s">
        <v>2025</v>
      </c>
      <c r="C31" s="13" t="s">
        <v>208</v>
      </c>
      <c r="D31" s="30" t="s">
        <v>53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13" t="s">
        <v>2026</v>
      </c>
      <c r="C32" s="13" t="s">
        <v>209</v>
      </c>
      <c r="D32" s="30" t="s">
        <v>52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2027</v>
      </c>
      <c r="C33" s="13" t="s">
        <v>210</v>
      </c>
      <c r="D33" s="30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182</v>
      </c>
      <c r="C34" s="13" t="s">
        <v>211</v>
      </c>
      <c r="D34" s="30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2028</v>
      </c>
      <c r="C35" s="13" t="s">
        <v>212</v>
      </c>
      <c r="D35" s="30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2029</v>
      </c>
      <c r="C36" s="13" t="s">
        <v>213</v>
      </c>
      <c r="D36" s="30" t="s">
        <v>53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2030</v>
      </c>
      <c r="C37" s="13" t="s">
        <v>214</v>
      </c>
      <c r="D37" s="30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2299</v>
      </c>
      <c r="C38" s="13" t="s">
        <v>2300</v>
      </c>
      <c r="D38" s="51" t="s">
        <v>53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565" t="s">
        <v>1632</v>
      </c>
      <c r="B43" s="565"/>
      <c r="C43" s="565"/>
      <c r="D43" s="565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566" t="s">
        <v>1633</v>
      </c>
      <c r="B44" s="567"/>
      <c r="C44" s="567"/>
      <c r="D44" s="568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6" t="s">
        <v>1634</v>
      </c>
      <c r="B45" s="567"/>
      <c r="C45" s="567"/>
      <c r="D45" s="568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B46" s="22" t="s">
        <v>52</v>
      </c>
      <c r="C46">
        <f>COUNTIF(D7:D37,"L")</f>
        <v>14</v>
      </c>
    </row>
    <row r="47" spans="1:36" x14ac:dyDescent="0.3">
      <c r="B47" s="22" t="s">
        <v>53</v>
      </c>
      <c r="C47">
        <f>COUNTIF(D7:D38,"P")</f>
        <v>18</v>
      </c>
    </row>
    <row r="48" spans="1:36" x14ac:dyDescent="0.3">
      <c r="B48" s="22" t="s">
        <v>363</v>
      </c>
      <c r="C48">
        <f>SUM(C46:C47)</f>
        <v>32</v>
      </c>
    </row>
  </sheetData>
  <mergeCells count="17">
    <mergeCell ref="A43:D43"/>
    <mergeCell ref="A44:D44"/>
    <mergeCell ref="A45:D45"/>
    <mergeCell ref="D4:D6"/>
    <mergeCell ref="C4:C6"/>
    <mergeCell ref="B4:B6"/>
    <mergeCell ref="A4:A6"/>
    <mergeCell ref="A1:AJ1"/>
    <mergeCell ref="A2:AJ2"/>
    <mergeCell ref="AC4:AJ4"/>
    <mergeCell ref="E5:L5"/>
    <mergeCell ref="M5:T5"/>
    <mergeCell ref="U5:AB5"/>
    <mergeCell ref="AC5:AJ5"/>
    <mergeCell ref="E4:L4"/>
    <mergeCell ref="M4:T4"/>
    <mergeCell ref="U4:AB4"/>
  </mergeCells>
  <pageMargins left="0.1875" right="0.15625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9"/>
  <sheetViews>
    <sheetView showWhiteSpace="0" view="pageLayout" zoomScaleNormal="100" workbookViewId="0">
      <selection activeCell="C49" sqref="C49"/>
    </sheetView>
  </sheetViews>
  <sheetFormatPr defaultRowHeight="14.4" x14ac:dyDescent="0.3"/>
  <cols>
    <col min="1" max="1" width="4.44140625" customWidth="1"/>
    <col min="2" max="2" width="24.6640625" customWidth="1"/>
    <col min="3" max="3" width="9.5546875" customWidth="1"/>
    <col min="4" max="4" width="3.44140625" customWidth="1"/>
    <col min="5" max="36" width="1.88671875" customWidth="1"/>
  </cols>
  <sheetData>
    <row r="1" spans="1:36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</row>
    <row r="2" spans="1:36" x14ac:dyDescent="0.3">
      <c r="A2" s="538" t="s">
        <v>1626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</row>
    <row r="3" spans="1:36" x14ac:dyDescent="0.3">
      <c r="A3" s="6"/>
      <c r="B3" s="2" t="s">
        <v>1</v>
      </c>
      <c r="C3" s="2"/>
      <c r="D3" s="1" t="s">
        <v>1271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3">
      <c r="A4" s="569" t="s">
        <v>5</v>
      </c>
      <c r="B4" s="550" t="s">
        <v>6</v>
      </c>
      <c r="C4" s="550" t="s">
        <v>7</v>
      </c>
      <c r="D4" s="550" t="s">
        <v>8</v>
      </c>
      <c r="E4" s="562" t="s">
        <v>1630</v>
      </c>
      <c r="F4" s="563"/>
      <c r="G4" s="563"/>
      <c r="H4" s="563"/>
      <c r="I4" s="563"/>
      <c r="J4" s="563"/>
      <c r="K4" s="563"/>
      <c r="L4" s="564"/>
      <c r="M4" s="556" t="s">
        <v>1630</v>
      </c>
      <c r="N4" s="557"/>
      <c r="O4" s="557"/>
      <c r="P4" s="557"/>
      <c r="Q4" s="557"/>
      <c r="R4" s="557"/>
      <c r="S4" s="557"/>
      <c r="T4" s="558"/>
      <c r="U4" s="562" t="s">
        <v>1630</v>
      </c>
      <c r="V4" s="563"/>
      <c r="W4" s="563"/>
      <c r="X4" s="563"/>
      <c r="Y4" s="563"/>
      <c r="Z4" s="563"/>
      <c r="AA4" s="563"/>
      <c r="AB4" s="564"/>
      <c r="AC4" s="556" t="s">
        <v>1630</v>
      </c>
      <c r="AD4" s="557"/>
      <c r="AE4" s="557"/>
      <c r="AF4" s="557"/>
      <c r="AG4" s="557"/>
      <c r="AH4" s="557"/>
      <c r="AI4" s="557"/>
      <c r="AJ4" s="558"/>
    </row>
    <row r="5" spans="1:36" x14ac:dyDescent="0.3">
      <c r="A5" s="569"/>
      <c r="B5" s="550"/>
      <c r="C5" s="550"/>
      <c r="D5" s="550"/>
      <c r="E5" s="547" t="s">
        <v>1631</v>
      </c>
      <c r="F5" s="548"/>
      <c r="G5" s="548"/>
      <c r="H5" s="548"/>
      <c r="I5" s="548"/>
      <c r="J5" s="548"/>
      <c r="K5" s="548"/>
      <c r="L5" s="549"/>
      <c r="M5" s="559" t="s">
        <v>1631</v>
      </c>
      <c r="N5" s="560"/>
      <c r="O5" s="560"/>
      <c r="P5" s="560"/>
      <c r="Q5" s="560"/>
      <c r="R5" s="560"/>
      <c r="S5" s="560"/>
      <c r="T5" s="561"/>
      <c r="U5" s="547" t="s">
        <v>1631</v>
      </c>
      <c r="V5" s="548"/>
      <c r="W5" s="548"/>
      <c r="X5" s="548"/>
      <c r="Y5" s="548"/>
      <c r="Z5" s="548"/>
      <c r="AA5" s="548"/>
      <c r="AB5" s="549"/>
      <c r="AC5" s="559" t="s">
        <v>1631</v>
      </c>
      <c r="AD5" s="560"/>
      <c r="AE5" s="560"/>
      <c r="AF5" s="560"/>
      <c r="AG5" s="560"/>
      <c r="AH5" s="560"/>
      <c r="AI5" s="560"/>
      <c r="AJ5" s="561"/>
    </row>
    <row r="6" spans="1:36" x14ac:dyDescent="0.3">
      <c r="A6" s="569"/>
      <c r="B6" s="550"/>
      <c r="C6" s="550"/>
      <c r="D6" s="550"/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71">
        <v>1</v>
      </c>
      <c r="N6" s="71">
        <v>2</v>
      </c>
      <c r="O6" s="71">
        <v>3</v>
      </c>
      <c r="P6" s="71">
        <v>4</v>
      </c>
      <c r="Q6" s="71">
        <v>5</v>
      </c>
      <c r="R6" s="71">
        <v>6</v>
      </c>
      <c r="S6" s="71">
        <v>7</v>
      </c>
      <c r="T6" s="71">
        <v>8</v>
      </c>
      <c r="U6" s="4">
        <v>1</v>
      </c>
      <c r="V6" s="4">
        <v>2</v>
      </c>
      <c r="W6" s="4">
        <v>3</v>
      </c>
      <c r="X6" s="4">
        <v>4</v>
      </c>
      <c r="Y6" s="4">
        <v>5</v>
      </c>
      <c r="Z6" s="4">
        <v>6</v>
      </c>
      <c r="AA6" s="4">
        <v>7</v>
      </c>
      <c r="AB6" s="4">
        <v>8</v>
      </c>
      <c r="AC6" s="71">
        <v>1</v>
      </c>
      <c r="AD6" s="71">
        <v>2</v>
      </c>
      <c r="AE6" s="71">
        <v>3</v>
      </c>
      <c r="AF6" s="71">
        <v>4</v>
      </c>
      <c r="AG6" s="71">
        <v>5</v>
      </c>
      <c r="AH6" s="71">
        <v>6</v>
      </c>
      <c r="AI6" s="71">
        <v>7</v>
      </c>
      <c r="AJ6" s="71">
        <v>8</v>
      </c>
    </row>
    <row r="7" spans="1:36" x14ac:dyDescent="0.3">
      <c r="A7" s="10">
        <v>1</v>
      </c>
      <c r="B7" s="3" t="s">
        <v>215</v>
      </c>
      <c r="C7" s="95" t="s">
        <v>229</v>
      </c>
      <c r="D7" s="51" t="s">
        <v>53</v>
      </c>
      <c r="E7" s="3"/>
      <c r="F7" s="3"/>
      <c r="G7" s="3"/>
      <c r="H7" s="3"/>
      <c r="I7" s="3"/>
      <c r="J7" s="3"/>
      <c r="K7" s="3"/>
      <c r="L7" s="3"/>
      <c r="M7" s="72"/>
      <c r="N7" s="72"/>
      <c r="O7" s="72"/>
      <c r="P7" s="72"/>
      <c r="Q7" s="72"/>
      <c r="R7" s="72"/>
      <c r="S7" s="72"/>
      <c r="T7" s="72"/>
      <c r="U7" s="3"/>
      <c r="V7" s="3"/>
      <c r="W7" s="3"/>
      <c r="X7" s="3"/>
      <c r="Y7" s="3"/>
      <c r="Z7" s="3"/>
      <c r="AA7" s="3"/>
      <c r="AB7" s="3"/>
      <c r="AC7" s="72"/>
      <c r="AD7" s="72"/>
      <c r="AE7" s="72"/>
      <c r="AF7" s="72"/>
      <c r="AG7" s="72"/>
      <c r="AH7" s="72"/>
      <c r="AI7" s="72"/>
      <c r="AJ7" s="72"/>
    </row>
    <row r="8" spans="1:36" x14ac:dyDescent="0.3">
      <c r="A8" s="10">
        <v>2</v>
      </c>
      <c r="B8" s="3" t="s">
        <v>216</v>
      </c>
      <c r="C8" s="95" t="s">
        <v>230</v>
      </c>
      <c r="D8" s="51" t="s">
        <v>53</v>
      </c>
      <c r="E8" s="3"/>
      <c r="F8" s="3"/>
      <c r="G8" s="3"/>
      <c r="H8" s="3"/>
      <c r="I8" s="3"/>
      <c r="J8" s="3"/>
      <c r="K8" s="3"/>
      <c r="L8" s="3"/>
      <c r="M8" s="72"/>
      <c r="N8" s="72"/>
      <c r="O8" s="72"/>
      <c r="P8" s="72"/>
      <c r="Q8" s="72"/>
      <c r="R8" s="72"/>
      <c r="S8" s="72"/>
      <c r="T8" s="72"/>
      <c r="U8" s="3"/>
      <c r="V8" s="3"/>
      <c r="W8" s="3"/>
      <c r="X8" s="3"/>
      <c r="Y8" s="3"/>
      <c r="Z8" s="3"/>
      <c r="AA8" s="3"/>
      <c r="AB8" s="3"/>
      <c r="AC8" s="72"/>
      <c r="AD8" s="72"/>
      <c r="AE8" s="72"/>
      <c r="AF8" s="72"/>
      <c r="AG8" s="72"/>
      <c r="AH8" s="72"/>
      <c r="AI8" s="72"/>
      <c r="AJ8" s="72"/>
    </row>
    <row r="9" spans="1:36" x14ac:dyDescent="0.3">
      <c r="A9" s="10">
        <v>3</v>
      </c>
      <c r="B9" s="3" t="s">
        <v>2031</v>
      </c>
      <c r="C9" s="95" t="s">
        <v>231</v>
      </c>
      <c r="D9" s="51" t="s">
        <v>52</v>
      </c>
      <c r="E9" s="3"/>
      <c r="F9" s="3"/>
      <c r="G9" s="3"/>
      <c r="H9" s="3"/>
      <c r="I9" s="3"/>
      <c r="J9" s="3"/>
      <c r="K9" s="3"/>
      <c r="L9" s="3"/>
      <c r="M9" s="72"/>
      <c r="N9" s="72"/>
      <c r="O9" s="72"/>
      <c r="P9" s="72"/>
      <c r="Q9" s="72"/>
      <c r="R9" s="72"/>
      <c r="S9" s="72"/>
      <c r="T9" s="72"/>
      <c r="U9" s="3"/>
      <c r="V9" s="3"/>
      <c r="W9" s="3"/>
      <c r="X9" s="3"/>
      <c r="Y9" s="3"/>
      <c r="Z9" s="3"/>
      <c r="AA9" s="3"/>
      <c r="AB9" s="3"/>
      <c r="AC9" s="72"/>
      <c r="AD9" s="72"/>
      <c r="AE9" s="72"/>
      <c r="AF9" s="72"/>
      <c r="AG9" s="72"/>
      <c r="AH9" s="72"/>
      <c r="AI9" s="72"/>
      <c r="AJ9" s="72"/>
    </row>
    <row r="10" spans="1:36" x14ac:dyDescent="0.3">
      <c r="A10" s="10">
        <v>4</v>
      </c>
      <c r="B10" s="3" t="s">
        <v>217</v>
      </c>
      <c r="C10" s="95" t="s">
        <v>232</v>
      </c>
      <c r="D10" s="51" t="s">
        <v>53</v>
      </c>
      <c r="E10" s="3"/>
      <c r="F10" s="3"/>
      <c r="G10" s="3"/>
      <c r="H10" s="3"/>
      <c r="I10" s="3"/>
      <c r="J10" s="3"/>
      <c r="K10" s="3"/>
      <c r="L10" s="3"/>
      <c r="M10" s="72"/>
      <c r="N10" s="72"/>
      <c r="O10" s="72"/>
      <c r="P10" s="72"/>
      <c r="Q10" s="72"/>
      <c r="R10" s="72"/>
      <c r="S10" s="72"/>
      <c r="T10" s="72"/>
      <c r="U10" s="3"/>
      <c r="V10" s="3"/>
      <c r="W10" s="3"/>
      <c r="X10" s="3"/>
      <c r="Y10" s="3"/>
      <c r="Z10" s="3"/>
      <c r="AA10" s="3"/>
      <c r="AB10" s="3"/>
      <c r="AC10" s="72"/>
      <c r="AD10" s="72"/>
      <c r="AE10" s="72"/>
      <c r="AF10" s="72"/>
      <c r="AG10" s="72"/>
      <c r="AH10" s="72"/>
      <c r="AI10" s="72"/>
      <c r="AJ10" s="72"/>
    </row>
    <row r="11" spans="1:36" x14ac:dyDescent="0.3">
      <c r="A11" s="10">
        <v>5</v>
      </c>
      <c r="B11" s="3" t="s">
        <v>256</v>
      </c>
      <c r="C11" s="95" t="s">
        <v>267</v>
      </c>
      <c r="D11" s="51" t="s">
        <v>53</v>
      </c>
      <c r="E11" s="3"/>
      <c r="F11" s="3"/>
      <c r="G11" s="3"/>
      <c r="H11" s="3"/>
      <c r="I11" s="3"/>
      <c r="J11" s="3"/>
      <c r="K11" s="3"/>
      <c r="L11" s="3"/>
      <c r="M11" s="72"/>
      <c r="N11" s="72"/>
      <c r="O11" s="72"/>
      <c r="P11" s="72"/>
      <c r="Q11" s="72"/>
      <c r="R11" s="72"/>
      <c r="S11" s="72"/>
      <c r="T11" s="72"/>
      <c r="U11" s="3"/>
      <c r="V11" s="3"/>
      <c r="W11" s="3"/>
      <c r="X11" s="3"/>
      <c r="Y11" s="3"/>
      <c r="Z11" s="3"/>
      <c r="AA11" s="3"/>
      <c r="AB11" s="3"/>
      <c r="AC11" s="72"/>
      <c r="AD11" s="72"/>
      <c r="AE11" s="72"/>
      <c r="AF11" s="72"/>
      <c r="AG11" s="72"/>
      <c r="AH11" s="72"/>
      <c r="AI11" s="72"/>
      <c r="AJ11" s="72"/>
    </row>
    <row r="12" spans="1:36" x14ac:dyDescent="0.3">
      <c r="A12" s="10">
        <v>6</v>
      </c>
      <c r="B12" s="3" t="s">
        <v>218</v>
      </c>
      <c r="C12" s="95" t="s">
        <v>233</v>
      </c>
      <c r="D12" s="51" t="s">
        <v>52</v>
      </c>
      <c r="E12" s="3"/>
      <c r="F12" s="3"/>
      <c r="G12" s="3"/>
      <c r="H12" s="3"/>
      <c r="I12" s="3"/>
      <c r="J12" s="3"/>
      <c r="K12" s="3"/>
      <c r="L12" s="3"/>
      <c r="M12" s="72"/>
      <c r="N12" s="72"/>
      <c r="O12" s="72"/>
      <c r="P12" s="72"/>
      <c r="Q12" s="72"/>
      <c r="R12" s="72"/>
      <c r="S12" s="72"/>
      <c r="T12" s="72"/>
      <c r="U12" s="3"/>
      <c r="V12" s="3"/>
      <c r="W12" s="3"/>
      <c r="X12" s="3"/>
      <c r="Y12" s="3"/>
      <c r="Z12" s="3"/>
      <c r="AA12" s="3"/>
      <c r="AB12" s="3"/>
      <c r="AC12" s="72"/>
      <c r="AD12" s="72"/>
      <c r="AE12" s="72"/>
      <c r="AF12" s="72"/>
      <c r="AG12" s="72"/>
      <c r="AH12" s="72"/>
      <c r="AI12" s="72"/>
      <c r="AJ12" s="72"/>
    </row>
    <row r="13" spans="1:36" x14ac:dyDescent="0.3">
      <c r="A13" s="10">
        <v>7</v>
      </c>
      <c r="B13" s="3" t="s">
        <v>2032</v>
      </c>
      <c r="C13" s="95" t="s">
        <v>234</v>
      </c>
      <c r="D13" s="51" t="s">
        <v>53</v>
      </c>
      <c r="E13" s="3"/>
      <c r="F13" s="3"/>
      <c r="G13" s="3"/>
      <c r="H13" s="3"/>
      <c r="I13" s="3"/>
      <c r="J13" s="3"/>
      <c r="K13" s="3"/>
      <c r="L13" s="3"/>
      <c r="M13" s="72"/>
      <c r="N13" s="72"/>
      <c r="O13" s="72"/>
      <c r="P13" s="72"/>
      <c r="Q13" s="72"/>
      <c r="R13" s="72"/>
      <c r="S13" s="72"/>
      <c r="T13" s="72"/>
      <c r="U13" s="3"/>
      <c r="V13" s="3"/>
      <c r="W13" s="3"/>
      <c r="X13" s="3"/>
      <c r="Y13" s="3"/>
      <c r="Z13" s="3"/>
      <c r="AA13" s="3"/>
      <c r="AB13" s="3"/>
      <c r="AC13" s="72"/>
      <c r="AD13" s="72"/>
      <c r="AE13" s="72"/>
      <c r="AF13" s="72"/>
      <c r="AG13" s="72"/>
      <c r="AH13" s="72"/>
      <c r="AI13" s="72"/>
      <c r="AJ13" s="72"/>
    </row>
    <row r="14" spans="1:36" x14ac:dyDescent="0.3">
      <c r="A14" s="10">
        <v>8</v>
      </c>
      <c r="B14" s="3" t="s">
        <v>2033</v>
      </c>
      <c r="C14" s="95" t="s">
        <v>235</v>
      </c>
      <c r="D14" s="51" t="s">
        <v>52</v>
      </c>
      <c r="E14" s="3"/>
      <c r="F14" s="3"/>
      <c r="G14" s="3"/>
      <c r="H14" s="3"/>
      <c r="I14" s="3"/>
      <c r="J14" s="3"/>
      <c r="K14" s="3"/>
      <c r="L14" s="3"/>
      <c r="M14" s="72"/>
      <c r="N14" s="72"/>
      <c r="O14" s="72"/>
      <c r="P14" s="72"/>
      <c r="Q14" s="72"/>
      <c r="R14" s="72"/>
      <c r="S14" s="72"/>
      <c r="T14" s="72"/>
      <c r="U14" s="3"/>
      <c r="V14" s="3"/>
      <c r="W14" s="3"/>
      <c r="X14" s="3"/>
      <c r="Y14" s="3"/>
      <c r="Z14" s="3"/>
      <c r="AA14" s="3"/>
      <c r="AB14" s="3"/>
      <c r="AC14" s="72"/>
      <c r="AD14" s="72"/>
      <c r="AE14" s="72"/>
      <c r="AF14" s="72"/>
      <c r="AG14" s="72"/>
      <c r="AH14" s="72"/>
      <c r="AI14" s="72"/>
      <c r="AJ14" s="72"/>
    </row>
    <row r="15" spans="1:36" x14ac:dyDescent="0.3">
      <c r="A15" s="10">
        <v>9</v>
      </c>
      <c r="B15" s="3" t="s">
        <v>1636</v>
      </c>
      <c r="C15" s="95" t="s">
        <v>2034</v>
      </c>
      <c r="D15" s="51" t="s">
        <v>53</v>
      </c>
      <c r="E15" s="3"/>
      <c r="F15" s="3"/>
      <c r="G15" s="3"/>
      <c r="H15" s="3"/>
      <c r="I15" s="3"/>
      <c r="J15" s="3"/>
      <c r="K15" s="3"/>
      <c r="L15" s="3"/>
      <c r="M15" s="72"/>
      <c r="N15" s="72"/>
      <c r="O15" s="72"/>
      <c r="P15" s="72"/>
      <c r="Q15" s="72"/>
      <c r="R15" s="72"/>
      <c r="S15" s="72"/>
      <c r="T15" s="72"/>
      <c r="U15" s="3"/>
      <c r="V15" s="3"/>
      <c r="W15" s="3"/>
      <c r="X15" s="3"/>
      <c r="Y15" s="3"/>
      <c r="Z15" s="3"/>
      <c r="AA15" s="3"/>
      <c r="AB15" s="3"/>
      <c r="AC15" s="72"/>
      <c r="AD15" s="72"/>
      <c r="AE15" s="72"/>
      <c r="AF15" s="72"/>
      <c r="AG15" s="72"/>
      <c r="AH15" s="72"/>
      <c r="AI15" s="72"/>
      <c r="AJ15" s="72"/>
    </row>
    <row r="16" spans="1:36" x14ac:dyDescent="0.3">
      <c r="A16" s="10">
        <v>10</v>
      </c>
      <c r="B16" s="3" t="s">
        <v>2035</v>
      </c>
      <c r="C16" s="95" t="s">
        <v>236</v>
      </c>
      <c r="D16" s="51" t="s">
        <v>53</v>
      </c>
      <c r="E16" s="3"/>
      <c r="F16" s="3"/>
      <c r="G16" s="3"/>
      <c r="H16" s="3"/>
      <c r="I16" s="3"/>
      <c r="J16" s="3"/>
      <c r="K16" s="3"/>
      <c r="L16" s="3"/>
      <c r="M16" s="72"/>
      <c r="N16" s="72"/>
      <c r="O16" s="72"/>
      <c r="P16" s="72"/>
      <c r="Q16" s="72"/>
      <c r="R16" s="72"/>
      <c r="S16" s="72"/>
      <c r="T16" s="72"/>
      <c r="U16" s="3"/>
      <c r="V16" s="3"/>
      <c r="W16" s="3"/>
      <c r="X16" s="3"/>
      <c r="Y16" s="3"/>
      <c r="Z16" s="3"/>
      <c r="AA16" s="3"/>
      <c r="AB16" s="3"/>
      <c r="AC16" s="72"/>
      <c r="AD16" s="72"/>
      <c r="AE16" s="72"/>
      <c r="AF16" s="72"/>
      <c r="AG16" s="72"/>
      <c r="AH16" s="72"/>
      <c r="AI16" s="72"/>
      <c r="AJ16" s="72"/>
    </row>
    <row r="17" spans="1:36" x14ac:dyDescent="0.3">
      <c r="A17" s="10">
        <v>11</v>
      </c>
      <c r="B17" s="3" t="s">
        <v>219</v>
      </c>
      <c r="C17" s="95" t="s">
        <v>237</v>
      </c>
      <c r="D17" s="51" t="s">
        <v>52</v>
      </c>
      <c r="E17" s="3"/>
      <c r="F17" s="3"/>
      <c r="G17" s="3"/>
      <c r="H17" s="3"/>
      <c r="I17" s="3"/>
      <c r="J17" s="3"/>
      <c r="K17" s="3"/>
      <c r="L17" s="3"/>
      <c r="M17" s="72"/>
      <c r="N17" s="72"/>
      <c r="O17" s="72"/>
      <c r="P17" s="72"/>
      <c r="Q17" s="72"/>
      <c r="R17" s="72"/>
      <c r="S17" s="72"/>
      <c r="T17" s="72"/>
      <c r="U17" s="3"/>
      <c r="V17" s="3"/>
      <c r="W17" s="3"/>
      <c r="X17" s="3"/>
      <c r="Y17" s="3"/>
      <c r="Z17" s="3"/>
      <c r="AA17" s="3"/>
      <c r="AB17" s="3"/>
      <c r="AC17" s="72"/>
      <c r="AD17" s="72"/>
      <c r="AE17" s="72"/>
      <c r="AF17" s="72"/>
      <c r="AG17" s="72"/>
      <c r="AH17" s="72"/>
      <c r="AI17" s="72"/>
      <c r="AJ17" s="72"/>
    </row>
    <row r="18" spans="1:36" x14ac:dyDescent="0.3">
      <c r="A18" s="10">
        <v>12</v>
      </c>
      <c r="B18" s="3" t="s">
        <v>2036</v>
      </c>
      <c r="C18" s="95" t="s">
        <v>238</v>
      </c>
      <c r="D18" s="51" t="s">
        <v>52</v>
      </c>
      <c r="E18" s="3"/>
      <c r="F18" s="3"/>
      <c r="G18" s="3"/>
      <c r="H18" s="3"/>
      <c r="I18" s="3"/>
      <c r="J18" s="3"/>
      <c r="K18" s="3"/>
      <c r="L18" s="3"/>
      <c r="M18" s="72"/>
      <c r="N18" s="72"/>
      <c r="O18" s="72"/>
      <c r="P18" s="72"/>
      <c r="Q18" s="72"/>
      <c r="R18" s="72"/>
      <c r="S18" s="72"/>
      <c r="T18" s="72"/>
      <c r="U18" s="3"/>
      <c r="V18" s="3"/>
      <c r="W18" s="3"/>
      <c r="X18" s="3"/>
      <c r="Y18" s="3"/>
      <c r="Z18" s="3"/>
      <c r="AA18" s="3"/>
      <c r="AB18" s="3"/>
      <c r="AC18" s="72"/>
      <c r="AD18" s="72"/>
      <c r="AE18" s="72"/>
      <c r="AF18" s="72"/>
      <c r="AG18" s="72"/>
      <c r="AH18" s="72"/>
      <c r="AI18" s="72"/>
      <c r="AJ18" s="72"/>
    </row>
    <row r="19" spans="1:36" x14ac:dyDescent="0.3">
      <c r="A19" s="10">
        <v>13</v>
      </c>
      <c r="B19" s="3" t="s">
        <v>220</v>
      </c>
      <c r="C19" s="95" t="s">
        <v>239</v>
      </c>
      <c r="D19" s="51" t="s">
        <v>53</v>
      </c>
      <c r="E19" s="3"/>
      <c r="F19" s="3"/>
      <c r="G19" s="3"/>
      <c r="H19" s="3"/>
      <c r="I19" s="3"/>
      <c r="J19" s="3"/>
      <c r="K19" s="3"/>
      <c r="L19" s="3"/>
      <c r="M19" s="72"/>
      <c r="N19" s="72"/>
      <c r="O19" s="72"/>
      <c r="P19" s="72"/>
      <c r="Q19" s="72"/>
      <c r="R19" s="72"/>
      <c r="S19" s="72"/>
      <c r="T19" s="72"/>
      <c r="U19" s="3"/>
      <c r="V19" s="3"/>
      <c r="W19" s="3"/>
      <c r="X19" s="3"/>
      <c r="Y19" s="3"/>
      <c r="Z19" s="3"/>
      <c r="AA19" s="3"/>
      <c r="AB19" s="3"/>
      <c r="AC19" s="72"/>
      <c r="AD19" s="72"/>
      <c r="AE19" s="72"/>
      <c r="AF19" s="72"/>
      <c r="AG19" s="72"/>
      <c r="AH19" s="72"/>
      <c r="AI19" s="72"/>
      <c r="AJ19" s="72"/>
    </row>
    <row r="20" spans="1:36" x14ac:dyDescent="0.3">
      <c r="A20" s="10">
        <v>14</v>
      </c>
      <c r="B20" s="3" t="s">
        <v>2037</v>
      </c>
      <c r="C20" s="95" t="s">
        <v>274</v>
      </c>
      <c r="D20" s="51" t="s">
        <v>53</v>
      </c>
      <c r="E20" s="3"/>
      <c r="F20" s="3"/>
      <c r="G20" s="3"/>
      <c r="H20" s="3"/>
      <c r="I20" s="3"/>
      <c r="J20" s="3"/>
      <c r="K20" s="3"/>
      <c r="L20" s="3"/>
      <c r="M20" s="72"/>
      <c r="N20" s="72"/>
      <c r="O20" s="72"/>
      <c r="P20" s="72"/>
      <c r="Q20" s="72"/>
      <c r="R20" s="72"/>
      <c r="S20" s="72"/>
      <c r="T20" s="72"/>
      <c r="U20" s="3"/>
      <c r="V20" s="3"/>
      <c r="W20" s="3"/>
      <c r="X20" s="3"/>
      <c r="Y20" s="3"/>
      <c r="Z20" s="3"/>
      <c r="AA20" s="3"/>
      <c r="AB20" s="3"/>
      <c r="AC20" s="72"/>
      <c r="AD20" s="72"/>
      <c r="AE20" s="72"/>
      <c r="AF20" s="72"/>
      <c r="AG20" s="72"/>
      <c r="AH20" s="72"/>
      <c r="AI20" s="72"/>
      <c r="AJ20" s="72"/>
    </row>
    <row r="21" spans="1:36" x14ac:dyDescent="0.3">
      <c r="A21" s="10">
        <v>15</v>
      </c>
      <c r="B21" s="13" t="s">
        <v>2038</v>
      </c>
      <c r="C21" s="95" t="s">
        <v>240</v>
      </c>
      <c r="D21" s="51" t="s">
        <v>52</v>
      </c>
      <c r="E21" s="3"/>
      <c r="F21" s="3"/>
      <c r="G21" s="3"/>
      <c r="H21" s="3"/>
      <c r="I21" s="3"/>
      <c r="J21" s="3"/>
      <c r="K21" s="3"/>
      <c r="L21" s="3"/>
      <c r="M21" s="72"/>
      <c r="N21" s="72"/>
      <c r="O21" s="72"/>
      <c r="P21" s="72"/>
      <c r="Q21" s="72"/>
      <c r="R21" s="72"/>
      <c r="S21" s="72"/>
      <c r="T21" s="72"/>
      <c r="U21" s="3"/>
      <c r="V21" s="3"/>
      <c r="W21" s="3"/>
      <c r="X21" s="3"/>
      <c r="Y21" s="3"/>
      <c r="Z21" s="3"/>
      <c r="AA21" s="3"/>
      <c r="AB21" s="3"/>
      <c r="AC21" s="72"/>
      <c r="AD21" s="72"/>
      <c r="AE21" s="72"/>
      <c r="AF21" s="72"/>
      <c r="AG21" s="72"/>
      <c r="AH21" s="72"/>
      <c r="AI21" s="72"/>
      <c r="AJ21" s="72"/>
    </row>
    <row r="22" spans="1:36" x14ac:dyDescent="0.3">
      <c r="A22" s="10">
        <v>16</v>
      </c>
      <c r="B22" s="3" t="s">
        <v>2039</v>
      </c>
      <c r="C22" s="95" t="s">
        <v>241</v>
      </c>
      <c r="D22" s="51" t="s">
        <v>52</v>
      </c>
      <c r="E22" s="3"/>
      <c r="F22" s="3"/>
      <c r="G22" s="3"/>
      <c r="H22" s="3"/>
      <c r="I22" s="3"/>
      <c r="J22" s="3"/>
      <c r="K22" s="3"/>
      <c r="L22" s="3"/>
      <c r="M22" s="72"/>
      <c r="N22" s="72"/>
      <c r="O22" s="72"/>
      <c r="P22" s="72"/>
      <c r="Q22" s="72"/>
      <c r="R22" s="72"/>
      <c r="S22" s="72"/>
      <c r="T22" s="72"/>
      <c r="U22" s="3"/>
      <c r="V22" s="3"/>
      <c r="W22" s="3"/>
      <c r="X22" s="3"/>
      <c r="Y22" s="3"/>
      <c r="Z22" s="3"/>
      <c r="AA22" s="3"/>
      <c r="AB22" s="3"/>
      <c r="AC22" s="72"/>
      <c r="AD22" s="72"/>
      <c r="AE22" s="72"/>
      <c r="AF22" s="72"/>
      <c r="AG22" s="72"/>
      <c r="AH22" s="72"/>
      <c r="AI22" s="72"/>
      <c r="AJ22" s="72"/>
    </row>
    <row r="23" spans="1:36" x14ac:dyDescent="0.3">
      <c r="A23" s="10">
        <v>17</v>
      </c>
      <c r="B23" s="3" t="s">
        <v>2040</v>
      </c>
      <c r="C23" s="95" t="s">
        <v>242</v>
      </c>
      <c r="D23" s="51" t="s">
        <v>52</v>
      </c>
      <c r="E23" s="3"/>
      <c r="F23" s="3"/>
      <c r="G23" s="3"/>
      <c r="H23" s="3"/>
      <c r="I23" s="3"/>
      <c r="J23" s="3"/>
      <c r="K23" s="3"/>
      <c r="L23" s="3"/>
      <c r="M23" s="72"/>
      <c r="N23" s="72"/>
      <c r="O23" s="72"/>
      <c r="P23" s="72"/>
      <c r="Q23" s="72"/>
      <c r="R23" s="72"/>
      <c r="S23" s="72"/>
      <c r="T23" s="72"/>
      <c r="U23" s="3"/>
      <c r="V23" s="3"/>
      <c r="W23" s="3"/>
      <c r="X23" s="3"/>
      <c r="Y23" s="3"/>
      <c r="Z23" s="3"/>
      <c r="AA23" s="3"/>
      <c r="AB23" s="3"/>
      <c r="AC23" s="72"/>
      <c r="AD23" s="72"/>
      <c r="AE23" s="72"/>
      <c r="AF23" s="72"/>
      <c r="AG23" s="72"/>
      <c r="AH23" s="72"/>
      <c r="AI23" s="72"/>
      <c r="AJ23" s="72"/>
    </row>
    <row r="24" spans="1:36" x14ac:dyDescent="0.3">
      <c r="A24" s="10">
        <v>18</v>
      </c>
      <c r="B24" s="3" t="s">
        <v>2041</v>
      </c>
      <c r="C24" s="95" t="s">
        <v>243</v>
      </c>
      <c r="D24" s="51" t="s">
        <v>52</v>
      </c>
      <c r="E24" s="3"/>
      <c r="F24" s="3"/>
      <c r="G24" s="3"/>
      <c r="H24" s="3"/>
      <c r="I24" s="3"/>
      <c r="J24" s="3"/>
      <c r="K24" s="3"/>
      <c r="L24" s="3"/>
      <c r="M24" s="72"/>
      <c r="N24" s="72"/>
      <c r="O24" s="72"/>
      <c r="P24" s="72"/>
      <c r="Q24" s="72"/>
      <c r="R24" s="72"/>
      <c r="S24" s="72"/>
      <c r="T24" s="72"/>
      <c r="U24" s="3"/>
      <c r="V24" s="3"/>
      <c r="W24" s="3"/>
      <c r="X24" s="3"/>
      <c r="Y24" s="3"/>
      <c r="Z24" s="3"/>
      <c r="AA24" s="3"/>
      <c r="AB24" s="3"/>
      <c r="AC24" s="72"/>
      <c r="AD24" s="72"/>
      <c r="AE24" s="72"/>
      <c r="AF24" s="72"/>
      <c r="AG24" s="72"/>
      <c r="AH24" s="72"/>
      <c r="AI24" s="72"/>
      <c r="AJ24" s="72"/>
    </row>
    <row r="25" spans="1:36" x14ac:dyDescent="0.3">
      <c r="A25" s="10">
        <v>19</v>
      </c>
      <c r="B25" s="3" t="s">
        <v>221</v>
      </c>
      <c r="C25" s="95" t="s">
        <v>244</v>
      </c>
      <c r="D25" s="51" t="s">
        <v>52</v>
      </c>
      <c r="E25" s="3"/>
      <c r="F25" s="3"/>
      <c r="G25" s="3"/>
      <c r="H25" s="3"/>
      <c r="I25" s="3"/>
      <c r="J25" s="3"/>
      <c r="K25" s="3"/>
      <c r="L25" s="3"/>
      <c r="M25" s="72"/>
      <c r="N25" s="72"/>
      <c r="O25" s="72"/>
      <c r="P25" s="72"/>
      <c r="Q25" s="72"/>
      <c r="R25" s="72"/>
      <c r="S25" s="72"/>
      <c r="T25" s="72"/>
      <c r="U25" s="3"/>
      <c r="V25" s="3"/>
      <c r="W25" s="3"/>
      <c r="X25" s="3"/>
      <c r="Y25" s="3"/>
      <c r="Z25" s="3"/>
      <c r="AA25" s="3"/>
      <c r="AB25" s="3"/>
      <c r="AC25" s="72"/>
      <c r="AD25" s="72"/>
      <c r="AE25" s="72"/>
      <c r="AF25" s="72"/>
      <c r="AG25" s="72"/>
      <c r="AH25" s="72"/>
      <c r="AI25" s="72"/>
      <c r="AJ25" s="72"/>
    </row>
    <row r="26" spans="1:36" x14ac:dyDescent="0.3">
      <c r="A26" s="10">
        <v>20</v>
      </c>
      <c r="B26" s="3" t="s">
        <v>222</v>
      </c>
      <c r="C26" s="95" t="s">
        <v>245</v>
      </c>
      <c r="D26" s="51" t="s">
        <v>52</v>
      </c>
      <c r="E26" s="3"/>
      <c r="F26" s="3"/>
      <c r="G26" s="3"/>
      <c r="H26" s="3"/>
      <c r="I26" s="3"/>
      <c r="J26" s="3"/>
      <c r="K26" s="3"/>
      <c r="L26" s="3"/>
      <c r="M26" s="72"/>
      <c r="N26" s="72"/>
      <c r="O26" s="72"/>
      <c r="P26" s="72"/>
      <c r="Q26" s="72"/>
      <c r="R26" s="72"/>
      <c r="S26" s="72"/>
      <c r="T26" s="72"/>
      <c r="U26" s="3"/>
      <c r="V26" s="3"/>
      <c r="W26" s="3"/>
      <c r="X26" s="3"/>
      <c r="Y26" s="3"/>
      <c r="Z26" s="3"/>
      <c r="AA26" s="3"/>
      <c r="AB26" s="3"/>
      <c r="AC26" s="72"/>
      <c r="AD26" s="72"/>
      <c r="AE26" s="72"/>
      <c r="AF26" s="72"/>
      <c r="AG26" s="72"/>
      <c r="AH26" s="72"/>
      <c r="AI26" s="72"/>
      <c r="AJ26" s="72"/>
    </row>
    <row r="27" spans="1:36" x14ac:dyDescent="0.3">
      <c r="A27" s="10">
        <v>21</v>
      </c>
      <c r="B27" s="3" t="s">
        <v>2042</v>
      </c>
      <c r="C27" s="95" t="s">
        <v>1390</v>
      </c>
      <c r="D27" s="51" t="s">
        <v>53</v>
      </c>
      <c r="E27" s="3"/>
      <c r="F27" s="3"/>
      <c r="G27" s="3"/>
      <c r="H27" s="3"/>
      <c r="I27" s="3"/>
      <c r="J27" s="3"/>
      <c r="K27" s="3"/>
      <c r="L27" s="3"/>
      <c r="M27" s="72"/>
      <c r="N27" s="72"/>
      <c r="O27" s="72"/>
      <c r="P27" s="72"/>
      <c r="Q27" s="72"/>
      <c r="R27" s="72"/>
      <c r="S27" s="72"/>
      <c r="T27" s="72"/>
      <c r="U27" s="3"/>
      <c r="V27" s="3"/>
      <c r="W27" s="3"/>
      <c r="X27" s="3"/>
      <c r="Y27" s="3"/>
      <c r="Z27" s="3"/>
      <c r="AA27" s="3"/>
      <c r="AB27" s="3"/>
      <c r="AC27" s="72"/>
      <c r="AD27" s="72"/>
      <c r="AE27" s="72"/>
      <c r="AF27" s="72"/>
      <c r="AG27" s="72"/>
      <c r="AH27" s="72"/>
      <c r="AI27" s="72"/>
      <c r="AJ27" s="72"/>
    </row>
    <row r="28" spans="1:36" x14ac:dyDescent="0.3">
      <c r="A28" s="10">
        <v>22</v>
      </c>
      <c r="B28" s="3" t="s">
        <v>2043</v>
      </c>
      <c r="C28" s="95" t="s">
        <v>1340</v>
      </c>
      <c r="D28" s="51" t="s">
        <v>53</v>
      </c>
      <c r="E28" s="3"/>
      <c r="F28" s="3"/>
      <c r="G28" s="3"/>
      <c r="H28" s="3"/>
      <c r="I28" s="3"/>
      <c r="J28" s="3"/>
      <c r="K28" s="3"/>
      <c r="L28" s="3"/>
      <c r="M28" s="72"/>
      <c r="N28" s="72"/>
      <c r="O28" s="72"/>
      <c r="P28" s="72"/>
      <c r="Q28" s="72"/>
      <c r="R28" s="72"/>
      <c r="S28" s="72"/>
      <c r="T28" s="72"/>
      <c r="U28" s="3"/>
      <c r="V28" s="3"/>
      <c r="W28" s="3"/>
      <c r="X28" s="3"/>
      <c r="Y28" s="3"/>
      <c r="Z28" s="3"/>
      <c r="AA28" s="3"/>
      <c r="AB28" s="3"/>
      <c r="AC28" s="72"/>
      <c r="AD28" s="72"/>
      <c r="AE28" s="72"/>
      <c r="AF28" s="72"/>
      <c r="AG28" s="72"/>
      <c r="AH28" s="72"/>
      <c r="AI28" s="72"/>
      <c r="AJ28" s="72"/>
    </row>
    <row r="29" spans="1:36" x14ac:dyDescent="0.3">
      <c r="A29" s="10">
        <v>23</v>
      </c>
      <c r="B29" s="3" t="s">
        <v>223</v>
      </c>
      <c r="C29" s="95" t="s">
        <v>246</v>
      </c>
      <c r="D29" s="51" t="s">
        <v>53</v>
      </c>
      <c r="E29" s="3"/>
      <c r="F29" s="3"/>
      <c r="G29" s="3"/>
      <c r="H29" s="3"/>
      <c r="I29" s="3"/>
      <c r="J29" s="3"/>
      <c r="K29" s="3"/>
      <c r="L29" s="3"/>
      <c r="M29" s="72"/>
      <c r="N29" s="72"/>
      <c r="O29" s="72"/>
      <c r="P29" s="72"/>
      <c r="Q29" s="72"/>
      <c r="R29" s="72"/>
      <c r="S29" s="72"/>
      <c r="T29" s="72"/>
      <c r="U29" s="3"/>
      <c r="V29" s="3"/>
      <c r="W29" s="3"/>
      <c r="X29" s="3"/>
      <c r="Y29" s="3"/>
      <c r="Z29" s="3"/>
      <c r="AA29" s="3"/>
      <c r="AB29" s="3"/>
      <c r="AC29" s="72"/>
      <c r="AD29" s="72"/>
      <c r="AE29" s="72"/>
      <c r="AF29" s="72"/>
      <c r="AG29" s="72"/>
      <c r="AH29" s="72"/>
      <c r="AI29" s="72"/>
      <c r="AJ29" s="72"/>
    </row>
    <row r="30" spans="1:36" x14ac:dyDescent="0.3">
      <c r="A30" s="10">
        <v>24</v>
      </c>
      <c r="B30" s="3" t="s">
        <v>262</v>
      </c>
      <c r="C30" s="95" t="s">
        <v>279</v>
      </c>
      <c r="D30" s="51" t="s">
        <v>53</v>
      </c>
      <c r="E30" s="3"/>
      <c r="F30" s="3"/>
      <c r="G30" s="3"/>
      <c r="H30" s="3"/>
      <c r="I30" s="3"/>
      <c r="J30" s="3"/>
      <c r="K30" s="3"/>
      <c r="L30" s="3"/>
      <c r="M30" s="72"/>
      <c r="N30" s="72"/>
      <c r="O30" s="72"/>
      <c r="P30" s="72"/>
      <c r="Q30" s="72"/>
      <c r="R30" s="72"/>
      <c r="S30" s="72"/>
      <c r="T30" s="72"/>
      <c r="U30" s="3"/>
      <c r="V30" s="3"/>
      <c r="W30" s="3"/>
      <c r="X30" s="3"/>
      <c r="Y30" s="3"/>
      <c r="Z30" s="3"/>
      <c r="AA30" s="3"/>
      <c r="AB30" s="3"/>
      <c r="AC30" s="72"/>
      <c r="AD30" s="72"/>
      <c r="AE30" s="72"/>
      <c r="AF30" s="72"/>
      <c r="AG30" s="72"/>
      <c r="AH30" s="72"/>
      <c r="AI30" s="72"/>
      <c r="AJ30" s="72"/>
    </row>
    <row r="31" spans="1:36" x14ac:dyDescent="0.3">
      <c r="A31" s="10">
        <v>25</v>
      </c>
      <c r="B31" s="95" t="s">
        <v>2044</v>
      </c>
      <c r="C31" s="95" t="s">
        <v>247</v>
      </c>
      <c r="D31" s="51" t="s">
        <v>52</v>
      </c>
      <c r="E31" s="3"/>
      <c r="F31" s="3"/>
      <c r="G31" s="3"/>
      <c r="H31" s="3"/>
      <c r="I31" s="3"/>
      <c r="J31" s="3"/>
      <c r="K31" s="3"/>
      <c r="L31" s="3"/>
      <c r="M31" s="72"/>
      <c r="N31" s="72"/>
      <c r="O31" s="72"/>
      <c r="P31" s="72"/>
      <c r="Q31" s="72"/>
      <c r="R31" s="72"/>
      <c r="S31" s="72"/>
      <c r="T31" s="72"/>
      <c r="U31" s="3"/>
      <c r="V31" s="3"/>
      <c r="W31" s="3"/>
      <c r="X31" s="3"/>
      <c r="Y31" s="3"/>
      <c r="Z31" s="3"/>
      <c r="AA31" s="3"/>
      <c r="AB31" s="3"/>
      <c r="AC31" s="72"/>
      <c r="AD31" s="72"/>
      <c r="AE31" s="72"/>
      <c r="AF31" s="72"/>
      <c r="AG31" s="72"/>
      <c r="AH31" s="72"/>
      <c r="AI31" s="72"/>
      <c r="AJ31" s="72"/>
    </row>
    <row r="32" spans="1:36" x14ac:dyDescent="0.3">
      <c r="A32" s="10">
        <v>26</v>
      </c>
      <c r="B32" s="3" t="s">
        <v>224</v>
      </c>
      <c r="C32" s="95" t="s">
        <v>248</v>
      </c>
      <c r="D32" s="51" t="s">
        <v>53</v>
      </c>
      <c r="E32" s="3"/>
      <c r="F32" s="3"/>
      <c r="G32" s="3"/>
      <c r="H32" s="3"/>
      <c r="I32" s="3"/>
      <c r="J32" s="3"/>
      <c r="K32" s="3"/>
      <c r="L32" s="3"/>
      <c r="M32" s="72"/>
      <c r="N32" s="72"/>
      <c r="O32" s="72"/>
      <c r="P32" s="72"/>
      <c r="Q32" s="72"/>
      <c r="R32" s="72"/>
      <c r="S32" s="72"/>
      <c r="T32" s="72"/>
      <c r="U32" s="3"/>
      <c r="V32" s="3"/>
      <c r="W32" s="3"/>
      <c r="X32" s="3"/>
      <c r="Y32" s="3"/>
      <c r="Z32" s="3"/>
      <c r="AA32" s="3"/>
      <c r="AB32" s="3"/>
      <c r="AC32" s="72"/>
      <c r="AD32" s="72"/>
      <c r="AE32" s="72"/>
      <c r="AF32" s="72"/>
      <c r="AG32" s="72"/>
      <c r="AH32" s="72"/>
      <c r="AI32" s="72"/>
      <c r="AJ32" s="72"/>
    </row>
    <row r="33" spans="1:36" x14ac:dyDescent="0.3">
      <c r="A33" s="10">
        <v>27</v>
      </c>
      <c r="B33" s="3" t="s">
        <v>2045</v>
      </c>
      <c r="C33" s="95" t="s">
        <v>281</v>
      </c>
      <c r="D33" s="51" t="s">
        <v>53</v>
      </c>
      <c r="E33" s="3"/>
      <c r="F33" s="3"/>
      <c r="G33" s="3"/>
      <c r="H33" s="3"/>
      <c r="I33" s="3"/>
      <c r="J33" s="3"/>
      <c r="K33" s="3"/>
      <c r="L33" s="3"/>
      <c r="M33" s="72"/>
      <c r="N33" s="72"/>
      <c r="O33" s="72"/>
      <c r="P33" s="72"/>
      <c r="Q33" s="72"/>
      <c r="R33" s="72"/>
      <c r="S33" s="72"/>
      <c r="T33" s="72"/>
      <c r="U33" s="3"/>
      <c r="V33" s="3"/>
      <c r="W33" s="3"/>
      <c r="X33" s="3"/>
      <c r="Y33" s="3"/>
      <c r="Z33" s="3"/>
      <c r="AA33" s="3"/>
      <c r="AB33" s="3"/>
      <c r="AC33" s="72"/>
      <c r="AD33" s="72"/>
      <c r="AE33" s="72"/>
      <c r="AF33" s="72"/>
      <c r="AG33" s="72"/>
      <c r="AH33" s="72"/>
      <c r="AI33" s="72"/>
      <c r="AJ33" s="72"/>
    </row>
    <row r="34" spans="1:36" x14ac:dyDescent="0.3">
      <c r="A34" s="10">
        <v>28</v>
      </c>
      <c r="B34" s="3" t="s">
        <v>263</v>
      </c>
      <c r="C34" s="95" t="s">
        <v>283</v>
      </c>
      <c r="D34" s="51" t="s">
        <v>53</v>
      </c>
      <c r="E34" s="3"/>
      <c r="F34" s="3"/>
      <c r="G34" s="3"/>
      <c r="H34" s="3"/>
      <c r="I34" s="3"/>
      <c r="J34" s="3"/>
      <c r="K34" s="3"/>
      <c r="L34" s="3"/>
      <c r="M34" s="72"/>
      <c r="N34" s="72"/>
      <c r="O34" s="72"/>
      <c r="P34" s="72"/>
      <c r="Q34" s="72"/>
      <c r="R34" s="72"/>
      <c r="S34" s="72"/>
      <c r="T34" s="72"/>
      <c r="U34" s="3"/>
      <c r="V34" s="3"/>
      <c r="W34" s="3"/>
      <c r="X34" s="3"/>
      <c r="Y34" s="3"/>
      <c r="Z34" s="3"/>
      <c r="AA34" s="3"/>
      <c r="AB34" s="3"/>
      <c r="AC34" s="72"/>
      <c r="AD34" s="72"/>
      <c r="AE34" s="72"/>
      <c r="AF34" s="72"/>
      <c r="AG34" s="72"/>
      <c r="AH34" s="72"/>
      <c r="AI34" s="72"/>
      <c r="AJ34" s="72"/>
    </row>
    <row r="35" spans="1:36" x14ac:dyDescent="0.3">
      <c r="A35" s="10">
        <v>29</v>
      </c>
      <c r="B35" s="3" t="s">
        <v>2046</v>
      </c>
      <c r="C35" s="95" t="s">
        <v>282</v>
      </c>
      <c r="D35" s="51" t="s">
        <v>53</v>
      </c>
      <c r="E35" s="3"/>
      <c r="F35" s="3"/>
      <c r="G35" s="3"/>
      <c r="H35" s="3"/>
      <c r="I35" s="3"/>
      <c r="J35" s="3"/>
      <c r="K35" s="3"/>
      <c r="L35" s="3"/>
      <c r="M35" s="72"/>
      <c r="N35" s="72"/>
      <c r="O35" s="72"/>
      <c r="P35" s="72"/>
      <c r="Q35" s="72"/>
      <c r="R35" s="72"/>
      <c r="S35" s="72"/>
      <c r="T35" s="72"/>
      <c r="U35" s="3"/>
      <c r="V35" s="3"/>
      <c r="W35" s="3"/>
      <c r="X35" s="3"/>
      <c r="Y35" s="3"/>
      <c r="Z35" s="3"/>
      <c r="AA35" s="3"/>
      <c r="AB35" s="3"/>
      <c r="AC35" s="72"/>
      <c r="AD35" s="72"/>
      <c r="AE35" s="72"/>
      <c r="AF35" s="72"/>
      <c r="AG35" s="72"/>
      <c r="AH35" s="72"/>
      <c r="AI35" s="72"/>
      <c r="AJ35" s="72"/>
    </row>
    <row r="36" spans="1:36" x14ac:dyDescent="0.3">
      <c r="A36" s="10">
        <v>30</v>
      </c>
      <c r="B36" s="3" t="s">
        <v>225</v>
      </c>
      <c r="C36" s="95" t="s">
        <v>249</v>
      </c>
      <c r="D36" s="51" t="s">
        <v>52</v>
      </c>
      <c r="E36" s="3"/>
      <c r="F36" s="3"/>
      <c r="G36" s="3"/>
      <c r="H36" s="3"/>
      <c r="I36" s="3"/>
      <c r="J36" s="3"/>
      <c r="K36" s="3"/>
      <c r="L36" s="3"/>
      <c r="M36" s="72"/>
      <c r="N36" s="72"/>
      <c r="O36" s="72"/>
      <c r="P36" s="72"/>
      <c r="Q36" s="72"/>
      <c r="R36" s="72"/>
      <c r="S36" s="72"/>
      <c r="T36" s="72"/>
      <c r="U36" s="3"/>
      <c r="V36" s="3"/>
      <c r="W36" s="3"/>
      <c r="X36" s="3"/>
      <c r="Y36" s="3"/>
      <c r="Z36" s="3"/>
      <c r="AA36" s="3"/>
      <c r="AB36" s="3"/>
      <c r="AC36" s="72"/>
      <c r="AD36" s="72"/>
      <c r="AE36" s="72"/>
      <c r="AF36" s="72"/>
      <c r="AG36" s="72"/>
      <c r="AH36" s="72"/>
      <c r="AI36" s="72"/>
      <c r="AJ36" s="72"/>
    </row>
    <row r="37" spans="1:36" x14ac:dyDescent="0.3">
      <c r="A37" s="10">
        <v>31</v>
      </c>
      <c r="B37" s="3" t="s">
        <v>226</v>
      </c>
      <c r="C37" s="95" t="s">
        <v>250</v>
      </c>
      <c r="D37" s="51" t="s">
        <v>53</v>
      </c>
      <c r="E37" s="3"/>
      <c r="F37" s="3"/>
      <c r="G37" s="3"/>
      <c r="H37" s="3"/>
      <c r="I37" s="3"/>
      <c r="J37" s="3"/>
      <c r="K37" s="3"/>
      <c r="L37" s="3"/>
      <c r="M37" s="72"/>
      <c r="N37" s="72"/>
      <c r="O37" s="72"/>
      <c r="P37" s="72"/>
      <c r="Q37" s="72"/>
      <c r="R37" s="72"/>
      <c r="S37" s="72"/>
      <c r="T37" s="72"/>
      <c r="U37" s="3"/>
      <c r="V37" s="3"/>
      <c r="W37" s="3"/>
      <c r="X37" s="3"/>
      <c r="Y37" s="3"/>
      <c r="Z37" s="3"/>
      <c r="AA37" s="3"/>
      <c r="AB37" s="3"/>
      <c r="AC37" s="72"/>
      <c r="AD37" s="72"/>
      <c r="AE37" s="72"/>
      <c r="AF37" s="72"/>
      <c r="AG37" s="72"/>
      <c r="AH37" s="72"/>
      <c r="AI37" s="72"/>
      <c r="AJ37" s="72"/>
    </row>
    <row r="38" spans="1:36" x14ac:dyDescent="0.3">
      <c r="A38" s="10">
        <v>32</v>
      </c>
      <c r="B38" s="3" t="s">
        <v>2047</v>
      </c>
      <c r="C38" s="95" t="s">
        <v>251</v>
      </c>
      <c r="D38" s="51" t="s">
        <v>52</v>
      </c>
      <c r="E38" s="3"/>
      <c r="F38" s="3"/>
      <c r="G38" s="3"/>
      <c r="H38" s="3"/>
      <c r="I38" s="3"/>
      <c r="J38" s="3"/>
      <c r="K38" s="3"/>
      <c r="L38" s="3"/>
      <c r="M38" s="72"/>
      <c r="N38" s="72"/>
      <c r="O38" s="72"/>
      <c r="P38" s="72"/>
      <c r="Q38" s="72"/>
      <c r="R38" s="72"/>
      <c r="S38" s="72"/>
      <c r="T38" s="72"/>
      <c r="U38" s="3"/>
      <c r="V38" s="3"/>
      <c r="W38" s="3"/>
      <c r="X38" s="3"/>
      <c r="Y38" s="3"/>
      <c r="Z38" s="3"/>
      <c r="AA38" s="3"/>
      <c r="AB38" s="3"/>
      <c r="AC38" s="72"/>
      <c r="AD38" s="72"/>
      <c r="AE38" s="72"/>
      <c r="AF38" s="72"/>
      <c r="AG38" s="72"/>
      <c r="AH38" s="72"/>
      <c r="AI38" s="72"/>
      <c r="AJ38" s="72"/>
    </row>
    <row r="39" spans="1:36" x14ac:dyDescent="0.3">
      <c r="A39" s="10">
        <v>33</v>
      </c>
      <c r="B39" s="3" t="s">
        <v>2048</v>
      </c>
      <c r="C39" s="95" t="s">
        <v>252</v>
      </c>
      <c r="D39" s="51" t="s">
        <v>53</v>
      </c>
      <c r="E39" s="3"/>
      <c r="F39" s="3"/>
      <c r="G39" s="3"/>
      <c r="H39" s="3"/>
      <c r="I39" s="3"/>
      <c r="J39" s="3"/>
      <c r="K39" s="3"/>
      <c r="L39" s="3"/>
      <c r="M39" s="72"/>
      <c r="N39" s="72"/>
      <c r="O39" s="72"/>
      <c r="P39" s="72"/>
      <c r="Q39" s="72"/>
      <c r="R39" s="72"/>
      <c r="S39" s="72"/>
      <c r="T39" s="72"/>
      <c r="U39" s="3"/>
      <c r="V39" s="3"/>
      <c r="W39" s="3"/>
      <c r="X39" s="3"/>
      <c r="Y39" s="3"/>
      <c r="Z39" s="3"/>
      <c r="AA39" s="3"/>
      <c r="AB39" s="3"/>
      <c r="AC39" s="72"/>
      <c r="AD39" s="72"/>
      <c r="AE39" s="72"/>
      <c r="AF39" s="72"/>
      <c r="AG39" s="72"/>
      <c r="AH39" s="72"/>
      <c r="AI39" s="72"/>
      <c r="AJ39" s="72"/>
    </row>
    <row r="40" spans="1:36" x14ac:dyDescent="0.3">
      <c r="A40" s="10">
        <v>34</v>
      </c>
      <c r="B40" s="3" t="s">
        <v>264</v>
      </c>
      <c r="C40" s="95" t="s">
        <v>284</v>
      </c>
      <c r="D40" s="51" t="s">
        <v>53</v>
      </c>
      <c r="E40" s="3"/>
      <c r="F40" s="3"/>
      <c r="G40" s="3"/>
      <c r="H40" s="3"/>
      <c r="I40" s="3"/>
      <c r="J40" s="3"/>
      <c r="K40" s="3"/>
      <c r="L40" s="3"/>
      <c r="M40" s="72"/>
      <c r="N40" s="72"/>
      <c r="O40" s="72"/>
      <c r="P40" s="72"/>
      <c r="Q40" s="72"/>
      <c r="R40" s="72"/>
      <c r="S40" s="72"/>
      <c r="T40" s="72"/>
      <c r="U40" s="3"/>
      <c r="V40" s="3"/>
      <c r="W40" s="3"/>
      <c r="X40" s="3"/>
      <c r="Y40" s="3"/>
      <c r="Z40" s="3"/>
      <c r="AA40" s="3"/>
      <c r="AB40" s="3"/>
      <c r="AC40" s="72"/>
      <c r="AD40" s="72"/>
      <c r="AE40" s="72"/>
      <c r="AF40" s="72"/>
      <c r="AG40" s="72"/>
      <c r="AH40" s="72"/>
      <c r="AI40" s="72"/>
      <c r="AJ40" s="72"/>
    </row>
    <row r="41" spans="1:36" x14ac:dyDescent="0.3">
      <c r="A41" s="10">
        <v>35</v>
      </c>
      <c r="B41" s="3" t="s">
        <v>227</v>
      </c>
      <c r="C41" s="95" t="s">
        <v>253</v>
      </c>
      <c r="D41" s="51" t="s">
        <v>53</v>
      </c>
      <c r="E41" s="3"/>
      <c r="F41" s="3"/>
      <c r="G41" s="3"/>
      <c r="H41" s="3"/>
      <c r="I41" s="3"/>
      <c r="J41" s="3"/>
      <c r="K41" s="3"/>
      <c r="L41" s="3"/>
      <c r="M41" s="72"/>
      <c r="N41" s="72"/>
      <c r="O41" s="72"/>
      <c r="P41" s="72"/>
      <c r="Q41" s="72"/>
      <c r="R41" s="72"/>
      <c r="S41" s="72"/>
      <c r="T41" s="72"/>
      <c r="U41" s="3"/>
      <c r="V41" s="3"/>
      <c r="W41" s="3"/>
      <c r="X41" s="3"/>
      <c r="Y41" s="3"/>
      <c r="Z41" s="3"/>
      <c r="AA41" s="3"/>
      <c r="AB41" s="3"/>
      <c r="AC41" s="72"/>
      <c r="AD41" s="72"/>
      <c r="AE41" s="72"/>
      <c r="AF41" s="72"/>
      <c r="AG41" s="72"/>
      <c r="AH41" s="72"/>
      <c r="AI41" s="72"/>
      <c r="AJ41" s="72"/>
    </row>
    <row r="42" spans="1:36" x14ac:dyDescent="0.3">
      <c r="A42" s="10">
        <v>36</v>
      </c>
      <c r="B42" s="3" t="s">
        <v>228</v>
      </c>
      <c r="C42" s="95" t="s">
        <v>254</v>
      </c>
      <c r="D42" s="51" t="s">
        <v>53</v>
      </c>
      <c r="E42" s="3"/>
      <c r="F42" s="3"/>
      <c r="G42" s="3"/>
      <c r="H42" s="3"/>
      <c r="I42" s="3"/>
      <c r="J42" s="3"/>
      <c r="K42" s="3"/>
      <c r="L42" s="3"/>
      <c r="M42" s="72"/>
      <c r="N42" s="72"/>
      <c r="O42" s="72"/>
      <c r="P42" s="72"/>
      <c r="Q42" s="72"/>
      <c r="R42" s="72"/>
      <c r="S42" s="72"/>
      <c r="T42" s="72"/>
      <c r="U42" s="3"/>
      <c r="V42" s="3"/>
      <c r="W42" s="3"/>
      <c r="X42" s="3"/>
      <c r="Y42" s="3"/>
      <c r="Z42" s="3"/>
      <c r="AA42" s="3"/>
      <c r="AB42" s="3"/>
      <c r="AC42" s="72"/>
      <c r="AD42" s="72"/>
      <c r="AE42" s="72"/>
      <c r="AF42" s="72"/>
      <c r="AG42" s="72"/>
      <c r="AH42" s="72"/>
      <c r="AI42" s="72"/>
      <c r="AJ42" s="72"/>
    </row>
    <row r="43" spans="1:36" x14ac:dyDescent="0.3">
      <c r="A43" s="10">
        <v>37</v>
      </c>
      <c r="B43" s="79"/>
      <c r="C43" s="3"/>
      <c r="D43" s="30"/>
      <c r="E43" s="3"/>
      <c r="F43" s="3"/>
      <c r="G43" s="3"/>
      <c r="H43" s="3"/>
      <c r="I43" s="3"/>
      <c r="J43" s="3"/>
      <c r="K43" s="3"/>
      <c r="L43" s="3"/>
      <c r="M43" s="72"/>
      <c r="N43" s="72"/>
      <c r="O43" s="72"/>
      <c r="P43" s="72"/>
      <c r="Q43" s="72"/>
      <c r="R43" s="72"/>
      <c r="S43" s="72"/>
      <c r="T43" s="72"/>
      <c r="U43" s="3"/>
      <c r="V43" s="3"/>
      <c r="W43" s="3"/>
      <c r="X43" s="3"/>
      <c r="Y43" s="3"/>
      <c r="Z43" s="3"/>
      <c r="AA43" s="3"/>
      <c r="AB43" s="3"/>
      <c r="AC43" s="72"/>
      <c r="AD43" s="72"/>
      <c r="AE43" s="72"/>
      <c r="AF43" s="72"/>
      <c r="AG43" s="72"/>
      <c r="AH43" s="72"/>
      <c r="AI43" s="72"/>
      <c r="AJ43" s="72"/>
    </row>
    <row r="44" spans="1:36" x14ac:dyDescent="0.3">
      <c r="A44" s="565" t="s">
        <v>1632</v>
      </c>
      <c r="B44" s="565"/>
      <c r="C44" s="565"/>
      <c r="D44" s="565"/>
      <c r="E44" s="3"/>
      <c r="F44" s="3"/>
      <c r="G44" s="3"/>
      <c r="H44" s="3"/>
      <c r="I44" s="3"/>
      <c r="J44" s="3"/>
      <c r="K44" s="3"/>
      <c r="L44" s="3"/>
      <c r="M44" s="72"/>
      <c r="N44" s="72"/>
      <c r="O44" s="72"/>
      <c r="P44" s="72"/>
      <c r="Q44" s="72"/>
      <c r="R44" s="72"/>
      <c r="S44" s="72"/>
      <c r="T44" s="72"/>
      <c r="U44" s="3"/>
      <c r="V44" s="3"/>
      <c r="W44" s="3"/>
      <c r="X44" s="3"/>
      <c r="Y44" s="3"/>
      <c r="Z44" s="3"/>
      <c r="AA44" s="3"/>
      <c r="AB44" s="3"/>
      <c r="AC44" s="72"/>
      <c r="AD44" s="72"/>
      <c r="AE44" s="72"/>
      <c r="AF44" s="72"/>
      <c r="AG44" s="72"/>
      <c r="AH44" s="72"/>
      <c r="AI44" s="72"/>
      <c r="AJ44" s="72"/>
    </row>
    <row r="45" spans="1:36" x14ac:dyDescent="0.3">
      <c r="A45" s="566" t="s">
        <v>1633</v>
      </c>
      <c r="B45" s="567"/>
      <c r="C45" s="567"/>
      <c r="D45" s="568"/>
      <c r="E45" s="3"/>
      <c r="F45" s="3"/>
      <c r="G45" s="3"/>
      <c r="H45" s="3"/>
      <c r="I45" s="3"/>
      <c r="J45" s="3"/>
      <c r="K45" s="3"/>
      <c r="L45" s="3"/>
      <c r="M45" s="72"/>
      <c r="N45" s="72"/>
      <c r="O45" s="72"/>
      <c r="P45" s="72"/>
      <c r="Q45" s="72"/>
      <c r="R45" s="72"/>
      <c r="S45" s="72"/>
      <c r="T45" s="72"/>
      <c r="U45" s="3"/>
      <c r="V45" s="3"/>
      <c r="W45" s="3"/>
      <c r="X45" s="3"/>
      <c r="Y45" s="3"/>
      <c r="Z45" s="3"/>
      <c r="AA45" s="3"/>
      <c r="AB45" s="3"/>
      <c r="AC45" s="72"/>
      <c r="AD45" s="72"/>
      <c r="AE45" s="72"/>
      <c r="AF45" s="72"/>
      <c r="AG45" s="72"/>
      <c r="AH45" s="72"/>
      <c r="AI45" s="72"/>
      <c r="AJ45" s="72"/>
    </row>
    <row r="46" spans="1:36" x14ac:dyDescent="0.3">
      <c r="A46" s="566" t="s">
        <v>1634</v>
      </c>
      <c r="B46" s="567"/>
      <c r="C46" s="567"/>
      <c r="D46" s="568"/>
      <c r="E46" s="3"/>
      <c r="F46" s="3"/>
      <c r="G46" s="3"/>
      <c r="H46" s="3"/>
      <c r="I46" s="3"/>
      <c r="J46" s="3"/>
      <c r="K46" s="3"/>
      <c r="L46" s="3"/>
      <c r="M46" s="72"/>
      <c r="N46" s="72"/>
      <c r="O46" s="72"/>
      <c r="P46" s="72"/>
      <c r="Q46" s="72"/>
      <c r="R46" s="72"/>
      <c r="S46" s="72"/>
      <c r="T46" s="72"/>
      <c r="U46" s="3"/>
      <c r="V46" s="3"/>
      <c r="W46" s="3"/>
      <c r="X46" s="3"/>
      <c r="Y46" s="3"/>
      <c r="Z46" s="3"/>
      <c r="AA46" s="3"/>
      <c r="AB46" s="3"/>
      <c r="AC46" s="72"/>
      <c r="AD46" s="72"/>
      <c r="AE46" s="72"/>
      <c r="AF46" s="72"/>
      <c r="AG46" s="72"/>
      <c r="AH46" s="72"/>
      <c r="AI46" s="72"/>
      <c r="AJ46" s="72"/>
    </row>
    <row r="47" spans="1:36" x14ac:dyDescent="0.3">
      <c r="B47" s="22" t="s">
        <v>52</v>
      </c>
      <c r="C47">
        <f>COUNTIF(D7:D42,"L")</f>
        <v>14</v>
      </c>
    </row>
    <row r="48" spans="1:36" x14ac:dyDescent="0.3">
      <c r="B48" s="22" t="s">
        <v>53</v>
      </c>
      <c r="C48">
        <f>COUNTIF(D7:D43,"P")</f>
        <v>22</v>
      </c>
    </row>
    <row r="49" spans="2:3" x14ac:dyDescent="0.3">
      <c r="B49" s="22" t="s">
        <v>363</v>
      </c>
      <c r="C49">
        <f>SUM(C47:C48)</f>
        <v>36</v>
      </c>
    </row>
  </sheetData>
  <mergeCells count="17">
    <mergeCell ref="A44:D44"/>
    <mergeCell ref="A45:D45"/>
    <mergeCell ref="A46:D46"/>
    <mergeCell ref="D4:D6"/>
    <mergeCell ref="C4:C6"/>
    <mergeCell ref="B4:B6"/>
    <mergeCell ref="A4:A6"/>
    <mergeCell ref="A1:AJ1"/>
    <mergeCell ref="A2:AJ2"/>
    <mergeCell ref="AC4:AJ4"/>
    <mergeCell ref="E5:L5"/>
    <mergeCell ref="M5:T5"/>
    <mergeCell ref="U5:AB5"/>
    <mergeCell ref="AC5:AJ5"/>
    <mergeCell ref="E4:L4"/>
    <mergeCell ref="M4:T4"/>
    <mergeCell ref="U4:AB4"/>
  </mergeCells>
  <pageMargins left="0.16666666666666666" right="0.11458333333333333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50"/>
  <sheetViews>
    <sheetView view="pageLayout" topLeftCell="A37" zoomScaleNormal="100" workbookViewId="0">
      <selection activeCell="E30" sqref="E30"/>
    </sheetView>
  </sheetViews>
  <sheetFormatPr defaultRowHeight="14.4" x14ac:dyDescent="0.3"/>
  <cols>
    <col min="1" max="1" width="4.44140625" customWidth="1"/>
    <col min="2" max="2" width="26.44140625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981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15" t="s">
        <v>285</v>
      </c>
      <c r="C7" s="15" t="s">
        <v>323</v>
      </c>
      <c r="D7" s="18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286</v>
      </c>
      <c r="C8" s="15" t="s">
        <v>324</v>
      </c>
      <c r="D8" s="19" t="s">
        <v>52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6" t="s">
        <v>287</v>
      </c>
      <c r="C9" s="15" t="s">
        <v>325</v>
      </c>
      <c r="D9" s="19" t="s">
        <v>53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288</v>
      </c>
      <c r="C10" s="15" t="s">
        <v>326</v>
      </c>
      <c r="D10" s="18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289</v>
      </c>
      <c r="C11" s="15" t="s">
        <v>327</v>
      </c>
      <c r="D11" s="19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290</v>
      </c>
      <c r="C12" s="15" t="s">
        <v>328</v>
      </c>
      <c r="D12" s="19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15" t="s">
        <v>291</v>
      </c>
      <c r="C13" s="15" t="s">
        <v>329</v>
      </c>
      <c r="D13" s="18" t="s">
        <v>53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292</v>
      </c>
      <c r="C14" s="15" t="s">
        <v>330</v>
      </c>
      <c r="D14" s="18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293</v>
      </c>
      <c r="C15" s="15" t="s">
        <v>331</v>
      </c>
      <c r="D15" s="18" t="s">
        <v>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294</v>
      </c>
      <c r="C16" s="15" t="s">
        <v>332</v>
      </c>
      <c r="D16" s="18" t="s">
        <v>52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295</v>
      </c>
      <c r="C17" s="15" t="s">
        <v>333</v>
      </c>
      <c r="D17" s="19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296</v>
      </c>
      <c r="C18" s="15" t="s">
        <v>334</v>
      </c>
      <c r="D18" s="19" t="s">
        <v>53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297</v>
      </c>
      <c r="C19" s="15" t="s">
        <v>335</v>
      </c>
      <c r="D19" s="18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298</v>
      </c>
      <c r="C20" s="15" t="s">
        <v>336</v>
      </c>
      <c r="D20" s="18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15" t="s">
        <v>299</v>
      </c>
      <c r="C21" s="15" t="s">
        <v>337</v>
      </c>
      <c r="D21" s="18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300</v>
      </c>
      <c r="C22" s="15" t="s">
        <v>338</v>
      </c>
      <c r="D22" s="19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15" t="s">
        <v>301</v>
      </c>
      <c r="C23" s="15" t="s">
        <v>339</v>
      </c>
      <c r="D23" s="19" t="s">
        <v>53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302</v>
      </c>
      <c r="C24" s="15" t="s">
        <v>340</v>
      </c>
      <c r="D24" s="19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303</v>
      </c>
      <c r="C25" s="15" t="s">
        <v>341</v>
      </c>
      <c r="D25" s="19" t="s">
        <v>52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5" t="s">
        <v>304</v>
      </c>
      <c r="C26" s="15" t="s">
        <v>342</v>
      </c>
      <c r="D26" s="19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305</v>
      </c>
      <c r="C27" s="15" t="s">
        <v>343</v>
      </c>
      <c r="D27" s="20" t="s">
        <v>53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306</v>
      </c>
      <c r="C28" s="15" t="s">
        <v>344</v>
      </c>
      <c r="D28" s="19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307</v>
      </c>
      <c r="C29" s="15" t="s">
        <v>345</v>
      </c>
      <c r="D29" s="18" t="s">
        <v>53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52" t="s">
        <v>1610</v>
      </c>
      <c r="C30" s="15" t="s">
        <v>346</v>
      </c>
      <c r="D30" s="18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15" t="s">
        <v>308</v>
      </c>
      <c r="C31" s="15" t="s">
        <v>347</v>
      </c>
      <c r="D31" s="19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309</v>
      </c>
      <c r="C32" s="15" t="s">
        <v>348</v>
      </c>
      <c r="D32" s="18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15" t="s">
        <v>310</v>
      </c>
      <c r="C33" s="15" t="s">
        <v>349</v>
      </c>
      <c r="D33" s="18" t="s">
        <v>52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15" t="s">
        <v>311</v>
      </c>
      <c r="C34" s="15" t="s">
        <v>350</v>
      </c>
      <c r="D34" s="19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15" t="s">
        <v>312</v>
      </c>
      <c r="C35" s="15" t="s">
        <v>351</v>
      </c>
      <c r="D35" s="18" t="s">
        <v>52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313</v>
      </c>
      <c r="C36" s="15" t="s">
        <v>352</v>
      </c>
      <c r="D36" s="19" t="s">
        <v>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17" t="s">
        <v>314</v>
      </c>
      <c r="C37" s="15" t="s">
        <v>353</v>
      </c>
      <c r="D37" s="18" t="s">
        <v>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315</v>
      </c>
      <c r="C38" s="15" t="s">
        <v>354</v>
      </c>
      <c r="D38" s="19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316</v>
      </c>
      <c r="C39" s="15" t="s">
        <v>355</v>
      </c>
      <c r="D39" s="19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317</v>
      </c>
      <c r="C40" s="15" t="s">
        <v>356</v>
      </c>
      <c r="D40" s="19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318</v>
      </c>
      <c r="C41" s="15" t="s">
        <v>357</v>
      </c>
      <c r="D41" s="19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5" t="s">
        <v>319</v>
      </c>
      <c r="C42" s="15" t="s">
        <v>358</v>
      </c>
      <c r="D42" s="19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7" t="s">
        <v>320</v>
      </c>
      <c r="C43" s="15" t="s">
        <v>359</v>
      </c>
      <c r="D43" s="18" t="s">
        <v>52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15" t="s">
        <v>321</v>
      </c>
      <c r="C44" s="15" t="s">
        <v>360</v>
      </c>
      <c r="D44" s="18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322</v>
      </c>
      <c r="C45" s="15" t="s">
        <v>361</v>
      </c>
      <c r="D45" s="18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3"/>
      <c r="C46" s="3"/>
      <c r="D46" s="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>
        <v>41</v>
      </c>
      <c r="B47" s="3"/>
      <c r="C47" s="3"/>
      <c r="D47" s="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3"/>
      <c r="V47" s="3"/>
      <c r="W47" s="3"/>
    </row>
    <row r="48" spans="1:23" x14ac:dyDescent="0.3">
      <c r="B48" s="31" t="s">
        <v>52</v>
      </c>
      <c r="C48">
        <f>COUNTIF(D7:D45,"L")</f>
        <v>17</v>
      </c>
    </row>
    <row r="49" spans="2:3" x14ac:dyDescent="0.3">
      <c r="B49" s="31" t="s">
        <v>53</v>
      </c>
      <c r="C49">
        <f>COUNTIF(D8:D48,"P")</f>
        <v>22</v>
      </c>
    </row>
    <row r="50" spans="2:3" x14ac:dyDescent="0.3">
      <c r="B50" s="31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9:B40 B43" xr:uid="{00000000-0002-0000-0E00-000000000000}"/>
  </dataValidations>
  <pageMargins left="0.47916666666666669" right="0.30208333333333331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48"/>
  <sheetViews>
    <sheetView view="pageLayout" topLeftCell="A7" zoomScaleNormal="100" workbookViewId="0">
      <selection activeCell="K16" sqref="K16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902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23" t="s">
        <v>365</v>
      </c>
      <c r="C7" s="15" t="s">
        <v>400</v>
      </c>
      <c r="D7" s="26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366</v>
      </c>
      <c r="C8" s="15" t="s">
        <v>401</v>
      </c>
      <c r="D8" s="19" t="s">
        <v>53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23" t="s">
        <v>367</v>
      </c>
      <c r="C9" s="15" t="s">
        <v>402</v>
      </c>
      <c r="D9" s="26" t="s">
        <v>52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368</v>
      </c>
      <c r="C10" s="15" t="s">
        <v>403</v>
      </c>
      <c r="D10" s="18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369</v>
      </c>
      <c r="C11" s="15" t="s">
        <v>404</v>
      </c>
      <c r="D11" s="19" t="s">
        <v>53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370</v>
      </c>
      <c r="C12" s="15" t="s">
        <v>405</v>
      </c>
      <c r="D12" s="19" t="s">
        <v>52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15" t="s">
        <v>371</v>
      </c>
      <c r="C13" s="15" t="s">
        <v>406</v>
      </c>
      <c r="D13" s="19" t="s">
        <v>53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372</v>
      </c>
      <c r="C14" s="15" t="s">
        <v>407</v>
      </c>
      <c r="D14" s="19" t="s">
        <v>52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7" t="s">
        <v>373</v>
      </c>
      <c r="C15" s="15" t="s">
        <v>408</v>
      </c>
      <c r="D15" s="18" t="s">
        <v>52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374</v>
      </c>
      <c r="C16" s="15" t="s">
        <v>409</v>
      </c>
      <c r="D16" s="19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375</v>
      </c>
      <c r="C17" s="15" t="s">
        <v>410</v>
      </c>
      <c r="D17" s="19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376</v>
      </c>
      <c r="C18" s="15" t="s">
        <v>411</v>
      </c>
      <c r="D18" s="19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377</v>
      </c>
      <c r="C19" s="15" t="s">
        <v>412</v>
      </c>
      <c r="D19" s="18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1608</v>
      </c>
      <c r="C20" s="15" t="s">
        <v>413</v>
      </c>
      <c r="D20" s="19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9" t="s">
        <v>378</v>
      </c>
      <c r="C21" s="15" t="s">
        <v>414</v>
      </c>
      <c r="D21" s="18" t="s">
        <v>53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379</v>
      </c>
      <c r="C22" s="15" t="s">
        <v>415</v>
      </c>
      <c r="D22" s="19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15" t="s">
        <v>380</v>
      </c>
      <c r="C23" s="15" t="s">
        <v>416</v>
      </c>
      <c r="D23" s="19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381</v>
      </c>
      <c r="C24" s="15" t="s">
        <v>417</v>
      </c>
      <c r="D24" s="19" t="s">
        <v>53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382</v>
      </c>
      <c r="C25" s="15" t="s">
        <v>418</v>
      </c>
      <c r="D25" s="18" t="s">
        <v>52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5" t="s">
        <v>383</v>
      </c>
      <c r="C26" s="15" t="s">
        <v>419</v>
      </c>
      <c r="D26" s="18" t="s">
        <v>53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384</v>
      </c>
      <c r="C27" s="15" t="s">
        <v>420</v>
      </c>
      <c r="D27" s="18" t="s">
        <v>53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385</v>
      </c>
      <c r="C28" s="15" t="s">
        <v>421</v>
      </c>
      <c r="D28" s="18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386</v>
      </c>
      <c r="C29" s="15" t="s">
        <v>422</v>
      </c>
      <c r="D29" s="19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7" t="s">
        <v>387</v>
      </c>
      <c r="C30" s="15" t="s">
        <v>423</v>
      </c>
      <c r="D30" s="18" t="s">
        <v>52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24" t="s">
        <v>388</v>
      </c>
      <c r="C31" s="15" t="s">
        <v>424</v>
      </c>
      <c r="D31" s="18" t="s">
        <v>52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389</v>
      </c>
      <c r="C32" s="15" t="s">
        <v>425</v>
      </c>
      <c r="D32" s="19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17" t="s">
        <v>1609</v>
      </c>
      <c r="C33" s="15" t="s">
        <v>426</v>
      </c>
      <c r="D33" s="18" t="s">
        <v>52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15" t="s">
        <v>390</v>
      </c>
      <c r="C34" s="15" t="s">
        <v>427</v>
      </c>
      <c r="D34" s="19" t="s">
        <v>52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17" t="s">
        <v>391</v>
      </c>
      <c r="C35" s="15" t="s">
        <v>428</v>
      </c>
      <c r="D35" s="18" t="s">
        <v>52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392</v>
      </c>
      <c r="C36" s="15" t="s">
        <v>429</v>
      </c>
      <c r="D36" s="18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23" t="s">
        <v>393</v>
      </c>
      <c r="C37" s="15" t="s">
        <v>430</v>
      </c>
      <c r="D37" s="19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394</v>
      </c>
      <c r="C38" s="15" t="s">
        <v>431</v>
      </c>
      <c r="D38" s="19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395</v>
      </c>
      <c r="C39" s="15" t="s">
        <v>432</v>
      </c>
      <c r="D39" s="18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23" t="s">
        <v>396</v>
      </c>
      <c r="C40" s="15" t="s">
        <v>433</v>
      </c>
      <c r="D40" s="26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397</v>
      </c>
      <c r="C41" s="15" t="s">
        <v>434</v>
      </c>
      <c r="D41" s="19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5" t="s">
        <v>398</v>
      </c>
      <c r="C42" s="15" t="s">
        <v>435</v>
      </c>
      <c r="D42" s="19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25" t="s">
        <v>399</v>
      </c>
      <c r="C43" s="15" t="s">
        <v>436</v>
      </c>
      <c r="D43" s="19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"/>
      <c r="C44" s="3"/>
      <c r="D44" s="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6" spans="1:23" x14ac:dyDescent="0.3">
      <c r="B46" t="s">
        <v>52</v>
      </c>
      <c r="C46">
        <f>COUNTIF(D7:D43,"L")</f>
        <v>18</v>
      </c>
    </row>
    <row r="47" spans="1:23" x14ac:dyDescent="0.3">
      <c r="B47" t="s">
        <v>53</v>
      </c>
      <c r="C47">
        <f>COUNTIF(D8:D45,"P")</f>
        <v>19</v>
      </c>
    </row>
    <row r="48" spans="1:23" x14ac:dyDescent="0.3">
      <c r="B48" t="s">
        <v>363</v>
      </c>
      <c r="C48">
        <f>SUM(C46:C47)</f>
        <v>37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41:B43" xr:uid="{00000000-0002-0000-0F00-000000000000}"/>
  </dataValidations>
  <pageMargins left="0.38541666666666669" right="0.3125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0"/>
  <sheetViews>
    <sheetView view="pageLayout" topLeftCell="A10" zoomScaleNormal="100" workbookViewId="0">
      <selection activeCell="J10" sqref="J10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1050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23" t="s">
        <v>437</v>
      </c>
      <c r="C7" s="15" t="s">
        <v>477</v>
      </c>
      <c r="D7" s="19" t="s">
        <v>52</v>
      </c>
      <c r="E7" s="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438</v>
      </c>
      <c r="C8" s="15" t="s">
        <v>478</v>
      </c>
      <c r="D8" s="19" t="s">
        <v>52</v>
      </c>
      <c r="E8" s="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5" t="s">
        <v>439</v>
      </c>
      <c r="C9" s="15" t="s">
        <v>479</v>
      </c>
      <c r="D9" s="19" t="s">
        <v>53</v>
      </c>
      <c r="E9" s="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69" t="s">
        <v>440</v>
      </c>
      <c r="C10" s="15" t="s">
        <v>480</v>
      </c>
      <c r="D10" s="18" t="s">
        <v>52</v>
      </c>
      <c r="E10" s="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9" t="s">
        <v>441</v>
      </c>
      <c r="C11" s="15" t="s">
        <v>481</v>
      </c>
      <c r="D11" s="18" t="s">
        <v>53</v>
      </c>
      <c r="E11" s="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442</v>
      </c>
      <c r="C12" s="15" t="s">
        <v>482</v>
      </c>
      <c r="D12" s="18" t="s">
        <v>52</v>
      </c>
      <c r="E12" s="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15" t="s">
        <v>443</v>
      </c>
      <c r="C13" s="15" t="s">
        <v>483</v>
      </c>
      <c r="D13" s="18" t="s">
        <v>53</v>
      </c>
      <c r="E13" s="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444</v>
      </c>
      <c r="C14" s="15" t="s">
        <v>484</v>
      </c>
      <c r="D14" s="18" t="s">
        <v>53</v>
      </c>
      <c r="E14" s="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69" t="s">
        <v>445</v>
      </c>
      <c r="C15" s="15" t="s">
        <v>485</v>
      </c>
      <c r="D15" s="18" t="s">
        <v>52</v>
      </c>
      <c r="E15" s="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446</v>
      </c>
      <c r="C16" s="15" t="s">
        <v>486</v>
      </c>
      <c r="D16" s="19" t="s">
        <v>53</v>
      </c>
      <c r="E16" s="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447</v>
      </c>
      <c r="C17" s="15" t="s">
        <v>487</v>
      </c>
      <c r="D17" s="19" t="s">
        <v>53</v>
      </c>
      <c r="E17" s="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448</v>
      </c>
      <c r="C18" s="15" t="s">
        <v>488</v>
      </c>
      <c r="D18" s="18" t="s">
        <v>52</v>
      </c>
      <c r="E18" s="54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69" t="s">
        <v>449</v>
      </c>
      <c r="C19" s="15" t="s">
        <v>489</v>
      </c>
      <c r="D19" s="18" t="s">
        <v>53</v>
      </c>
      <c r="E19" s="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450</v>
      </c>
      <c r="C20" s="15" t="s">
        <v>490</v>
      </c>
      <c r="D20" s="19" t="s">
        <v>52</v>
      </c>
      <c r="E20" s="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15" t="s">
        <v>451</v>
      </c>
      <c r="C21" s="15" t="s">
        <v>491</v>
      </c>
      <c r="D21" s="19" t="s">
        <v>53</v>
      </c>
      <c r="E21" s="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452</v>
      </c>
      <c r="C22" s="15" t="s">
        <v>492</v>
      </c>
      <c r="D22" s="18" t="s">
        <v>53</v>
      </c>
      <c r="E22" s="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69" t="s">
        <v>453</v>
      </c>
      <c r="C23" s="15" t="s">
        <v>493</v>
      </c>
      <c r="D23" s="18" t="s">
        <v>52</v>
      </c>
      <c r="E23" s="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454</v>
      </c>
      <c r="C24" s="15" t="s">
        <v>494</v>
      </c>
      <c r="D24" s="18" t="s">
        <v>52</v>
      </c>
      <c r="E24" s="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455</v>
      </c>
      <c r="C25" s="15" t="s">
        <v>495</v>
      </c>
      <c r="D25" s="18" t="s">
        <v>53</v>
      </c>
      <c r="E25" s="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5" t="s">
        <v>456</v>
      </c>
      <c r="C26" s="15" t="s">
        <v>496</v>
      </c>
      <c r="D26" s="19" t="s">
        <v>52</v>
      </c>
      <c r="E26" s="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457</v>
      </c>
      <c r="C27" s="15" t="s">
        <v>497</v>
      </c>
      <c r="D27" s="18" t="s">
        <v>52</v>
      </c>
      <c r="E27" s="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458</v>
      </c>
      <c r="C28" s="15" t="s">
        <v>498</v>
      </c>
      <c r="D28" s="18" t="s">
        <v>52</v>
      </c>
      <c r="E28" s="49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459</v>
      </c>
      <c r="C29" s="15" t="s">
        <v>499</v>
      </c>
      <c r="D29" s="19" t="s">
        <v>53</v>
      </c>
      <c r="E29" s="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5" t="s">
        <v>460</v>
      </c>
      <c r="C30" s="15" t="s">
        <v>500</v>
      </c>
      <c r="D30" s="19" t="s">
        <v>53</v>
      </c>
      <c r="E30" s="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23" t="s">
        <v>461</v>
      </c>
      <c r="C31" s="15" t="s">
        <v>501</v>
      </c>
      <c r="D31" s="19" t="s">
        <v>53</v>
      </c>
      <c r="E31" s="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462</v>
      </c>
      <c r="C32" s="15" t="s">
        <v>502</v>
      </c>
      <c r="D32" s="18" t="s">
        <v>53</v>
      </c>
      <c r="E32" s="6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15" t="s">
        <v>463</v>
      </c>
      <c r="C33" s="15" t="s">
        <v>503</v>
      </c>
      <c r="D33" s="19" t="s">
        <v>53</v>
      </c>
      <c r="E33" s="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15" t="s">
        <v>464</v>
      </c>
      <c r="C34" s="15" t="s">
        <v>504</v>
      </c>
      <c r="D34" s="18" t="s">
        <v>52</v>
      </c>
      <c r="E34" s="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15" t="s">
        <v>465</v>
      </c>
      <c r="C35" s="15" t="s">
        <v>505</v>
      </c>
      <c r="D35" s="18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466</v>
      </c>
      <c r="C36" s="15" t="s">
        <v>506</v>
      </c>
      <c r="D36" s="18" t="s">
        <v>52</v>
      </c>
      <c r="E36" s="6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15" t="s">
        <v>467</v>
      </c>
      <c r="C37" s="15" t="s">
        <v>507</v>
      </c>
      <c r="D37" s="18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468</v>
      </c>
      <c r="C38" s="15" t="s">
        <v>508</v>
      </c>
      <c r="D38" s="19" t="s">
        <v>52</v>
      </c>
      <c r="E38" s="4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469</v>
      </c>
      <c r="C39" s="15" t="s">
        <v>509</v>
      </c>
      <c r="D39" s="19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470</v>
      </c>
      <c r="C40" s="15" t="s">
        <v>510</v>
      </c>
      <c r="D40" s="18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471</v>
      </c>
      <c r="C41" s="15" t="s">
        <v>511</v>
      </c>
      <c r="D41" s="18" t="s">
        <v>52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5" t="s">
        <v>472</v>
      </c>
      <c r="C42" s="15" t="s">
        <v>512</v>
      </c>
      <c r="D42" s="19" t="s">
        <v>53</v>
      </c>
      <c r="E42" s="68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473</v>
      </c>
      <c r="C43" s="15" t="s">
        <v>513</v>
      </c>
      <c r="D43" s="18" t="s">
        <v>53</v>
      </c>
      <c r="E43" s="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15" t="s">
        <v>474</v>
      </c>
      <c r="C44" s="15" t="s">
        <v>514</v>
      </c>
      <c r="D44" s="19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475</v>
      </c>
      <c r="C45" s="15" t="s">
        <v>515</v>
      </c>
      <c r="D45" s="18" t="s">
        <v>52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15" t="s">
        <v>476</v>
      </c>
      <c r="C46" s="15" t="s">
        <v>516</v>
      </c>
      <c r="D46" s="18" t="s">
        <v>52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8" spans="1:23" x14ac:dyDescent="0.3">
      <c r="B48" s="2" t="s">
        <v>52</v>
      </c>
      <c r="C48">
        <f>COUNTIF(D7:D46,"L")</f>
        <v>18</v>
      </c>
    </row>
    <row r="49" spans="2:3" x14ac:dyDescent="0.3">
      <c r="B49" s="2" t="s">
        <v>53</v>
      </c>
      <c r="C49">
        <f>COUNTIF(D8:D47,"P")</f>
        <v>22</v>
      </c>
    </row>
    <row r="50" spans="2:3" x14ac:dyDescent="0.3">
      <c r="B50" s="2" t="s">
        <v>363</v>
      </c>
      <c r="C50">
        <f>SUM(C48:C49)</f>
        <v>40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pageMargins left="0.40625" right="0.16666666666666666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50"/>
  <sheetViews>
    <sheetView view="pageLayout" zoomScaleNormal="100" workbookViewId="0">
      <selection activeCell="M7" sqref="M7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1125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27" t="s">
        <v>518</v>
      </c>
      <c r="C7" s="15" t="s">
        <v>557</v>
      </c>
      <c r="D7" s="19" t="s">
        <v>53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27" t="s">
        <v>519</v>
      </c>
      <c r="C8" s="15" t="s">
        <v>558</v>
      </c>
      <c r="D8" s="18" t="s">
        <v>53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27" t="s">
        <v>520</v>
      </c>
      <c r="C9" s="15" t="s">
        <v>559</v>
      </c>
      <c r="D9" s="18" t="s">
        <v>53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27" t="s">
        <v>521</v>
      </c>
      <c r="C10" s="15" t="s">
        <v>560</v>
      </c>
      <c r="D10" s="19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27" t="s">
        <v>522</v>
      </c>
      <c r="C11" s="15" t="s">
        <v>561</v>
      </c>
      <c r="D11" s="18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27" t="s">
        <v>523</v>
      </c>
      <c r="C12" s="15" t="s">
        <v>562</v>
      </c>
      <c r="D12" s="18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27" t="s">
        <v>524</v>
      </c>
      <c r="C13" s="15" t="s">
        <v>563</v>
      </c>
      <c r="D13" s="18" t="s">
        <v>53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27" t="s">
        <v>525</v>
      </c>
      <c r="C14" s="15" t="s">
        <v>564</v>
      </c>
      <c r="D14" s="19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27" t="s">
        <v>526</v>
      </c>
      <c r="C15" s="15" t="s">
        <v>565</v>
      </c>
      <c r="D15" s="19" t="s">
        <v>52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28" t="s">
        <v>527</v>
      </c>
      <c r="C16" s="15" t="s">
        <v>566</v>
      </c>
      <c r="D16" s="18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27" t="s">
        <v>528</v>
      </c>
      <c r="C17" s="15" t="s">
        <v>567</v>
      </c>
      <c r="D17" s="18" t="s">
        <v>52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27" t="s">
        <v>529</v>
      </c>
      <c r="C18" s="15" t="s">
        <v>568</v>
      </c>
      <c r="D18" s="18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27" t="s">
        <v>530</v>
      </c>
      <c r="C19" s="15" t="s">
        <v>569</v>
      </c>
      <c r="D19" s="19" t="s">
        <v>52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29" t="s">
        <v>531</v>
      </c>
      <c r="C20" s="15" t="s">
        <v>570</v>
      </c>
      <c r="D20" s="26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27" t="s">
        <v>532</v>
      </c>
      <c r="C21" s="15" t="s">
        <v>571</v>
      </c>
      <c r="D21" s="18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27" t="s">
        <v>533</v>
      </c>
      <c r="C22" s="15" t="s">
        <v>572</v>
      </c>
      <c r="D22" s="26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27" t="s">
        <v>534</v>
      </c>
      <c r="C23" s="15" t="s">
        <v>573</v>
      </c>
      <c r="D23" s="18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27" t="s">
        <v>535</v>
      </c>
      <c r="C24" s="15" t="s">
        <v>574</v>
      </c>
      <c r="D24" s="18" t="s">
        <v>53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27" t="s">
        <v>536</v>
      </c>
      <c r="C25" s="15" t="s">
        <v>575</v>
      </c>
      <c r="D25" s="18" t="s">
        <v>53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27" t="s">
        <v>537</v>
      </c>
      <c r="C26" s="15" t="s">
        <v>576</v>
      </c>
      <c r="D26" s="18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27" t="s">
        <v>538</v>
      </c>
      <c r="C27" s="15" t="s">
        <v>577</v>
      </c>
      <c r="D27" s="18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27" t="s">
        <v>539</v>
      </c>
      <c r="C28" s="15" t="s">
        <v>578</v>
      </c>
      <c r="D28" s="18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27" t="s">
        <v>540</v>
      </c>
      <c r="C29" s="15" t="s">
        <v>579</v>
      </c>
      <c r="D29" s="19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27" t="s">
        <v>541</v>
      </c>
      <c r="C30" s="15" t="s">
        <v>580</v>
      </c>
      <c r="D30" s="18" t="s">
        <v>52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27" t="s">
        <v>542</v>
      </c>
      <c r="C31" s="15" t="s">
        <v>581</v>
      </c>
      <c r="D31" s="18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28" t="s">
        <v>543</v>
      </c>
      <c r="C32" s="15" t="s">
        <v>582</v>
      </c>
      <c r="D32" s="18" t="s">
        <v>53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27" t="s">
        <v>544</v>
      </c>
      <c r="C33" s="15" t="s">
        <v>583</v>
      </c>
      <c r="D33" s="19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27" t="s">
        <v>545</v>
      </c>
      <c r="C34" s="15" t="s">
        <v>584</v>
      </c>
      <c r="D34" s="18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27" t="s">
        <v>546</v>
      </c>
      <c r="C35" s="15" t="s">
        <v>585</v>
      </c>
      <c r="D35" s="18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27" t="s">
        <v>547</v>
      </c>
      <c r="C36" s="15" t="s">
        <v>586</v>
      </c>
      <c r="D36" s="18" t="s">
        <v>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29" t="s">
        <v>548</v>
      </c>
      <c r="C37" s="15" t="s">
        <v>587</v>
      </c>
      <c r="D37" s="19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27" t="s">
        <v>549</v>
      </c>
      <c r="C38" s="15" t="s">
        <v>588</v>
      </c>
      <c r="D38" s="18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27" t="s">
        <v>550</v>
      </c>
      <c r="C39" s="15" t="s">
        <v>589</v>
      </c>
      <c r="D39" s="19" t="s">
        <v>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27" t="s">
        <v>551</v>
      </c>
      <c r="C40" s="15" t="s">
        <v>590</v>
      </c>
      <c r="D40" s="18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27" t="s">
        <v>552</v>
      </c>
      <c r="C41" s="15" t="s">
        <v>591</v>
      </c>
      <c r="D41" s="18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27" t="s">
        <v>553</v>
      </c>
      <c r="C42" s="15" t="s">
        <v>592</v>
      </c>
      <c r="D42" s="18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27" t="s">
        <v>554</v>
      </c>
      <c r="C43" s="15" t="s">
        <v>593</v>
      </c>
      <c r="D43" s="19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28" t="s">
        <v>555</v>
      </c>
      <c r="C44" s="15" t="s">
        <v>594</v>
      </c>
      <c r="D44" s="18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27" t="s">
        <v>556</v>
      </c>
      <c r="C45" s="15" t="s">
        <v>595</v>
      </c>
      <c r="D45" s="18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29"/>
      <c r="C46" s="15"/>
      <c r="D46" s="26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8" spans="1:23" x14ac:dyDescent="0.3">
      <c r="B48" t="s">
        <v>52</v>
      </c>
      <c r="C48">
        <f>COUNTIF(D7:D46,"L")</f>
        <v>17</v>
      </c>
    </row>
    <row r="49" spans="2:3" x14ac:dyDescent="0.3">
      <c r="B49" t="s">
        <v>53</v>
      </c>
      <c r="C49">
        <f>COUNTIF(D7:D46,"P")</f>
        <v>22</v>
      </c>
    </row>
    <row r="50" spans="2:3" x14ac:dyDescent="0.3">
      <c r="B50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40:B42" xr:uid="{00000000-0002-0000-1100-000000000000}"/>
  </dataValidations>
  <pageMargins left="0.28125" right="0.26041666666666669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50"/>
  <sheetViews>
    <sheetView view="pageLayout" topLeftCell="A4" zoomScaleNormal="100" workbookViewId="0">
      <selection activeCell="G9" sqref="G9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15" t="s">
        <v>597</v>
      </c>
      <c r="C7" s="15" t="s">
        <v>633</v>
      </c>
      <c r="D7" s="5" t="s">
        <v>53</v>
      </c>
      <c r="E7" s="54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598</v>
      </c>
      <c r="C8" s="15" t="s">
        <v>634</v>
      </c>
      <c r="D8" s="20" t="s">
        <v>53</v>
      </c>
      <c r="E8" s="54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5" t="s">
        <v>599</v>
      </c>
      <c r="C9" s="15" t="s">
        <v>635</v>
      </c>
      <c r="D9" s="20" t="s">
        <v>53</v>
      </c>
      <c r="E9" s="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600</v>
      </c>
      <c r="C10" s="15" t="s">
        <v>636</v>
      </c>
      <c r="D10" s="20" t="s">
        <v>52</v>
      </c>
      <c r="E10" s="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601</v>
      </c>
      <c r="C11" s="15" t="s">
        <v>637</v>
      </c>
      <c r="D11" s="20" t="s">
        <v>53</v>
      </c>
      <c r="E11" s="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602</v>
      </c>
      <c r="C12" s="15" t="s">
        <v>638</v>
      </c>
      <c r="D12" s="5" t="s">
        <v>53</v>
      </c>
      <c r="E12" s="68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23" t="s">
        <v>603</v>
      </c>
      <c r="C13" s="15" t="s">
        <v>639</v>
      </c>
      <c r="D13" s="20" t="s">
        <v>53</v>
      </c>
      <c r="E13" s="68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604</v>
      </c>
      <c r="C14" s="15" t="s">
        <v>640</v>
      </c>
      <c r="D14" s="5" t="s">
        <v>53</v>
      </c>
      <c r="E14" s="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605</v>
      </c>
      <c r="C15" s="15" t="s">
        <v>641</v>
      </c>
      <c r="D15" s="20" t="s">
        <v>52</v>
      </c>
      <c r="E15" s="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606</v>
      </c>
      <c r="C16" s="15" t="s">
        <v>642</v>
      </c>
      <c r="D16" s="5" t="s">
        <v>52</v>
      </c>
      <c r="E16" s="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1604</v>
      </c>
      <c r="C17" s="15" t="s">
        <v>643</v>
      </c>
      <c r="D17" s="20" t="s">
        <v>53</v>
      </c>
      <c r="E17" s="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607</v>
      </c>
      <c r="C18" s="15" t="s">
        <v>644</v>
      </c>
      <c r="D18" s="5" t="s">
        <v>52</v>
      </c>
      <c r="E18" s="68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1603</v>
      </c>
      <c r="C19" s="15" t="s">
        <v>645</v>
      </c>
      <c r="D19" s="5" t="s">
        <v>52</v>
      </c>
      <c r="E19" s="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608</v>
      </c>
      <c r="C20" s="15" t="s">
        <v>646</v>
      </c>
      <c r="D20" s="5" t="s">
        <v>52</v>
      </c>
      <c r="E20" s="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15" t="s">
        <v>609</v>
      </c>
      <c r="C21" s="15" t="s">
        <v>647</v>
      </c>
      <c r="D21" s="5" t="s">
        <v>52</v>
      </c>
      <c r="E21" s="6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610</v>
      </c>
      <c r="C22" s="15" t="s">
        <v>648</v>
      </c>
      <c r="D22" s="5" t="s">
        <v>52</v>
      </c>
      <c r="E22" s="6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15" t="s">
        <v>611</v>
      </c>
      <c r="C23" s="15" t="s">
        <v>649</v>
      </c>
      <c r="D23" s="5" t="s">
        <v>52</v>
      </c>
      <c r="E23" s="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612</v>
      </c>
      <c r="C24" s="15" t="s">
        <v>650</v>
      </c>
      <c r="D24" s="5" t="s">
        <v>53</v>
      </c>
      <c r="E24" s="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613</v>
      </c>
      <c r="C25" s="15" t="s">
        <v>651</v>
      </c>
      <c r="D25" s="20" t="s">
        <v>53</v>
      </c>
      <c r="E25" s="6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5" t="s">
        <v>614</v>
      </c>
      <c r="C26" s="15" t="s">
        <v>652</v>
      </c>
      <c r="D26" s="5" t="s">
        <v>53</v>
      </c>
      <c r="E26" s="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7" t="s">
        <v>615</v>
      </c>
      <c r="C27" s="15" t="s">
        <v>653</v>
      </c>
      <c r="D27" s="5" t="s">
        <v>53</v>
      </c>
      <c r="E27" s="6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616</v>
      </c>
      <c r="C28" s="15" t="s">
        <v>654</v>
      </c>
      <c r="D28" s="20" t="s">
        <v>53</v>
      </c>
      <c r="E28" s="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617</v>
      </c>
      <c r="C29" s="15" t="s">
        <v>655</v>
      </c>
      <c r="D29" s="5" t="s">
        <v>52</v>
      </c>
      <c r="E29" s="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5" t="s">
        <v>618</v>
      </c>
      <c r="C30" s="15" t="s">
        <v>656</v>
      </c>
      <c r="D30" s="20" t="s">
        <v>53</v>
      </c>
      <c r="E30" s="49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15" t="s">
        <v>619</v>
      </c>
      <c r="C31" s="15" t="s">
        <v>657</v>
      </c>
      <c r="D31" s="5" t="s">
        <v>53</v>
      </c>
      <c r="E31" s="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620</v>
      </c>
      <c r="C32" s="15" t="s">
        <v>658</v>
      </c>
      <c r="D32" s="20" t="s">
        <v>52</v>
      </c>
      <c r="E32" s="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15" t="s">
        <v>621</v>
      </c>
      <c r="C33" s="15" t="s">
        <v>659</v>
      </c>
      <c r="D33" s="20" t="s">
        <v>53</v>
      </c>
      <c r="E33" s="68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15" t="s">
        <v>622</v>
      </c>
      <c r="C34" s="15" t="s">
        <v>660</v>
      </c>
      <c r="D34" s="20" t="s">
        <v>53</v>
      </c>
      <c r="E34" s="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23" t="s">
        <v>623</v>
      </c>
      <c r="C35" s="15" t="s">
        <v>661</v>
      </c>
      <c r="D35" s="5" t="s">
        <v>52</v>
      </c>
      <c r="E35" s="5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624</v>
      </c>
      <c r="C36" s="15" t="s">
        <v>662</v>
      </c>
      <c r="D36" s="5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15" t="s">
        <v>625</v>
      </c>
      <c r="C37" s="15" t="s">
        <v>663</v>
      </c>
      <c r="D37" s="5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626</v>
      </c>
      <c r="C38" s="15" t="s">
        <v>664</v>
      </c>
      <c r="D38" s="20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627</v>
      </c>
      <c r="C39" s="15" t="s">
        <v>665</v>
      </c>
      <c r="D39" s="5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7" t="s">
        <v>628</v>
      </c>
      <c r="C40" s="15" t="s">
        <v>666</v>
      </c>
      <c r="D40" s="5" t="s">
        <v>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629</v>
      </c>
      <c r="C41" s="15" t="s">
        <v>667</v>
      </c>
      <c r="D41" s="5" t="s">
        <v>53</v>
      </c>
      <c r="E41" s="6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9" t="s">
        <v>630</v>
      </c>
      <c r="C42" s="15" t="s">
        <v>668</v>
      </c>
      <c r="D42" s="20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631</v>
      </c>
      <c r="C43" s="15" t="s">
        <v>669</v>
      </c>
      <c r="D43" s="18" t="s">
        <v>52</v>
      </c>
      <c r="E43" s="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" t="s">
        <v>632</v>
      </c>
      <c r="C44" s="3" t="s">
        <v>670</v>
      </c>
      <c r="D44" s="18" t="s">
        <v>52</v>
      </c>
      <c r="E44" s="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3"/>
      <c r="C45" s="3"/>
      <c r="D45" s="3"/>
      <c r="E45" s="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3"/>
      <c r="C46" s="3"/>
      <c r="D46" s="3"/>
      <c r="E46" s="5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>
        <v>41</v>
      </c>
      <c r="B47" s="3"/>
      <c r="C47" s="3"/>
      <c r="D47" s="3"/>
      <c r="E47" s="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3"/>
      <c r="V47" s="3"/>
      <c r="W47" s="3"/>
    </row>
    <row r="48" spans="1:23" x14ac:dyDescent="0.3">
      <c r="B48" s="31" t="s">
        <v>52</v>
      </c>
      <c r="C48">
        <f>COUNTIF(D7:D44,"L")</f>
        <v>15</v>
      </c>
    </row>
    <row r="49" spans="2:3" x14ac:dyDescent="0.3">
      <c r="B49" s="31" t="s">
        <v>53</v>
      </c>
      <c r="C49">
        <f>COUNTIF(D7:D44,"P")</f>
        <v>23</v>
      </c>
    </row>
    <row r="50" spans="2:3" x14ac:dyDescent="0.3">
      <c r="B50" s="31" t="s">
        <v>363</v>
      </c>
      <c r="C50">
        <f>SUM(C48:C49)</f>
        <v>38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9:B41" xr:uid="{00000000-0002-0000-1200-000000000000}"/>
  </dataValidations>
  <pageMargins left="0.41666666666666669" right="0.26041666666666669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50"/>
  <sheetViews>
    <sheetView view="pageLayout" topLeftCell="A9" zoomScaleNormal="100" workbookViewId="0">
      <selection activeCell="R22" sqref="R22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1271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17" t="s">
        <v>673</v>
      </c>
      <c r="C7" s="15" t="s">
        <v>713</v>
      </c>
      <c r="D7" s="5" t="s">
        <v>52</v>
      </c>
      <c r="E7" s="13"/>
      <c r="F7" s="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674</v>
      </c>
      <c r="C8" s="15" t="s">
        <v>714</v>
      </c>
      <c r="D8" s="5" t="s">
        <v>52</v>
      </c>
      <c r="E8" s="13"/>
      <c r="F8" s="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7" t="s">
        <v>675</v>
      </c>
      <c r="C9" s="15" t="s">
        <v>715</v>
      </c>
      <c r="D9" s="5" t="s">
        <v>52</v>
      </c>
      <c r="E9" s="13"/>
      <c r="F9" s="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676</v>
      </c>
      <c r="C10" s="15" t="s">
        <v>716</v>
      </c>
      <c r="D10" s="20" t="s">
        <v>52</v>
      </c>
      <c r="E10" s="13"/>
      <c r="F10" s="6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23" t="s">
        <v>677</v>
      </c>
      <c r="C11" s="15" t="s">
        <v>717</v>
      </c>
      <c r="D11" s="7" t="s">
        <v>52</v>
      </c>
      <c r="E11" s="13"/>
      <c r="F11" s="6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678</v>
      </c>
      <c r="C12" s="15" t="s">
        <v>718</v>
      </c>
      <c r="D12" s="5" t="s">
        <v>52</v>
      </c>
      <c r="E12" s="13"/>
      <c r="F12" s="6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15" t="s">
        <v>679</v>
      </c>
      <c r="C13" s="15" t="s">
        <v>719</v>
      </c>
      <c r="D13" s="20" t="s">
        <v>52</v>
      </c>
      <c r="E13" s="13"/>
      <c r="F13" s="6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680</v>
      </c>
      <c r="C14" s="15" t="s">
        <v>720</v>
      </c>
      <c r="D14" s="5" t="s">
        <v>52</v>
      </c>
      <c r="E14" s="13"/>
      <c r="F14" s="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681</v>
      </c>
      <c r="C15" s="15" t="s">
        <v>721</v>
      </c>
      <c r="D15" s="5" t="s">
        <v>52</v>
      </c>
      <c r="E15" s="13"/>
      <c r="F15" s="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682</v>
      </c>
      <c r="C16" s="15" t="s">
        <v>722</v>
      </c>
      <c r="D16" s="5" t="s">
        <v>52</v>
      </c>
      <c r="E16" s="13"/>
      <c r="F16" s="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7" t="s">
        <v>683</v>
      </c>
      <c r="C17" s="15" t="s">
        <v>723</v>
      </c>
      <c r="D17" s="5" t="s">
        <v>52</v>
      </c>
      <c r="E17" s="13"/>
      <c r="F17" s="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684</v>
      </c>
      <c r="C18" s="15" t="s">
        <v>724</v>
      </c>
      <c r="D18" s="5" t="s">
        <v>53</v>
      </c>
      <c r="E18" s="13"/>
      <c r="F18" s="68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685</v>
      </c>
      <c r="C19" s="15" t="s">
        <v>725</v>
      </c>
      <c r="D19" s="5" t="s">
        <v>52</v>
      </c>
      <c r="E19" s="13"/>
      <c r="F19" s="68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686</v>
      </c>
      <c r="C20" s="15" t="s">
        <v>726</v>
      </c>
      <c r="D20" s="5" t="s">
        <v>52</v>
      </c>
      <c r="E20" s="13"/>
      <c r="F20" s="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15" t="s">
        <v>687</v>
      </c>
      <c r="C21" s="15" t="s">
        <v>727</v>
      </c>
      <c r="D21" s="5" t="s">
        <v>52</v>
      </c>
      <c r="E21" s="13"/>
      <c r="F21" s="49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70" t="s">
        <v>688</v>
      </c>
      <c r="C22" s="15" t="s">
        <v>728</v>
      </c>
      <c r="D22" s="5" t="s">
        <v>52</v>
      </c>
      <c r="E22" s="13"/>
      <c r="F22" s="54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15" t="s">
        <v>689</v>
      </c>
      <c r="C23" s="15" t="s">
        <v>729</v>
      </c>
      <c r="D23" s="20" t="s">
        <v>52</v>
      </c>
      <c r="E23" s="13"/>
      <c r="F23" s="68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690</v>
      </c>
      <c r="C24" s="15" t="s">
        <v>730</v>
      </c>
      <c r="D24" s="20" t="s">
        <v>53</v>
      </c>
      <c r="E24" s="13"/>
      <c r="F24" s="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69" t="s">
        <v>691</v>
      </c>
      <c r="C25" s="15" t="s">
        <v>731</v>
      </c>
      <c r="D25" s="20" t="s">
        <v>52</v>
      </c>
      <c r="E25" s="13"/>
      <c r="F25" s="54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7" t="s">
        <v>692</v>
      </c>
      <c r="C26" s="15" t="s">
        <v>732</v>
      </c>
      <c r="D26" s="5" t="s">
        <v>53</v>
      </c>
      <c r="E26" s="13"/>
      <c r="F26" s="68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693</v>
      </c>
      <c r="C27" s="15" t="s">
        <v>733</v>
      </c>
      <c r="D27" s="5" t="s">
        <v>52</v>
      </c>
      <c r="E27" s="13"/>
      <c r="F27" s="68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694</v>
      </c>
      <c r="C28" s="15" t="s">
        <v>734</v>
      </c>
      <c r="D28" s="5" t="s">
        <v>53</v>
      </c>
      <c r="E28" s="13"/>
      <c r="F28" s="68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695</v>
      </c>
      <c r="C29" s="15" t="s">
        <v>735</v>
      </c>
      <c r="D29" s="5" t="s">
        <v>53</v>
      </c>
      <c r="E29" s="13"/>
      <c r="F29" s="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5" t="s">
        <v>696</v>
      </c>
      <c r="C30" s="15" t="s">
        <v>736</v>
      </c>
      <c r="D30" s="5" t="s">
        <v>53</v>
      </c>
      <c r="E30" s="13"/>
      <c r="F30" s="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15" t="s">
        <v>697</v>
      </c>
      <c r="C31" s="15" t="s">
        <v>737</v>
      </c>
      <c r="D31" s="5" t="s">
        <v>53</v>
      </c>
      <c r="E31" s="13"/>
      <c r="F31" s="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698</v>
      </c>
      <c r="C32" s="15" t="s">
        <v>738</v>
      </c>
      <c r="D32" s="20" t="s">
        <v>53</v>
      </c>
      <c r="E32" s="13"/>
      <c r="F32" s="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23" t="s">
        <v>699</v>
      </c>
      <c r="C33" s="15" t="s">
        <v>739</v>
      </c>
      <c r="D33" s="7" t="s">
        <v>53</v>
      </c>
      <c r="E33" s="13"/>
      <c r="F33" s="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23" t="s">
        <v>700</v>
      </c>
      <c r="C34" s="15" t="s">
        <v>740</v>
      </c>
      <c r="D34" s="7" t="s">
        <v>53</v>
      </c>
      <c r="E34" s="13"/>
      <c r="F34" s="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15" t="s">
        <v>701</v>
      </c>
      <c r="C35" s="15" t="s">
        <v>741</v>
      </c>
      <c r="D35" s="20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702</v>
      </c>
      <c r="C36" s="15" t="s">
        <v>742</v>
      </c>
      <c r="D36" s="20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15" t="s">
        <v>703</v>
      </c>
      <c r="C37" s="15" t="s">
        <v>743</v>
      </c>
      <c r="D37" s="5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704</v>
      </c>
      <c r="C38" s="15" t="s">
        <v>744</v>
      </c>
      <c r="D38" s="5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705</v>
      </c>
      <c r="C39" s="15" t="s">
        <v>745</v>
      </c>
      <c r="D39" s="5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706</v>
      </c>
      <c r="C40" s="15" t="s">
        <v>746</v>
      </c>
      <c r="D40" s="20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707</v>
      </c>
      <c r="C41" s="15" t="s">
        <v>747</v>
      </c>
      <c r="D41" s="20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7" t="s">
        <v>708</v>
      </c>
      <c r="C42" s="15" t="s">
        <v>748</v>
      </c>
      <c r="D42" s="5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709</v>
      </c>
      <c r="C43" s="15" t="s">
        <v>749</v>
      </c>
      <c r="D43" s="5" t="s">
        <v>53</v>
      </c>
      <c r="E43" s="13"/>
      <c r="F43" s="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15" t="s">
        <v>710</v>
      </c>
      <c r="C44" s="15" t="s">
        <v>750</v>
      </c>
      <c r="D44" s="20" t="s">
        <v>52</v>
      </c>
      <c r="E44" s="13"/>
      <c r="F44" s="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711</v>
      </c>
      <c r="C45" s="15" t="s">
        <v>751</v>
      </c>
      <c r="D45" s="5" t="s">
        <v>52</v>
      </c>
      <c r="E45" s="13"/>
      <c r="F45" s="49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15" t="s">
        <v>712</v>
      </c>
      <c r="C46" s="15" t="s">
        <v>752</v>
      </c>
      <c r="D46" s="20" t="s">
        <v>53</v>
      </c>
      <c r="E46" s="13"/>
      <c r="F46" s="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3">
      <c r="B48" s="2" t="s">
        <v>52</v>
      </c>
      <c r="C48">
        <f>COUNTIF(D7:D46,"L")</f>
        <v>20</v>
      </c>
    </row>
    <row r="49" spans="2:3" x14ac:dyDescent="0.3">
      <c r="B49" s="2" t="s">
        <v>53</v>
      </c>
      <c r="C49">
        <f>COUNTIF(D8:D47,"P")</f>
        <v>20</v>
      </c>
    </row>
    <row r="50" spans="2:3" x14ac:dyDescent="0.3">
      <c r="B50" s="2" t="s">
        <v>363</v>
      </c>
      <c r="C50">
        <f>SUM(C48:C49)</f>
        <v>40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40:B45" xr:uid="{00000000-0002-0000-1300-000000000000}"/>
  </dataValidations>
  <pageMargins left="0.34375" right="0.21875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50"/>
  <sheetViews>
    <sheetView view="pageLayout" topLeftCell="A19" zoomScaleNormal="100" workbookViewId="0">
      <selection activeCell="M8" sqref="M8"/>
    </sheetView>
  </sheetViews>
  <sheetFormatPr defaultRowHeight="14.4" x14ac:dyDescent="0.3"/>
  <cols>
    <col min="1" max="1" width="4.44140625" customWidth="1"/>
    <col min="2" max="2" width="28.6640625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1342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1338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17" t="s">
        <v>753</v>
      </c>
      <c r="C7" s="15" t="s">
        <v>790</v>
      </c>
      <c r="D7" s="5" t="s">
        <v>52</v>
      </c>
      <c r="E7" s="68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754</v>
      </c>
      <c r="C8" s="15" t="s">
        <v>791</v>
      </c>
      <c r="D8" s="5" t="s">
        <v>53</v>
      </c>
      <c r="E8" s="68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23" t="s">
        <v>755</v>
      </c>
      <c r="C9" s="15" t="s">
        <v>792</v>
      </c>
      <c r="D9" s="7" t="s">
        <v>52</v>
      </c>
      <c r="E9" s="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756</v>
      </c>
      <c r="C10" s="15" t="s">
        <v>793</v>
      </c>
      <c r="D10" s="5" t="s">
        <v>53</v>
      </c>
      <c r="E10" s="68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757</v>
      </c>
      <c r="C11" s="15" t="s">
        <v>794</v>
      </c>
      <c r="D11" s="20" t="s">
        <v>53</v>
      </c>
      <c r="E11" s="68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758</v>
      </c>
      <c r="C12" s="15" t="s">
        <v>795</v>
      </c>
      <c r="D12" s="20" t="s">
        <v>53</v>
      </c>
      <c r="E12" s="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15" t="s">
        <v>759</v>
      </c>
      <c r="C13" s="15" t="s">
        <v>796</v>
      </c>
      <c r="D13" s="5" t="s">
        <v>53</v>
      </c>
      <c r="E13" s="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15" t="s">
        <v>760</v>
      </c>
      <c r="C14" s="15" t="s">
        <v>797</v>
      </c>
      <c r="D14" s="20" t="s">
        <v>53</v>
      </c>
      <c r="E14" s="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761</v>
      </c>
      <c r="C15" s="15" t="s">
        <v>798</v>
      </c>
      <c r="D15" s="20" t="s">
        <v>53</v>
      </c>
      <c r="E15" s="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69" t="s">
        <v>762</v>
      </c>
      <c r="C16" s="15" t="s">
        <v>799</v>
      </c>
      <c r="D16" s="5" t="s">
        <v>52</v>
      </c>
      <c r="E16" s="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763</v>
      </c>
      <c r="C17" s="15" t="s">
        <v>800</v>
      </c>
      <c r="D17" s="5" t="s">
        <v>53</v>
      </c>
      <c r="E17" s="49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7" t="s">
        <v>764</v>
      </c>
      <c r="C18" s="15" t="s">
        <v>801</v>
      </c>
      <c r="D18" s="5" t="s">
        <v>53</v>
      </c>
      <c r="E18" s="54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765</v>
      </c>
      <c r="C19" s="15" t="s">
        <v>802</v>
      </c>
      <c r="D19" s="20" t="s">
        <v>52</v>
      </c>
      <c r="E19" s="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1" t="s">
        <v>1339</v>
      </c>
      <c r="C20" s="15" t="s">
        <v>803</v>
      </c>
      <c r="D20" s="20" t="s">
        <v>52</v>
      </c>
      <c r="E20" s="5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52" t="s">
        <v>1606</v>
      </c>
      <c r="C21" s="15" t="s">
        <v>804</v>
      </c>
      <c r="D21" s="5" t="s">
        <v>52</v>
      </c>
      <c r="E21" s="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766</v>
      </c>
      <c r="C22" s="15" t="s">
        <v>805</v>
      </c>
      <c r="D22" s="20" t="s">
        <v>52</v>
      </c>
      <c r="E22" s="5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15" t="s">
        <v>767</v>
      </c>
      <c r="C23" s="15" t="s">
        <v>806</v>
      </c>
      <c r="D23" s="5" t="s">
        <v>52</v>
      </c>
      <c r="E23" s="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768</v>
      </c>
      <c r="C24" s="15" t="s">
        <v>807</v>
      </c>
      <c r="D24" s="20" t="s">
        <v>52</v>
      </c>
      <c r="E24" s="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769</v>
      </c>
      <c r="C25" s="15" t="s">
        <v>808</v>
      </c>
      <c r="D25" s="5" t="s">
        <v>52</v>
      </c>
      <c r="E25" s="6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23" t="s">
        <v>770</v>
      </c>
      <c r="C26" s="15" t="s">
        <v>809</v>
      </c>
      <c r="D26" s="7" t="s">
        <v>52</v>
      </c>
      <c r="E26" s="49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23" t="s">
        <v>771</v>
      </c>
      <c r="C27" s="15" t="s">
        <v>810</v>
      </c>
      <c r="D27" s="7" t="s">
        <v>53</v>
      </c>
      <c r="E27" s="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772</v>
      </c>
      <c r="C28" s="15" t="s">
        <v>811</v>
      </c>
      <c r="D28" s="5" t="s">
        <v>52</v>
      </c>
      <c r="E28" s="54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773</v>
      </c>
      <c r="C29" s="15" t="s">
        <v>812</v>
      </c>
      <c r="D29" s="20" t="s">
        <v>52</v>
      </c>
      <c r="E29" s="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5" t="s">
        <v>774</v>
      </c>
      <c r="C30" s="15" t="s">
        <v>813</v>
      </c>
      <c r="D30" s="20" t="s">
        <v>53</v>
      </c>
      <c r="E30" s="49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69" t="s">
        <v>775</v>
      </c>
      <c r="C31" s="15" t="s">
        <v>814</v>
      </c>
      <c r="D31" s="5" t="s">
        <v>52</v>
      </c>
      <c r="E31" s="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776</v>
      </c>
      <c r="C32" s="15" t="s">
        <v>815</v>
      </c>
      <c r="D32" s="5" t="s">
        <v>52</v>
      </c>
      <c r="E32" s="6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15" t="s">
        <v>777</v>
      </c>
      <c r="C33" s="15" t="s">
        <v>816</v>
      </c>
      <c r="D33" s="20" t="s">
        <v>52</v>
      </c>
      <c r="E33" s="68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15" t="s">
        <v>778</v>
      </c>
      <c r="C34" s="15" t="s">
        <v>817</v>
      </c>
      <c r="D34" s="5" t="s">
        <v>52</v>
      </c>
      <c r="E34" s="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15" t="s">
        <v>779</v>
      </c>
      <c r="C35" s="15" t="s">
        <v>818</v>
      </c>
      <c r="D35" s="5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780</v>
      </c>
      <c r="C36" s="15" t="s">
        <v>819</v>
      </c>
      <c r="D36" s="20" t="s">
        <v>53</v>
      </c>
      <c r="E36" s="6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23" t="s">
        <v>781</v>
      </c>
      <c r="C37" s="15" t="s">
        <v>820</v>
      </c>
      <c r="D37" s="7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15" t="s">
        <v>782</v>
      </c>
      <c r="C38" s="15" t="s">
        <v>821</v>
      </c>
      <c r="D38" s="20" t="s">
        <v>53</v>
      </c>
      <c r="E38" s="6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783</v>
      </c>
      <c r="C39" s="15" t="s">
        <v>822</v>
      </c>
      <c r="D39" s="5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784</v>
      </c>
      <c r="C40" s="15" t="s">
        <v>823</v>
      </c>
      <c r="D40" s="20" t="s">
        <v>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15" t="s">
        <v>785</v>
      </c>
      <c r="C41" s="15" t="s">
        <v>824</v>
      </c>
      <c r="D41" s="20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5" t="s">
        <v>786</v>
      </c>
      <c r="C42" s="15" t="s">
        <v>825</v>
      </c>
      <c r="D42" s="20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787</v>
      </c>
      <c r="C43" s="15" t="s">
        <v>826</v>
      </c>
      <c r="D43" s="20" t="s">
        <v>53</v>
      </c>
      <c r="E43" s="68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 t="s">
        <v>1394</v>
      </c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15" t="s">
        <v>788</v>
      </c>
      <c r="C44" s="15" t="s">
        <v>827</v>
      </c>
      <c r="D44" s="20" t="s">
        <v>52</v>
      </c>
      <c r="E44" s="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789</v>
      </c>
      <c r="C45" s="15" t="s">
        <v>828</v>
      </c>
      <c r="D45" s="20" t="s">
        <v>52</v>
      </c>
      <c r="E45" s="68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53" t="s">
        <v>1607</v>
      </c>
      <c r="C46" s="15" t="s">
        <v>829</v>
      </c>
      <c r="D46" s="30" t="s">
        <v>53</v>
      </c>
      <c r="E46" s="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3">
      <c r="B48" s="2" t="s">
        <v>52</v>
      </c>
      <c r="C48">
        <f>COUNTIF(D7:D46,"L")</f>
        <v>20</v>
      </c>
    </row>
    <row r="49" spans="2:3" x14ac:dyDescent="0.3">
      <c r="B49" s="2" t="s">
        <v>53</v>
      </c>
      <c r="C49">
        <f>COUNTIF(D8:D47,"P")</f>
        <v>20</v>
      </c>
    </row>
    <row r="50" spans="2:3" x14ac:dyDescent="0.3">
      <c r="B50" s="2" t="s">
        <v>363</v>
      </c>
      <c r="C50">
        <f>SUM(C48:C49)</f>
        <v>40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400-000000000000}"/>
  </dataValidations>
  <pageMargins left="0.20833333333333334" right="0.34375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50"/>
  <sheetViews>
    <sheetView view="pageLayout" topLeftCell="A4" zoomScaleNormal="100" workbookViewId="0">
      <selection activeCell="F8" sqref="F8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981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15" t="s">
        <v>830</v>
      </c>
      <c r="C7" s="15" t="s">
        <v>1392</v>
      </c>
      <c r="D7" s="5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831</v>
      </c>
      <c r="C8" s="15" t="s">
        <v>868</v>
      </c>
      <c r="D8" s="5" t="s">
        <v>52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32" t="s">
        <v>832</v>
      </c>
      <c r="C9" s="15" t="s">
        <v>869</v>
      </c>
      <c r="D9" s="34" t="s">
        <v>52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2" t="s">
        <v>833</v>
      </c>
      <c r="C10" s="15" t="s">
        <v>870</v>
      </c>
      <c r="D10" s="34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834</v>
      </c>
      <c r="C11" s="15" t="s">
        <v>871</v>
      </c>
      <c r="D11" s="34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835</v>
      </c>
      <c r="C12" s="15" t="s">
        <v>872</v>
      </c>
      <c r="D12" s="5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836</v>
      </c>
      <c r="C13" s="15" t="s">
        <v>873</v>
      </c>
      <c r="D13" s="34" t="s">
        <v>53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378</v>
      </c>
      <c r="C14" s="15" t="s">
        <v>873</v>
      </c>
      <c r="D14" s="34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32" t="s">
        <v>837</v>
      </c>
      <c r="C15" s="15" t="s">
        <v>874</v>
      </c>
      <c r="D15" s="34" t="s">
        <v>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32" t="s">
        <v>838</v>
      </c>
      <c r="C16" s="15" t="s">
        <v>875</v>
      </c>
      <c r="D16" s="34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32" t="s">
        <v>839</v>
      </c>
      <c r="C17" s="15" t="s">
        <v>876</v>
      </c>
      <c r="D17" s="5" t="s">
        <v>52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840</v>
      </c>
      <c r="C18" s="15" t="s">
        <v>877</v>
      </c>
      <c r="D18" s="34" t="s">
        <v>53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841</v>
      </c>
      <c r="C19" s="15" t="s">
        <v>878</v>
      </c>
      <c r="D19" s="34" t="s">
        <v>52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842</v>
      </c>
      <c r="C20" s="15" t="s">
        <v>879</v>
      </c>
      <c r="D20" s="5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2" t="s">
        <v>843</v>
      </c>
      <c r="C21" s="15" t="s">
        <v>880</v>
      </c>
      <c r="D21" s="5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844</v>
      </c>
      <c r="C22" s="15" t="s">
        <v>881</v>
      </c>
      <c r="D22" s="34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845</v>
      </c>
      <c r="C23" s="15" t="s">
        <v>881</v>
      </c>
      <c r="D23" s="5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32" t="s">
        <v>846</v>
      </c>
      <c r="C24" s="15" t="s">
        <v>882</v>
      </c>
      <c r="D24" s="34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847</v>
      </c>
      <c r="C25" s="15" t="s">
        <v>883</v>
      </c>
      <c r="D25" s="34" t="s">
        <v>53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2" t="s">
        <v>848</v>
      </c>
      <c r="C26" s="15" t="s">
        <v>884</v>
      </c>
      <c r="D26" s="5" t="s">
        <v>53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32" t="s">
        <v>849</v>
      </c>
      <c r="C27" s="15" t="s">
        <v>885</v>
      </c>
      <c r="D27" s="35" t="s">
        <v>53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33" t="s">
        <v>850</v>
      </c>
      <c r="C28" s="15" t="s">
        <v>886</v>
      </c>
      <c r="D28" s="34" t="s">
        <v>53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32" t="s">
        <v>851</v>
      </c>
      <c r="C29" s="15" t="s">
        <v>887</v>
      </c>
      <c r="D29" s="35" t="s">
        <v>53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2" t="s">
        <v>852</v>
      </c>
      <c r="C30" s="15" t="s">
        <v>888</v>
      </c>
      <c r="D30" s="34" t="s">
        <v>52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15" t="s">
        <v>853</v>
      </c>
      <c r="C31" s="15" t="s">
        <v>889</v>
      </c>
      <c r="D31" s="34" t="s">
        <v>52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2" t="s">
        <v>854</v>
      </c>
      <c r="C32" s="15" t="s">
        <v>889</v>
      </c>
      <c r="D32" s="5" t="s">
        <v>53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855</v>
      </c>
      <c r="C33" s="15" t="s">
        <v>890</v>
      </c>
      <c r="D33" s="34" t="s">
        <v>52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856</v>
      </c>
      <c r="C34" s="15" t="s">
        <v>891</v>
      </c>
      <c r="D34" s="34" t="s">
        <v>52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857</v>
      </c>
      <c r="C35" s="15" t="s">
        <v>892</v>
      </c>
      <c r="D35" s="34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3" t="s">
        <v>858</v>
      </c>
      <c r="C36" s="15" t="s">
        <v>893</v>
      </c>
      <c r="D36" s="34" t="s">
        <v>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859</v>
      </c>
      <c r="C37" s="15" t="s">
        <v>894</v>
      </c>
      <c r="D37" s="35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2" t="s">
        <v>860</v>
      </c>
      <c r="C38" s="15" t="s">
        <v>895</v>
      </c>
      <c r="D38" s="34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32" t="s">
        <v>861</v>
      </c>
      <c r="C39" s="15" t="s">
        <v>896</v>
      </c>
      <c r="D39" s="34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33" t="s">
        <v>862</v>
      </c>
      <c r="C40" s="15" t="s">
        <v>897</v>
      </c>
      <c r="D40" s="34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863</v>
      </c>
      <c r="C41" s="15" t="s">
        <v>898</v>
      </c>
      <c r="D41" s="35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2" t="s">
        <v>864</v>
      </c>
      <c r="C42" s="15" t="s">
        <v>898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32" t="s">
        <v>865</v>
      </c>
      <c r="C43" s="15" t="s">
        <v>899</v>
      </c>
      <c r="D43" s="34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2" t="s">
        <v>866</v>
      </c>
      <c r="C44" s="15" t="s">
        <v>900</v>
      </c>
      <c r="D44" s="34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32" t="s">
        <v>867</v>
      </c>
      <c r="C45" s="15" t="s">
        <v>901</v>
      </c>
      <c r="D45" s="34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3"/>
      <c r="C46" s="15"/>
      <c r="D46" s="30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3">
      <c r="B48" s="2" t="s">
        <v>52</v>
      </c>
      <c r="C48">
        <f>COUNTIF(D7:D46,"L")</f>
        <v>16</v>
      </c>
    </row>
    <row r="49" spans="2:3" x14ac:dyDescent="0.3">
      <c r="B49" s="2" t="s">
        <v>53</v>
      </c>
      <c r="C49">
        <f>COUNTIF(D8:D47,"P")</f>
        <v>23</v>
      </c>
    </row>
    <row r="50" spans="2:3" x14ac:dyDescent="0.3">
      <c r="B50" s="2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500-000000000000}"/>
  </dataValidations>
  <pageMargins left="0.32291666666666669" right="0.17708333333333334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50"/>
  <sheetViews>
    <sheetView view="pageLayout" zoomScaleNormal="100" workbookViewId="0">
      <selection activeCell="A3" sqref="A1:W1048576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902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6" t="s">
        <v>903</v>
      </c>
      <c r="C7" s="37" t="s">
        <v>944</v>
      </c>
      <c r="D7" s="38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32" t="s">
        <v>904</v>
      </c>
      <c r="C8" s="37" t="s">
        <v>945</v>
      </c>
      <c r="D8" s="34" t="s">
        <v>52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5" t="s">
        <v>905</v>
      </c>
      <c r="C9" s="37" t="s">
        <v>946</v>
      </c>
      <c r="D9" s="5" t="s">
        <v>53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6" t="s">
        <v>906</v>
      </c>
      <c r="C10" s="37" t="s">
        <v>947</v>
      </c>
      <c r="D10" s="38" t="s">
        <v>52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907</v>
      </c>
      <c r="C11" s="37" t="s">
        <v>948</v>
      </c>
      <c r="D11" s="5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908</v>
      </c>
      <c r="C12" s="37" t="s">
        <v>949</v>
      </c>
      <c r="D12" s="34" t="s">
        <v>52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909</v>
      </c>
      <c r="C13" s="37" t="s">
        <v>949</v>
      </c>
      <c r="D13" s="34" t="s">
        <v>52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910</v>
      </c>
      <c r="C14" s="37" t="s">
        <v>950</v>
      </c>
      <c r="D14" s="34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32" t="s">
        <v>911</v>
      </c>
      <c r="C15" s="37" t="s">
        <v>951</v>
      </c>
      <c r="D15" s="34" t="s">
        <v>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32" t="s">
        <v>912</v>
      </c>
      <c r="C16" s="37" t="s">
        <v>952</v>
      </c>
      <c r="D16" s="34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32" t="s">
        <v>913</v>
      </c>
      <c r="C17" s="37" t="s">
        <v>953</v>
      </c>
      <c r="D17" s="34" t="s">
        <v>52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914</v>
      </c>
      <c r="C18" s="37" t="s">
        <v>954</v>
      </c>
      <c r="D18" s="34" t="s">
        <v>53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915</v>
      </c>
      <c r="C19" s="37" t="s">
        <v>955</v>
      </c>
      <c r="D19" s="5" t="s">
        <v>52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2" t="s">
        <v>916</v>
      </c>
      <c r="C20" s="37" t="s">
        <v>956</v>
      </c>
      <c r="D20" s="34" t="s">
        <v>53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15" t="s">
        <v>917</v>
      </c>
      <c r="C21" s="37" t="s">
        <v>957</v>
      </c>
      <c r="D21" s="5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32" t="s">
        <v>918</v>
      </c>
      <c r="C22" s="37" t="s">
        <v>957</v>
      </c>
      <c r="D22" s="34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919</v>
      </c>
      <c r="C23" s="37" t="s">
        <v>958</v>
      </c>
      <c r="D23" s="34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32" t="s">
        <v>920</v>
      </c>
      <c r="C24" s="37" t="s">
        <v>959</v>
      </c>
      <c r="D24" s="34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33" t="s">
        <v>921</v>
      </c>
      <c r="C25" s="37" t="s">
        <v>960</v>
      </c>
      <c r="D25" s="35" t="s">
        <v>52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2" t="s">
        <v>922</v>
      </c>
      <c r="C26" s="37" t="s">
        <v>961</v>
      </c>
      <c r="D26" s="34" t="s">
        <v>53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32" t="s">
        <v>923</v>
      </c>
      <c r="C27" s="37" t="s">
        <v>962</v>
      </c>
      <c r="D27" s="34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32" t="s">
        <v>924</v>
      </c>
      <c r="C28" s="37" t="s">
        <v>963</v>
      </c>
      <c r="D28" s="34" t="s">
        <v>53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33" t="s">
        <v>925</v>
      </c>
      <c r="C29" s="37" t="s">
        <v>964</v>
      </c>
      <c r="D29" s="35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2" t="s">
        <v>926</v>
      </c>
      <c r="C30" s="37" t="s">
        <v>965</v>
      </c>
      <c r="D30" s="34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32" t="s">
        <v>927</v>
      </c>
      <c r="C31" s="37" t="s">
        <v>966</v>
      </c>
      <c r="D31" s="34" t="s">
        <v>52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2" t="s">
        <v>928</v>
      </c>
      <c r="C32" s="37" t="s">
        <v>966</v>
      </c>
      <c r="D32" s="34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929</v>
      </c>
      <c r="C33" s="37" t="s">
        <v>967</v>
      </c>
      <c r="D33" s="34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3" t="s">
        <v>930</v>
      </c>
      <c r="C34" s="37" t="s">
        <v>968</v>
      </c>
      <c r="D34" s="35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931</v>
      </c>
      <c r="C35" s="37" t="s">
        <v>969</v>
      </c>
      <c r="D35" s="34" t="s">
        <v>52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2" t="s">
        <v>932</v>
      </c>
      <c r="C36" s="37" t="s">
        <v>970</v>
      </c>
      <c r="D36" s="34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933</v>
      </c>
      <c r="C37" s="37" t="s">
        <v>971</v>
      </c>
      <c r="D37" s="34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2" t="s">
        <v>934</v>
      </c>
      <c r="C38" s="37" t="s">
        <v>972</v>
      </c>
      <c r="D38" s="34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935</v>
      </c>
      <c r="C39" s="37" t="s">
        <v>973</v>
      </c>
      <c r="D39" s="34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936</v>
      </c>
      <c r="C40" s="37" t="s">
        <v>974</v>
      </c>
      <c r="D40" s="5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937</v>
      </c>
      <c r="C41" s="37" t="s">
        <v>975</v>
      </c>
      <c r="D41" s="5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3" t="s">
        <v>938</v>
      </c>
      <c r="C42" s="37" t="s">
        <v>975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939</v>
      </c>
      <c r="C43" s="37" t="s">
        <v>976</v>
      </c>
      <c r="D43" s="35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2" t="s">
        <v>940</v>
      </c>
      <c r="C44" s="37" t="s">
        <v>977</v>
      </c>
      <c r="D44" s="5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941</v>
      </c>
      <c r="C45" s="37" t="s">
        <v>978</v>
      </c>
      <c r="D45" s="34" t="s">
        <v>52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32" t="s">
        <v>942</v>
      </c>
      <c r="C46" s="37" t="s">
        <v>979</v>
      </c>
      <c r="D46" s="5" t="s">
        <v>52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>
        <v>41</v>
      </c>
      <c r="B47" s="32" t="s">
        <v>943</v>
      </c>
      <c r="C47" s="37" t="s">
        <v>980</v>
      </c>
      <c r="D47" s="5" t="s">
        <v>53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B48" s="2" t="s">
        <v>52</v>
      </c>
      <c r="C48">
        <f>COUNTIF(D7:D46,"L")</f>
        <v>20</v>
      </c>
    </row>
    <row r="49" spans="2:3" x14ac:dyDescent="0.3">
      <c r="B49" s="2" t="s">
        <v>53</v>
      </c>
      <c r="C49">
        <f>COUNTIF(D8:D47,"P")</f>
        <v>21</v>
      </c>
    </row>
    <row r="50" spans="2:3" x14ac:dyDescent="0.3">
      <c r="B50" s="2" t="s">
        <v>363</v>
      </c>
      <c r="C50">
        <f>SUM(C48:C49)</f>
        <v>41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600-000000000000}"/>
  </dataValidations>
  <pageMargins left="0.36458333333333331" right="0.20833333333333334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50"/>
  <sheetViews>
    <sheetView view="pageLayout" topLeftCell="A16" zoomScaleNormal="100" workbookViewId="0">
      <selection activeCell="C7" sqref="C7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1050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2" t="s">
        <v>982</v>
      </c>
      <c r="C7" s="37" t="s">
        <v>1021</v>
      </c>
      <c r="D7" s="34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32" t="s">
        <v>983</v>
      </c>
      <c r="C8" s="37" t="s">
        <v>1022</v>
      </c>
      <c r="D8" s="34" t="s">
        <v>52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32" t="s">
        <v>984</v>
      </c>
      <c r="C9" s="37" t="s">
        <v>1023</v>
      </c>
      <c r="D9" s="34" t="s">
        <v>53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2" t="s">
        <v>985</v>
      </c>
      <c r="C10" s="37" t="s">
        <v>1023</v>
      </c>
      <c r="D10" s="34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32" t="s">
        <v>986</v>
      </c>
      <c r="C11" s="37" t="s">
        <v>976</v>
      </c>
      <c r="D11" s="34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987</v>
      </c>
      <c r="C12" s="37" t="s">
        <v>977</v>
      </c>
      <c r="D12" s="34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3" t="s">
        <v>988</v>
      </c>
      <c r="C13" s="37" t="s">
        <v>978</v>
      </c>
      <c r="D13" s="35" t="s">
        <v>52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989</v>
      </c>
      <c r="C14" s="37" t="s">
        <v>979</v>
      </c>
      <c r="D14" s="34" t="s">
        <v>52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990</v>
      </c>
      <c r="C15" s="37" t="s">
        <v>1024</v>
      </c>
      <c r="D15" s="5" t="s">
        <v>52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32" t="s">
        <v>991</v>
      </c>
      <c r="C16" s="37" t="s">
        <v>1022</v>
      </c>
      <c r="D16" s="34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32" t="s">
        <v>992</v>
      </c>
      <c r="C17" s="37" t="s">
        <v>1025</v>
      </c>
      <c r="D17" s="34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993</v>
      </c>
      <c r="C18" s="37" t="s">
        <v>1023</v>
      </c>
      <c r="D18" s="34" t="s">
        <v>53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32" t="s">
        <v>994</v>
      </c>
      <c r="C19" s="37" t="s">
        <v>1023</v>
      </c>
      <c r="D19" s="34" t="s">
        <v>52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15" t="s">
        <v>995</v>
      </c>
      <c r="C20" s="37" t="s">
        <v>1026</v>
      </c>
      <c r="D20" s="5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2" t="s">
        <v>996</v>
      </c>
      <c r="C21" s="37" t="s">
        <v>1027</v>
      </c>
      <c r="D21" s="34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33" t="s">
        <v>997</v>
      </c>
      <c r="C22" s="37" t="s">
        <v>1028</v>
      </c>
      <c r="D22" s="35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998</v>
      </c>
      <c r="C23" s="37" t="s">
        <v>1029</v>
      </c>
      <c r="D23" s="34" t="s">
        <v>53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32" t="s">
        <v>999</v>
      </c>
      <c r="C24" s="37" t="s">
        <v>1030</v>
      </c>
      <c r="D24" s="34" t="s">
        <v>53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32" t="s">
        <v>1000</v>
      </c>
      <c r="C25" s="37" t="s">
        <v>1031</v>
      </c>
      <c r="D25" s="34" t="s">
        <v>52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2" t="s">
        <v>1001</v>
      </c>
      <c r="C26" s="37" t="s">
        <v>1032</v>
      </c>
      <c r="D26" s="34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1002</v>
      </c>
      <c r="C27" s="37" t="s">
        <v>1033</v>
      </c>
      <c r="D27" s="5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1003</v>
      </c>
      <c r="C28" s="37" t="s">
        <v>1034</v>
      </c>
      <c r="D28" s="5" t="s">
        <v>53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1004</v>
      </c>
      <c r="C29" s="37" t="s">
        <v>1034</v>
      </c>
      <c r="D29" s="5" t="s">
        <v>53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2" t="s">
        <v>1005</v>
      </c>
      <c r="C30" s="37" t="s">
        <v>1035</v>
      </c>
      <c r="D30" s="34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32" t="s">
        <v>1006</v>
      </c>
      <c r="C31" s="37" t="s">
        <v>1036</v>
      </c>
      <c r="D31" s="34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15" t="s">
        <v>1007</v>
      </c>
      <c r="C32" s="37" t="s">
        <v>1037</v>
      </c>
      <c r="D32" s="5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1008</v>
      </c>
      <c r="C33" s="37" t="s">
        <v>1038</v>
      </c>
      <c r="D33" s="34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1009</v>
      </c>
      <c r="C34" s="37" t="s">
        <v>1039</v>
      </c>
      <c r="D34" s="34" t="s">
        <v>52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3" t="s">
        <v>1010</v>
      </c>
      <c r="C35" s="37" t="s">
        <v>1040</v>
      </c>
      <c r="D35" s="35" t="s">
        <v>52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2" t="s">
        <v>1011</v>
      </c>
      <c r="C36" s="37" t="s">
        <v>1041</v>
      </c>
      <c r="D36" s="34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1012</v>
      </c>
      <c r="C37" s="37" t="s">
        <v>1042</v>
      </c>
      <c r="D37" s="34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2" t="s">
        <v>1013</v>
      </c>
      <c r="C38" s="37" t="s">
        <v>1042</v>
      </c>
      <c r="D38" s="34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15" t="s">
        <v>1014</v>
      </c>
      <c r="C39" s="37" t="s">
        <v>1043</v>
      </c>
      <c r="D39" s="5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1015</v>
      </c>
      <c r="C40" s="37" t="s">
        <v>1044</v>
      </c>
      <c r="D40" s="5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1016</v>
      </c>
      <c r="C41" s="37" t="s">
        <v>1045</v>
      </c>
      <c r="D41" s="34" t="s">
        <v>52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2" t="s">
        <v>1017</v>
      </c>
      <c r="C42" s="37" t="s">
        <v>1046</v>
      </c>
      <c r="D42" s="34" t="s">
        <v>52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32" t="s">
        <v>1018</v>
      </c>
      <c r="C43" s="37" t="s">
        <v>1047</v>
      </c>
      <c r="D43" s="34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3" t="s">
        <v>1019</v>
      </c>
      <c r="C44" s="37" t="s">
        <v>1048</v>
      </c>
      <c r="D44" s="35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1020</v>
      </c>
      <c r="C45" s="37" t="s">
        <v>1049</v>
      </c>
      <c r="D45" s="5" t="s">
        <v>52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/>
      <c r="B46" s="32"/>
      <c r="C46" s="37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/>
      <c r="B47" s="32"/>
      <c r="C47" s="37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B48" s="2" t="s">
        <v>52</v>
      </c>
      <c r="C48">
        <f>COUNTIF(D7:D46,"L")</f>
        <v>19</v>
      </c>
    </row>
    <row r="49" spans="2:3" x14ac:dyDescent="0.3">
      <c r="B49" s="2" t="s">
        <v>53</v>
      </c>
      <c r="C49">
        <f>COUNTIF(D8:D47,"P")</f>
        <v>20</v>
      </c>
    </row>
    <row r="50" spans="2:3" x14ac:dyDescent="0.3">
      <c r="B50" s="2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700-000000000000}"/>
  </dataValidations>
  <pageMargins left="0.28125" right="0.29166666666666669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50"/>
  <sheetViews>
    <sheetView view="pageLayout" topLeftCell="A25" zoomScaleNormal="100" workbookViewId="0">
      <selection activeCell="C35" sqref="C35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1125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2" t="s">
        <v>1051</v>
      </c>
      <c r="C7" s="37" t="s">
        <v>1090</v>
      </c>
      <c r="D7" s="34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32" t="s">
        <v>1052</v>
      </c>
      <c r="C8" s="37" t="s">
        <v>1090</v>
      </c>
      <c r="D8" s="34" t="s">
        <v>53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32" t="s">
        <v>1053</v>
      </c>
      <c r="C9" s="37" t="s">
        <v>1091</v>
      </c>
      <c r="D9" s="34" t="s">
        <v>52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2" t="s">
        <v>1054</v>
      </c>
      <c r="C10" s="37" t="s">
        <v>1092</v>
      </c>
      <c r="D10" s="34" t="s">
        <v>52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32" t="s">
        <v>1055</v>
      </c>
      <c r="C11" s="37" t="s">
        <v>1093</v>
      </c>
      <c r="D11" s="34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1056</v>
      </c>
      <c r="C12" s="37" t="s">
        <v>1094</v>
      </c>
      <c r="D12" s="5" t="s">
        <v>52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1057</v>
      </c>
      <c r="C13" s="37" t="s">
        <v>1095</v>
      </c>
      <c r="D13" s="34" t="s">
        <v>53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1058</v>
      </c>
      <c r="C14" s="37" t="s">
        <v>1096</v>
      </c>
      <c r="D14" s="5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32" t="s">
        <v>1059</v>
      </c>
      <c r="C15" s="37" t="s">
        <v>1097</v>
      </c>
      <c r="D15" s="34" t="s">
        <v>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32" t="s">
        <v>1060</v>
      </c>
      <c r="C16" s="37" t="s">
        <v>1097</v>
      </c>
      <c r="D16" s="34" t="s">
        <v>52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32" t="s">
        <v>1061</v>
      </c>
      <c r="C17" s="37" t="s">
        <v>1098</v>
      </c>
      <c r="D17" s="5" t="s">
        <v>52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1062</v>
      </c>
      <c r="C18" s="37" t="s">
        <v>1099</v>
      </c>
      <c r="D18" s="34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32" t="s">
        <v>1063</v>
      </c>
      <c r="C19" s="37" t="s">
        <v>1100</v>
      </c>
      <c r="D19" s="34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2" t="s">
        <v>1064</v>
      </c>
      <c r="C20" s="37" t="s">
        <v>1101</v>
      </c>
      <c r="D20" s="34" t="s">
        <v>53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2" t="s">
        <v>1065</v>
      </c>
      <c r="C21" s="37" t="s">
        <v>1102</v>
      </c>
      <c r="D21" s="34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32" t="s">
        <v>1066</v>
      </c>
      <c r="C22" s="37" t="s">
        <v>1103</v>
      </c>
      <c r="D22" s="34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1067</v>
      </c>
      <c r="C23" s="37" t="s">
        <v>1104</v>
      </c>
      <c r="D23" s="34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1068</v>
      </c>
      <c r="C24" s="37" t="s">
        <v>1105</v>
      </c>
      <c r="D24" s="34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33" t="s">
        <v>1069</v>
      </c>
      <c r="C25" s="37" t="s">
        <v>1105</v>
      </c>
      <c r="D25" s="34" t="s">
        <v>53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2" t="s">
        <v>1070</v>
      </c>
      <c r="C26" s="37" t="s">
        <v>1106</v>
      </c>
      <c r="D26" s="5" t="s">
        <v>1124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1071</v>
      </c>
      <c r="C27" s="37" t="s">
        <v>1107</v>
      </c>
      <c r="D27" s="35" t="s">
        <v>53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33" t="s">
        <v>1072</v>
      </c>
      <c r="C28" s="37" t="s">
        <v>1108</v>
      </c>
      <c r="D28" s="39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33" t="s">
        <v>1073</v>
      </c>
      <c r="C29" s="37" t="s">
        <v>1109</v>
      </c>
      <c r="D29" s="5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15" t="s">
        <v>1074</v>
      </c>
      <c r="C30" s="37" t="s">
        <v>1110</v>
      </c>
      <c r="D30" s="35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32" t="s">
        <v>1075</v>
      </c>
      <c r="C31" s="37" t="s">
        <v>1111</v>
      </c>
      <c r="D31" s="35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2" t="s">
        <v>1076</v>
      </c>
      <c r="C32" s="37" t="s">
        <v>1112</v>
      </c>
      <c r="D32" s="5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1077</v>
      </c>
      <c r="C33" s="37" t="s">
        <v>1113</v>
      </c>
      <c r="D33" s="34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1078</v>
      </c>
      <c r="C34" s="37" t="s">
        <v>1114</v>
      </c>
      <c r="D34" s="34" t="s">
        <v>52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1079</v>
      </c>
      <c r="C35" s="37" t="s">
        <v>1114</v>
      </c>
      <c r="D35" s="34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2" t="s">
        <v>1080</v>
      </c>
      <c r="C36" s="37" t="s">
        <v>1115</v>
      </c>
      <c r="D36" s="34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1081</v>
      </c>
      <c r="C37" s="37" t="s">
        <v>1116</v>
      </c>
      <c r="D37" s="34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3" t="s">
        <v>1082</v>
      </c>
      <c r="C38" s="37" t="s">
        <v>1117</v>
      </c>
      <c r="D38" s="34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32" t="s">
        <v>1083</v>
      </c>
      <c r="C39" s="37" t="s">
        <v>1118</v>
      </c>
      <c r="D39" s="34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32" t="s">
        <v>1084</v>
      </c>
      <c r="C40" s="37" t="s">
        <v>1119</v>
      </c>
      <c r="D40" s="35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1085</v>
      </c>
      <c r="C41" s="37" t="s">
        <v>1120</v>
      </c>
      <c r="D41" s="34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15" t="s">
        <v>1086</v>
      </c>
      <c r="C42" s="37" t="s">
        <v>1121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15" t="s">
        <v>1087</v>
      </c>
      <c r="C43" s="37" t="s">
        <v>1122</v>
      </c>
      <c r="D43" s="34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15" t="s">
        <v>1088</v>
      </c>
      <c r="C44" s="37" t="s">
        <v>1123</v>
      </c>
      <c r="D44" s="34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1089</v>
      </c>
      <c r="C45" s="37" t="s">
        <v>1123</v>
      </c>
      <c r="D45" s="5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/>
      <c r="B46" s="32"/>
      <c r="C46" s="37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/>
      <c r="B47" s="32"/>
      <c r="C47" s="37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B48" s="2" t="s">
        <v>52</v>
      </c>
      <c r="C48">
        <f>COUNTIF(D7:D46,"L")</f>
        <v>17</v>
      </c>
    </row>
    <row r="49" spans="2:3" x14ac:dyDescent="0.3">
      <c r="B49" s="2" t="s">
        <v>53</v>
      </c>
      <c r="C49">
        <f>COUNTIF(D8:D47,"P")</f>
        <v>22</v>
      </c>
    </row>
    <row r="50" spans="2:3" x14ac:dyDescent="0.3">
      <c r="B50" s="2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800-000000000000}"/>
  </dataValidations>
  <pageMargins left="0.375" right="0.30208333333333331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W50"/>
  <sheetViews>
    <sheetView view="pageLayout" zoomScaleNormal="100" workbookViewId="0">
      <selection activeCell="A3" sqref="A1:W1048576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2" t="s">
        <v>1126</v>
      </c>
      <c r="C7" s="37" t="s">
        <v>1164</v>
      </c>
      <c r="D7" s="34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32" t="s">
        <v>1127</v>
      </c>
      <c r="C8" s="37" t="s">
        <v>1165</v>
      </c>
      <c r="D8" s="34" t="s">
        <v>52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32" t="s">
        <v>1128</v>
      </c>
      <c r="C9" s="37" t="s">
        <v>1166</v>
      </c>
      <c r="D9" s="34" t="s">
        <v>52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3" t="s">
        <v>1129</v>
      </c>
      <c r="C10" s="37" t="s">
        <v>1167</v>
      </c>
      <c r="D10" s="35" t="s">
        <v>52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32" t="s">
        <v>1130</v>
      </c>
      <c r="C11" s="37" t="s">
        <v>1168</v>
      </c>
      <c r="D11" s="34" t="s">
        <v>53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1131</v>
      </c>
      <c r="C12" s="37" t="s">
        <v>1169</v>
      </c>
      <c r="D12" s="34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1132</v>
      </c>
      <c r="C13" s="37" t="s">
        <v>1170</v>
      </c>
      <c r="D13" s="34" t="s">
        <v>52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1133</v>
      </c>
      <c r="C14" s="37" t="s">
        <v>1171</v>
      </c>
      <c r="D14" s="34" t="s">
        <v>52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15" t="s">
        <v>1134</v>
      </c>
      <c r="C15" s="37" t="s">
        <v>1171</v>
      </c>
      <c r="D15" s="5" t="s">
        <v>52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33" t="s">
        <v>1135</v>
      </c>
      <c r="C16" s="37" t="s">
        <v>1172</v>
      </c>
      <c r="D16" s="35" t="s">
        <v>52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32" t="s">
        <v>1136</v>
      </c>
      <c r="C17" s="37" t="s">
        <v>1173</v>
      </c>
      <c r="D17" s="34" t="s">
        <v>52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1137</v>
      </c>
      <c r="C18" s="37" t="s">
        <v>1174</v>
      </c>
      <c r="D18" s="34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1138</v>
      </c>
      <c r="C19" s="37" t="s">
        <v>1175</v>
      </c>
      <c r="D19" s="5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2" t="s">
        <v>1139</v>
      </c>
      <c r="C20" s="37" t="s">
        <v>1176</v>
      </c>
      <c r="D20" s="34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3" t="s">
        <v>1140</v>
      </c>
      <c r="C21" s="37" t="s">
        <v>1177</v>
      </c>
      <c r="D21" s="35" t="s">
        <v>53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15" t="s">
        <v>1141</v>
      </c>
      <c r="C22" s="37" t="s">
        <v>1178</v>
      </c>
      <c r="D22" s="5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1142</v>
      </c>
      <c r="C23" s="37" t="s">
        <v>1179</v>
      </c>
      <c r="D23" s="34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32" t="s">
        <v>1143</v>
      </c>
      <c r="C24" s="37" t="s">
        <v>1180</v>
      </c>
      <c r="D24" s="34" t="s">
        <v>53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32" t="s">
        <v>1144</v>
      </c>
      <c r="C25" s="37" t="s">
        <v>1180</v>
      </c>
      <c r="D25" s="34" t="s">
        <v>52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2" t="s">
        <v>1145</v>
      </c>
      <c r="C26" s="37" t="s">
        <v>1172</v>
      </c>
      <c r="D26" s="34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1146</v>
      </c>
      <c r="C27" s="37" t="s">
        <v>1173</v>
      </c>
      <c r="D27" s="5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15" t="s">
        <v>1147</v>
      </c>
      <c r="C28" s="37" t="s">
        <v>1174</v>
      </c>
      <c r="D28" s="5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15" t="s">
        <v>1148</v>
      </c>
      <c r="C29" s="37" t="s">
        <v>1175</v>
      </c>
      <c r="D29" s="5" t="s">
        <v>53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2" t="s">
        <v>1149</v>
      </c>
      <c r="C30" s="37" t="s">
        <v>1176</v>
      </c>
      <c r="D30" s="34" t="s">
        <v>53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32" t="s">
        <v>1150</v>
      </c>
      <c r="C31" s="37" t="s">
        <v>1177</v>
      </c>
      <c r="D31" s="34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2" t="s">
        <v>1151</v>
      </c>
      <c r="C32" s="37" t="s">
        <v>1178</v>
      </c>
      <c r="D32" s="34" t="s">
        <v>52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1152</v>
      </c>
      <c r="C33" s="37" t="s">
        <v>1179</v>
      </c>
      <c r="D33" s="34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1153</v>
      </c>
      <c r="C34" s="37" t="s">
        <v>1180</v>
      </c>
      <c r="D34" s="34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1088</v>
      </c>
      <c r="C35" s="37" t="s">
        <v>1180</v>
      </c>
      <c r="D35" s="34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15" t="s">
        <v>1154</v>
      </c>
      <c r="C36" s="37" t="s">
        <v>1181</v>
      </c>
      <c r="D36" s="34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1155</v>
      </c>
      <c r="C37" s="37" t="s">
        <v>1182</v>
      </c>
      <c r="D37" s="34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2" t="s">
        <v>1156</v>
      </c>
      <c r="C38" s="37" t="s">
        <v>1183</v>
      </c>
      <c r="D38" s="5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32" t="s">
        <v>1157</v>
      </c>
      <c r="C39" s="37" t="s">
        <v>1184</v>
      </c>
      <c r="D39" s="34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32" t="s">
        <v>1158</v>
      </c>
      <c r="C40" s="37" t="s">
        <v>1185</v>
      </c>
      <c r="D40" s="34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1159</v>
      </c>
      <c r="C41" s="37" t="s">
        <v>1186</v>
      </c>
      <c r="D41" s="34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3" t="s">
        <v>1160</v>
      </c>
      <c r="C42" s="37" t="s">
        <v>1187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32" t="s">
        <v>1161</v>
      </c>
      <c r="C43" s="37" t="s">
        <v>1188</v>
      </c>
      <c r="D43" s="34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2" t="s">
        <v>1162</v>
      </c>
      <c r="C44" s="37" t="s">
        <v>1189</v>
      </c>
      <c r="D44" s="35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32" t="s">
        <v>1163</v>
      </c>
      <c r="C45" s="37" t="s">
        <v>1190</v>
      </c>
      <c r="D45" s="34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/>
      <c r="B46" s="32"/>
      <c r="C46" s="37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/>
      <c r="B47" s="32"/>
      <c r="C47" s="37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B48" s="2" t="s">
        <v>52</v>
      </c>
      <c r="C48">
        <f>COUNTIF(D7:D46,"L")</f>
        <v>19</v>
      </c>
    </row>
    <row r="49" spans="2:3" x14ac:dyDescent="0.3">
      <c r="B49" s="2" t="s">
        <v>53</v>
      </c>
      <c r="C49">
        <f>COUNTIF(D8:D47,"P")</f>
        <v>20</v>
      </c>
    </row>
    <row r="50" spans="2:3" x14ac:dyDescent="0.3">
      <c r="B50" s="2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900-000000000000}"/>
  </dataValidations>
  <pageMargins left="0.3125" right="0.39583333333333331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50"/>
  <sheetViews>
    <sheetView view="pageLayout" topLeftCell="A19" zoomScaleNormal="100" workbookViewId="0">
      <selection activeCell="M32" sqref="M32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1271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2" t="s">
        <v>1192</v>
      </c>
      <c r="C7" s="37" t="s">
        <v>1234</v>
      </c>
      <c r="D7" s="34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32" t="s">
        <v>1193</v>
      </c>
      <c r="C8" s="37" t="s">
        <v>1270</v>
      </c>
      <c r="D8" s="34" t="s">
        <v>53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32" t="s">
        <v>1194</v>
      </c>
      <c r="C9" s="37" t="s">
        <v>1235</v>
      </c>
      <c r="D9" s="34" t="s">
        <v>53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15" t="s">
        <v>1195</v>
      </c>
      <c r="C10" s="37" t="s">
        <v>1236</v>
      </c>
      <c r="D10" s="5" t="s">
        <v>52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15" t="s">
        <v>1196</v>
      </c>
      <c r="C11" s="37" t="s">
        <v>1237</v>
      </c>
      <c r="D11" s="5" t="s">
        <v>52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15" t="s">
        <v>1197</v>
      </c>
      <c r="C12" s="37" t="s">
        <v>1238</v>
      </c>
      <c r="D12" s="5" t="s">
        <v>52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1198</v>
      </c>
      <c r="C13" s="37" t="s">
        <v>1239</v>
      </c>
      <c r="D13" s="34" t="s">
        <v>52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1199</v>
      </c>
      <c r="C14" s="37" t="s">
        <v>1240</v>
      </c>
      <c r="D14" s="34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32" t="s">
        <v>1200</v>
      </c>
      <c r="C15" s="37" t="s">
        <v>1241</v>
      </c>
      <c r="D15" s="34" t="s">
        <v>53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1201</v>
      </c>
      <c r="C16" s="37" t="s">
        <v>1241</v>
      </c>
      <c r="D16" s="5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1202</v>
      </c>
      <c r="C17" s="37" t="s">
        <v>1242</v>
      </c>
      <c r="D17" s="5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32" t="s">
        <v>1203</v>
      </c>
      <c r="C18" s="37" t="s">
        <v>1243</v>
      </c>
      <c r="D18" s="34" t="s">
        <v>52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32" t="s">
        <v>1204</v>
      </c>
      <c r="C19" s="37" t="s">
        <v>1244</v>
      </c>
      <c r="D19" s="34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2" t="s">
        <v>1205</v>
      </c>
      <c r="C20" s="37" t="s">
        <v>1245</v>
      </c>
      <c r="D20" s="34" t="s">
        <v>53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2" t="s">
        <v>1206</v>
      </c>
      <c r="C21" s="37" t="s">
        <v>1246</v>
      </c>
      <c r="D21" s="34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32" t="s">
        <v>1207</v>
      </c>
      <c r="C22" s="37" t="s">
        <v>1247</v>
      </c>
      <c r="D22" s="34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1208</v>
      </c>
      <c r="C23" s="37" t="s">
        <v>1248</v>
      </c>
      <c r="D23" s="34" t="s">
        <v>52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33" t="s">
        <v>1209</v>
      </c>
      <c r="C24" s="37" t="s">
        <v>1249</v>
      </c>
      <c r="D24" s="35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15" t="s">
        <v>1210</v>
      </c>
      <c r="C25" s="37" t="s">
        <v>1250</v>
      </c>
      <c r="D25" s="5" t="s">
        <v>53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33" t="s">
        <v>1211</v>
      </c>
      <c r="C26" s="37" t="s">
        <v>1250</v>
      </c>
      <c r="D26" s="35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32" t="s">
        <v>1212</v>
      </c>
      <c r="C27" s="37" t="s">
        <v>1251</v>
      </c>
      <c r="D27" s="34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33" t="s">
        <v>1213</v>
      </c>
      <c r="C28" s="37" t="s">
        <v>1252</v>
      </c>
      <c r="D28" s="35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32" t="s">
        <v>1214</v>
      </c>
      <c r="C29" s="37" t="s">
        <v>1253</v>
      </c>
      <c r="D29" s="34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2" t="s">
        <v>1215</v>
      </c>
      <c r="C30" s="37" t="s">
        <v>1254</v>
      </c>
      <c r="D30" s="5" t="s">
        <v>52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32" t="s">
        <v>1216</v>
      </c>
      <c r="C31" s="37" t="s">
        <v>1255</v>
      </c>
      <c r="D31" s="34" t="s">
        <v>52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3" t="s">
        <v>1217</v>
      </c>
      <c r="C32" s="37" t="s">
        <v>1256</v>
      </c>
      <c r="D32" s="34" t="s">
        <v>53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1218</v>
      </c>
      <c r="C33" s="37" t="s">
        <v>1257</v>
      </c>
      <c r="D33" s="35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1219</v>
      </c>
      <c r="C34" s="37" t="s">
        <v>1258</v>
      </c>
      <c r="D34" s="34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1220</v>
      </c>
      <c r="C35" s="37" t="s">
        <v>1258</v>
      </c>
      <c r="D35" s="34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2" t="s">
        <v>1221</v>
      </c>
      <c r="C36" s="37" t="s">
        <v>1259</v>
      </c>
      <c r="D36" s="34" t="s">
        <v>53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1222</v>
      </c>
      <c r="C37" s="37" t="s">
        <v>1260</v>
      </c>
      <c r="D37" s="34" t="s">
        <v>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2" t="s">
        <v>1223</v>
      </c>
      <c r="C38" s="37" t="s">
        <v>1261</v>
      </c>
      <c r="D38" s="34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32" t="s">
        <v>1224</v>
      </c>
      <c r="C39" s="37" t="s">
        <v>1262</v>
      </c>
      <c r="D39" s="34" t="s">
        <v>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32" t="s">
        <v>1225</v>
      </c>
      <c r="C40" s="37" t="s">
        <v>1263</v>
      </c>
      <c r="D40" s="34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1226</v>
      </c>
      <c r="C41" s="37" t="s">
        <v>1264</v>
      </c>
      <c r="D41" s="34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2" t="s">
        <v>1227</v>
      </c>
      <c r="C42" s="37" t="s">
        <v>1265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32" t="s">
        <v>1228</v>
      </c>
      <c r="C43" s="37" t="s">
        <v>1266</v>
      </c>
      <c r="D43" s="34" t="s">
        <v>53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2" t="s">
        <v>1229</v>
      </c>
      <c r="C44" s="37" t="s">
        <v>1266</v>
      </c>
      <c r="D44" s="34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15" t="s">
        <v>1230</v>
      </c>
      <c r="C45" s="37" t="s">
        <v>1267</v>
      </c>
      <c r="D45" s="34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>
        <v>40</v>
      </c>
      <c r="B46" s="15" t="s">
        <v>1231</v>
      </c>
      <c r="C46" s="37" t="s">
        <v>1268</v>
      </c>
      <c r="D46" s="5" t="s">
        <v>52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A47" s="10">
        <v>41</v>
      </c>
      <c r="B47" s="3" t="s">
        <v>1232</v>
      </c>
      <c r="C47" s="37" t="s">
        <v>1190</v>
      </c>
      <c r="D47" s="39" t="s">
        <v>52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x14ac:dyDescent="0.3">
      <c r="A48" s="10">
        <v>42</v>
      </c>
      <c r="B48" s="15" t="s">
        <v>1233</v>
      </c>
      <c r="C48" s="37" t="s">
        <v>1269</v>
      </c>
      <c r="D48" s="5" t="s">
        <v>53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3"/>
      <c r="V48" s="3"/>
      <c r="W48" s="3"/>
    </row>
    <row r="49" spans="2:9" x14ac:dyDescent="0.3">
      <c r="B49" s="2" t="s">
        <v>53</v>
      </c>
      <c r="C49">
        <f>COUNTIF(D7:D48,"P")</f>
        <v>22</v>
      </c>
      <c r="F49" s="40" t="s">
        <v>52</v>
      </c>
      <c r="G49" s="40"/>
      <c r="H49" s="40"/>
      <c r="I49" s="14">
        <f>COUNTIF(D7:D48,"L")</f>
        <v>20</v>
      </c>
    </row>
    <row r="50" spans="2:9" x14ac:dyDescent="0.3">
      <c r="B50" s="2" t="s">
        <v>363</v>
      </c>
      <c r="C50">
        <v>42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A00-000000000000}"/>
  </dataValidations>
  <pageMargins left="0.26041666666666669" right="0.38541666666666669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50"/>
  <sheetViews>
    <sheetView topLeftCell="A4" zoomScaleNormal="100" workbookViewId="0">
      <selection activeCell="T42" sqref="T42"/>
    </sheetView>
  </sheetViews>
  <sheetFormatPr defaultRowHeight="14.4" x14ac:dyDescent="0.3"/>
  <cols>
    <col min="1" max="1" width="4.44140625" customWidth="1"/>
    <col min="2" max="2" width="28" customWidth="1"/>
    <col min="3" max="3" width="11.6640625" customWidth="1"/>
    <col min="4" max="4" width="3.44140625" customWidth="1"/>
    <col min="5" max="20" width="2.5546875" style="14" customWidth="1"/>
    <col min="21" max="22" width="2.44140625" customWidth="1"/>
    <col min="23" max="23" width="3.33203125" customWidth="1"/>
  </cols>
  <sheetData>
    <row r="1" spans="1:23" x14ac:dyDescent="0.3">
      <c r="A1" s="538" t="s">
        <v>0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</row>
    <row r="2" spans="1:23" x14ac:dyDescent="0.3">
      <c r="A2" s="538" t="s">
        <v>54</v>
      </c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</row>
    <row r="3" spans="1:23" x14ac:dyDescent="0.3">
      <c r="A3" s="6"/>
      <c r="B3" s="2" t="s">
        <v>1</v>
      </c>
      <c r="C3" s="2"/>
      <c r="D3" s="1" t="s">
        <v>1338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"/>
      <c r="V3" s="2"/>
      <c r="W3" s="2"/>
    </row>
    <row r="4" spans="1:23" x14ac:dyDescent="0.3">
      <c r="A4" s="6"/>
      <c r="B4" s="2" t="s">
        <v>2</v>
      </c>
      <c r="C4" s="2"/>
      <c r="D4" s="2" t="s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 t="s">
        <v>4</v>
      </c>
      <c r="T4" s="12"/>
      <c r="U4" s="2"/>
      <c r="W4" s="2"/>
    </row>
    <row r="5" spans="1:23" x14ac:dyDescent="0.3">
      <c r="A5" s="569" t="s">
        <v>5</v>
      </c>
      <c r="B5" s="550" t="s">
        <v>6</v>
      </c>
      <c r="C5" s="542" t="s">
        <v>7</v>
      </c>
      <c r="D5" s="550" t="s">
        <v>8</v>
      </c>
      <c r="E5" s="572" t="s">
        <v>9</v>
      </c>
      <c r="F5" s="573"/>
      <c r="G5" s="573"/>
      <c r="H5" s="573"/>
      <c r="I5" s="573"/>
      <c r="J5" s="573"/>
      <c r="K5" s="573"/>
      <c r="L5" s="573"/>
      <c r="M5" s="573"/>
      <c r="N5" s="573"/>
      <c r="O5" s="573"/>
      <c r="P5" s="573"/>
      <c r="Q5" s="573"/>
      <c r="R5" s="573"/>
      <c r="S5" s="573"/>
      <c r="T5" s="573"/>
      <c r="U5" s="574" t="s">
        <v>10</v>
      </c>
      <c r="V5" s="574"/>
      <c r="W5" s="574"/>
    </row>
    <row r="6" spans="1:23" x14ac:dyDescent="0.3">
      <c r="A6" s="550"/>
      <c r="B6" s="571"/>
      <c r="C6" s="544"/>
      <c r="D6" s="571"/>
      <c r="E6" s="8">
        <v>1</v>
      </c>
      <c r="F6" s="8">
        <v>2</v>
      </c>
      <c r="G6" s="8">
        <v>3</v>
      </c>
      <c r="H6" s="8">
        <v>4</v>
      </c>
      <c r="I6" s="8">
        <v>5</v>
      </c>
      <c r="J6" s="8">
        <v>6</v>
      </c>
      <c r="K6" s="8">
        <v>7</v>
      </c>
      <c r="L6" s="8">
        <v>8</v>
      </c>
      <c r="M6" s="8">
        <v>9</v>
      </c>
      <c r="N6" s="8">
        <v>10</v>
      </c>
      <c r="O6" s="8">
        <v>11</v>
      </c>
      <c r="P6" s="8">
        <v>12</v>
      </c>
      <c r="Q6" s="8">
        <v>13</v>
      </c>
      <c r="R6" s="8">
        <v>14</v>
      </c>
      <c r="S6" s="8">
        <v>15</v>
      </c>
      <c r="T6" s="8">
        <v>16</v>
      </c>
      <c r="U6" s="7" t="s">
        <v>11</v>
      </c>
      <c r="V6" s="7" t="s">
        <v>12</v>
      </c>
      <c r="W6" s="5" t="s">
        <v>13</v>
      </c>
    </row>
    <row r="7" spans="1:23" x14ac:dyDescent="0.3">
      <c r="A7" s="10">
        <v>1</v>
      </c>
      <c r="B7" s="32" t="s">
        <v>1272</v>
      </c>
      <c r="C7" s="37" t="s">
        <v>1311</v>
      </c>
      <c r="D7" s="34" t="s">
        <v>52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3"/>
      <c r="V7" s="3"/>
      <c r="W7" s="3"/>
    </row>
    <row r="8" spans="1:23" x14ac:dyDescent="0.3">
      <c r="A8" s="10">
        <v>2</v>
      </c>
      <c r="B8" s="15" t="s">
        <v>1273</v>
      </c>
      <c r="C8" s="37" t="s">
        <v>1312</v>
      </c>
      <c r="D8" s="5" t="s">
        <v>53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3"/>
      <c r="V8" s="3"/>
      <c r="W8" s="3"/>
    </row>
    <row r="9" spans="1:23" x14ac:dyDescent="0.3">
      <c r="A9" s="10">
        <v>3</v>
      </c>
      <c r="B9" s="15" t="s">
        <v>1274</v>
      </c>
      <c r="C9" s="37" t="s">
        <v>1313</v>
      </c>
      <c r="D9" s="5" t="s">
        <v>52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3"/>
      <c r="V9" s="3"/>
      <c r="W9" s="3"/>
    </row>
    <row r="10" spans="1:23" x14ac:dyDescent="0.3">
      <c r="A10" s="10">
        <v>4</v>
      </c>
      <c r="B10" s="32" t="s">
        <v>1275</v>
      </c>
      <c r="C10" s="37" t="s">
        <v>1314</v>
      </c>
      <c r="D10" s="34" t="s">
        <v>53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3"/>
      <c r="V10" s="3"/>
      <c r="W10" s="3"/>
    </row>
    <row r="11" spans="1:23" x14ac:dyDescent="0.3">
      <c r="A11" s="10">
        <v>5</v>
      </c>
      <c r="B11" s="32" t="s">
        <v>1276</v>
      </c>
      <c r="C11" s="37" t="s">
        <v>1315</v>
      </c>
      <c r="D11" s="34" t="s">
        <v>53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3"/>
      <c r="V11" s="3"/>
      <c r="W11" s="3"/>
    </row>
    <row r="12" spans="1:23" x14ac:dyDescent="0.3">
      <c r="A12" s="10">
        <v>6</v>
      </c>
      <c r="B12" s="32" t="s">
        <v>1277</v>
      </c>
      <c r="C12" s="37" t="s">
        <v>1316</v>
      </c>
      <c r="D12" s="34" t="s">
        <v>53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3"/>
      <c r="V12" s="3"/>
      <c r="W12" s="3"/>
    </row>
    <row r="13" spans="1:23" x14ac:dyDescent="0.3">
      <c r="A13" s="10">
        <v>7</v>
      </c>
      <c r="B13" s="32" t="s">
        <v>1278</v>
      </c>
      <c r="C13" s="37" t="s">
        <v>1317</v>
      </c>
      <c r="D13" s="34" t="s">
        <v>52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3"/>
      <c r="V13" s="3"/>
      <c r="W13" s="3"/>
    </row>
    <row r="14" spans="1:23" x14ac:dyDescent="0.3">
      <c r="A14" s="10">
        <v>8</v>
      </c>
      <c r="B14" s="32" t="s">
        <v>1279</v>
      </c>
      <c r="C14" s="37" t="s">
        <v>1317</v>
      </c>
      <c r="D14" s="34" t="s">
        <v>53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3"/>
      <c r="V14" s="3"/>
      <c r="W14" s="3"/>
    </row>
    <row r="15" spans="1:23" x14ac:dyDescent="0.3">
      <c r="A15" s="10">
        <v>9</v>
      </c>
      <c r="B15" s="32" t="s">
        <v>1280</v>
      </c>
      <c r="C15" s="37" t="s">
        <v>1318</v>
      </c>
      <c r="D15" s="34" t="s">
        <v>52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3"/>
      <c r="V15" s="3"/>
      <c r="W15" s="3"/>
    </row>
    <row r="16" spans="1:23" x14ac:dyDescent="0.3">
      <c r="A16" s="10">
        <v>10</v>
      </c>
      <c r="B16" s="15" t="s">
        <v>1281</v>
      </c>
      <c r="C16" s="37" t="s">
        <v>1319</v>
      </c>
      <c r="D16" s="5" t="s">
        <v>53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3"/>
      <c r="V16" s="3"/>
      <c r="W16" s="3"/>
    </row>
    <row r="17" spans="1:23" x14ac:dyDescent="0.3">
      <c r="A17" s="10">
        <v>11</v>
      </c>
      <c r="B17" s="15" t="s">
        <v>1282</v>
      </c>
      <c r="C17" s="37" t="s">
        <v>1320</v>
      </c>
      <c r="D17" s="5" t="s">
        <v>53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3"/>
      <c r="V17" s="3"/>
      <c r="W17" s="3"/>
    </row>
    <row r="18" spans="1:23" x14ac:dyDescent="0.3">
      <c r="A18" s="10">
        <v>12</v>
      </c>
      <c r="B18" s="15" t="s">
        <v>1283</v>
      </c>
      <c r="C18" s="37" t="s">
        <v>1321</v>
      </c>
      <c r="D18" s="5" t="s">
        <v>53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3"/>
      <c r="V18" s="3"/>
      <c r="W18" s="3"/>
    </row>
    <row r="19" spans="1:23" x14ac:dyDescent="0.3">
      <c r="A19" s="10">
        <v>13</v>
      </c>
      <c r="B19" s="15" t="s">
        <v>1284</v>
      </c>
      <c r="C19" s="37" t="s">
        <v>1322</v>
      </c>
      <c r="D19" s="5" t="s">
        <v>53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3"/>
      <c r="V19" s="3"/>
      <c r="W19" s="3"/>
    </row>
    <row r="20" spans="1:23" x14ac:dyDescent="0.3">
      <c r="A20" s="10">
        <v>14</v>
      </c>
      <c r="B20" s="32" t="s">
        <v>1285</v>
      </c>
      <c r="C20" s="37" t="s">
        <v>1323</v>
      </c>
      <c r="D20" s="34" t="s">
        <v>52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3"/>
      <c r="V20" s="3"/>
      <c r="W20" s="3"/>
    </row>
    <row r="21" spans="1:23" x14ac:dyDescent="0.3">
      <c r="A21" s="10">
        <v>15</v>
      </c>
      <c r="B21" s="32" t="s">
        <v>1286</v>
      </c>
      <c r="C21" s="37" t="s">
        <v>1324</v>
      </c>
      <c r="D21" s="34" t="s">
        <v>52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3"/>
      <c r="V21" s="3"/>
      <c r="W21" s="3"/>
    </row>
    <row r="22" spans="1:23" x14ac:dyDescent="0.3">
      <c r="A22" s="10">
        <v>16</v>
      </c>
      <c r="B22" s="32" t="s">
        <v>1287</v>
      </c>
      <c r="C22" s="37" t="s">
        <v>1324</v>
      </c>
      <c r="D22" s="34" t="s">
        <v>52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3"/>
      <c r="V22" s="3"/>
      <c r="W22" s="3"/>
    </row>
    <row r="23" spans="1:23" x14ac:dyDescent="0.3">
      <c r="A23" s="10">
        <v>17</v>
      </c>
      <c r="B23" s="32" t="s">
        <v>1288</v>
      </c>
      <c r="C23" s="37" t="s">
        <v>1325</v>
      </c>
      <c r="D23" s="34" t="s">
        <v>53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3"/>
      <c r="V23" s="3"/>
      <c r="W23" s="3"/>
    </row>
    <row r="24" spans="1:23" x14ac:dyDescent="0.3">
      <c r="A24" s="10">
        <v>18</v>
      </c>
      <c r="B24" s="15" t="s">
        <v>1289</v>
      </c>
      <c r="C24" s="37" t="s">
        <v>1326</v>
      </c>
      <c r="D24" s="5" t="s">
        <v>52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3"/>
      <c r="V24" s="3"/>
      <c r="W24" s="3"/>
    </row>
    <row r="25" spans="1:23" x14ac:dyDescent="0.3">
      <c r="A25" s="10">
        <v>19</v>
      </c>
      <c r="B25" s="32" t="s">
        <v>1290</v>
      </c>
      <c r="C25" s="37" t="s">
        <v>1327</v>
      </c>
      <c r="D25" s="34" t="s">
        <v>53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3"/>
      <c r="V25" s="3"/>
      <c r="W25" s="3"/>
    </row>
    <row r="26" spans="1:23" x14ac:dyDescent="0.3">
      <c r="A26" s="10">
        <v>20</v>
      </c>
      <c r="B26" s="15" t="s">
        <v>1291</v>
      </c>
      <c r="C26" s="37" t="s">
        <v>1328</v>
      </c>
      <c r="D26" s="5" t="s">
        <v>52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3"/>
      <c r="V26" s="3"/>
      <c r="W26" s="3"/>
    </row>
    <row r="27" spans="1:23" x14ac:dyDescent="0.3">
      <c r="A27" s="10">
        <v>21</v>
      </c>
      <c r="B27" s="15" t="s">
        <v>1292</v>
      </c>
      <c r="C27" s="37" t="s">
        <v>1329</v>
      </c>
      <c r="D27" s="5" t="s">
        <v>52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3"/>
      <c r="V27" s="3"/>
      <c r="W27" s="3"/>
    </row>
    <row r="28" spans="1:23" x14ac:dyDescent="0.3">
      <c r="A28" s="10">
        <v>22</v>
      </c>
      <c r="B28" s="32" t="s">
        <v>1293</v>
      </c>
      <c r="C28" s="37" t="s">
        <v>1330</v>
      </c>
      <c r="D28" s="34" t="s">
        <v>52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3"/>
      <c r="V28" s="3"/>
      <c r="W28" s="3"/>
    </row>
    <row r="29" spans="1:23" x14ac:dyDescent="0.3">
      <c r="A29" s="10">
        <v>23</v>
      </c>
      <c r="B29" s="32" t="s">
        <v>1294</v>
      </c>
      <c r="C29" s="37" t="s">
        <v>1331</v>
      </c>
      <c r="D29" s="34" t="s">
        <v>52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3"/>
      <c r="V29" s="3"/>
      <c r="W29" s="3"/>
    </row>
    <row r="30" spans="1:23" x14ac:dyDescent="0.3">
      <c r="A30" s="10">
        <v>24</v>
      </c>
      <c r="B30" s="33" t="s">
        <v>1295</v>
      </c>
      <c r="C30" s="37" t="s">
        <v>1332</v>
      </c>
      <c r="D30" s="35" t="s">
        <v>52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3"/>
      <c r="V30" s="3"/>
      <c r="W30" s="3"/>
    </row>
    <row r="31" spans="1:23" x14ac:dyDescent="0.3">
      <c r="A31" s="10">
        <v>25</v>
      </c>
      <c r="B31" s="15" t="s">
        <v>1296</v>
      </c>
      <c r="C31" s="37" t="s">
        <v>1333</v>
      </c>
      <c r="D31" s="5" t="s">
        <v>53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3"/>
      <c r="V31" s="3"/>
      <c r="W31" s="3"/>
    </row>
    <row r="32" spans="1:23" x14ac:dyDescent="0.3">
      <c r="A32" s="10">
        <v>26</v>
      </c>
      <c r="B32" s="32" t="s">
        <v>1297</v>
      </c>
      <c r="C32" s="37" t="s">
        <v>1333</v>
      </c>
      <c r="D32" s="34" t="s">
        <v>53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3"/>
      <c r="V32" s="3"/>
      <c r="W32" s="3"/>
    </row>
    <row r="33" spans="1:23" x14ac:dyDescent="0.3">
      <c r="A33" s="10">
        <v>27</v>
      </c>
      <c r="B33" s="32" t="s">
        <v>1298</v>
      </c>
      <c r="C33" s="37" t="s">
        <v>1334</v>
      </c>
      <c r="D33" s="34" t="s">
        <v>53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3"/>
      <c r="V33" s="3"/>
      <c r="W33" s="3"/>
    </row>
    <row r="34" spans="1:23" x14ac:dyDescent="0.3">
      <c r="A34" s="10">
        <v>28</v>
      </c>
      <c r="B34" s="32" t="s">
        <v>1299</v>
      </c>
      <c r="C34" s="37" t="s">
        <v>1335</v>
      </c>
      <c r="D34" s="34" t="s">
        <v>53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3"/>
      <c r="V34" s="3"/>
      <c r="W34" s="3"/>
    </row>
    <row r="35" spans="1:23" x14ac:dyDescent="0.3">
      <c r="A35" s="10">
        <v>29</v>
      </c>
      <c r="B35" s="32" t="s">
        <v>1300</v>
      </c>
      <c r="C35" s="37" t="s">
        <v>1336</v>
      </c>
      <c r="D35" s="34" t="s">
        <v>53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3">
      <c r="A36" s="10">
        <v>30</v>
      </c>
      <c r="B36" s="32" t="s">
        <v>1301</v>
      </c>
      <c r="C36" s="37" t="s">
        <v>1337</v>
      </c>
      <c r="D36" s="34" t="s">
        <v>52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3">
      <c r="A37" s="10">
        <v>31</v>
      </c>
      <c r="B37" s="32" t="s">
        <v>1302</v>
      </c>
      <c r="C37" s="37" t="s">
        <v>980</v>
      </c>
      <c r="D37" s="34" t="s">
        <v>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3">
      <c r="A38" s="10">
        <v>32</v>
      </c>
      <c r="B38" s="33" t="s">
        <v>1303</v>
      </c>
      <c r="C38" s="37" t="s">
        <v>1049</v>
      </c>
      <c r="D38" s="35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3">
      <c r="A39" s="10">
        <v>33</v>
      </c>
      <c r="B39" s="32" t="s">
        <v>1304</v>
      </c>
      <c r="C39" s="37" t="s">
        <v>1190</v>
      </c>
      <c r="D39" s="34" t="s">
        <v>52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3">
      <c r="A40" s="10">
        <v>34</v>
      </c>
      <c r="B40" s="15" t="s">
        <v>1305</v>
      </c>
      <c r="C40" s="37" t="s">
        <v>1269</v>
      </c>
      <c r="D40" s="5" t="s">
        <v>53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3">
      <c r="A41" s="10">
        <v>35</v>
      </c>
      <c r="B41" s="32" t="s">
        <v>1306</v>
      </c>
      <c r="C41" s="37" t="s">
        <v>1269</v>
      </c>
      <c r="D41" s="34" t="s">
        <v>53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x14ac:dyDescent="0.3">
      <c r="A42" s="10">
        <v>36</v>
      </c>
      <c r="B42" s="33" t="s">
        <v>1307</v>
      </c>
      <c r="C42" s="37" t="s">
        <v>1334</v>
      </c>
      <c r="D42" s="34" t="s">
        <v>53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x14ac:dyDescent="0.3">
      <c r="A43" s="10">
        <v>37</v>
      </c>
      <c r="B43" s="33" t="s">
        <v>1308</v>
      </c>
      <c r="C43" s="37" t="s">
        <v>1335</v>
      </c>
      <c r="D43" s="35" t="s">
        <v>52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3"/>
      <c r="V43" s="3"/>
      <c r="W43" s="3"/>
    </row>
    <row r="44" spans="1:23" x14ac:dyDescent="0.3">
      <c r="A44" s="10">
        <v>38</v>
      </c>
      <c r="B44" s="32" t="s">
        <v>1309</v>
      </c>
      <c r="C44" s="37" t="s">
        <v>1336</v>
      </c>
      <c r="D44" s="35" t="s">
        <v>53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3"/>
      <c r="V44" s="3"/>
      <c r="W44" s="3"/>
    </row>
    <row r="45" spans="1:23" x14ac:dyDescent="0.3">
      <c r="A45" s="10">
        <v>39</v>
      </c>
      <c r="B45" s="32" t="s">
        <v>1310</v>
      </c>
      <c r="C45" s="37" t="s">
        <v>1337</v>
      </c>
      <c r="D45" s="34" t="s">
        <v>53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3"/>
      <c r="V45" s="3"/>
      <c r="W45" s="3"/>
    </row>
    <row r="46" spans="1:23" x14ac:dyDescent="0.3">
      <c r="A46" s="10"/>
      <c r="B46" s="15"/>
      <c r="C46" s="37"/>
      <c r="D46" s="5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3"/>
      <c r="V46" s="3"/>
      <c r="W46" s="3"/>
    </row>
    <row r="47" spans="1:23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3">
      <c r="B48" t="s">
        <v>52</v>
      </c>
      <c r="C48">
        <f>COUNTIF(D7:D45,"L")</f>
        <v>17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2:8" x14ac:dyDescent="0.3">
      <c r="B49" s="2" t="s">
        <v>53</v>
      </c>
      <c r="C49">
        <f>COUNTIF(D7:D48,"P")</f>
        <v>22</v>
      </c>
      <c r="F49" s="40"/>
      <c r="G49" s="40"/>
      <c r="H49" s="40"/>
    </row>
    <row r="50" spans="2:8" x14ac:dyDescent="0.3">
      <c r="B50" s="2" t="s">
        <v>363</v>
      </c>
      <c r="C50">
        <f>SUM(C48:C49)</f>
        <v>39</v>
      </c>
    </row>
  </sheetData>
  <mergeCells count="8">
    <mergeCell ref="A1:W1"/>
    <mergeCell ref="A2:W2"/>
    <mergeCell ref="A5:A6"/>
    <mergeCell ref="B5:B6"/>
    <mergeCell ref="C5:C6"/>
    <mergeCell ref="D5:D6"/>
    <mergeCell ref="E5:T5"/>
    <mergeCell ref="U5:W5"/>
  </mergeCells>
  <dataValidations count="1">
    <dataValidation allowBlank="1" showInputMessage="1" showErrorMessage="1" promptTitle="Petunjuk Pengisian" prompt="Isikan dengan Nama Lengkap siswa. Untuk nama yang mengandung tanda petik, gunakan tanda petik di bawah tombol Esc (`)." sqref="B35:B37" xr:uid="{00000000-0002-0000-1B00-000000000000}"/>
  </dataValidations>
  <pageMargins left="0.29166666666666669" right="0.34375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rekapitulasi siswa</vt:lpstr>
      <vt:lpstr>INDUK 7</vt:lpstr>
      <vt:lpstr>induk kls 8</vt:lpstr>
      <vt:lpstr>INDUK 9</vt:lpstr>
      <vt:lpstr>VII A</vt:lpstr>
      <vt:lpstr>VII B</vt:lpstr>
      <vt:lpstr>VII C</vt:lpstr>
      <vt:lpstr>VII D</vt:lpstr>
      <vt:lpstr>VII E</vt:lpstr>
      <vt:lpstr>VII F</vt:lpstr>
      <vt:lpstr>VIIIA</vt:lpstr>
      <vt:lpstr>VIIIB</vt:lpstr>
      <vt:lpstr>VIII C</vt:lpstr>
      <vt:lpstr>VIII D</vt:lpstr>
      <vt:lpstr>VIII E</vt:lpstr>
      <vt:lpstr>VIII F</vt:lpstr>
      <vt:lpstr>XI A</vt:lpstr>
      <vt:lpstr>XI B</vt:lpstr>
      <vt:lpstr>XI C</vt:lpstr>
      <vt:lpstr>XI D</vt:lpstr>
      <vt:lpstr>XI E</vt:lpstr>
      <vt:lpstr>XI F</vt:lpstr>
      <vt:lpstr>9A LULUSAN 2025</vt:lpstr>
      <vt:lpstr>9B LULUSAN 2025</vt:lpstr>
      <vt:lpstr>9C LULS 2025</vt:lpstr>
      <vt:lpstr>9D LUS 2025</vt:lpstr>
      <vt:lpstr>9E LUS 2025</vt:lpstr>
      <vt:lpstr>9F LLS 2025</vt:lpstr>
      <vt:lpstr>9A LULUSAN 2024</vt:lpstr>
      <vt:lpstr>9B LULUSAN 2024</vt:lpstr>
      <vt:lpstr>9C LULUSA 2024</vt:lpstr>
      <vt:lpstr>9D LULUSAN 2024</vt:lpstr>
      <vt:lpstr>9E LULUSAN 2024</vt:lpstr>
      <vt:lpstr> 9F LULUSAN 2024</vt:lpstr>
      <vt:lpstr>9A LULUSAN 2023</vt:lpstr>
      <vt:lpstr>9B LUKLUSAN 2023</vt:lpstr>
      <vt:lpstr>9C LULUSAN 2023</vt:lpstr>
      <vt:lpstr>9D LULUSAN 2023</vt:lpstr>
      <vt:lpstr>9E LULUSAN 2023</vt:lpstr>
      <vt:lpstr>9F LULUSAN 2023</vt:lpstr>
      <vt:lpstr>9A LULLUSAN 2022</vt:lpstr>
      <vt:lpstr>9B LULUSAN 2022</vt:lpstr>
      <vt:lpstr>9C LULUSAN 2022</vt:lpstr>
      <vt:lpstr>9D LULUSAN 2022</vt:lpstr>
      <vt:lpstr>9E LULUSAN 2022</vt:lpstr>
      <vt:lpstr>9F LULUSAN 2022</vt:lpstr>
      <vt:lpstr>9G ULUSAN 2022</vt:lpstr>
      <vt:lpstr>keluar a</vt:lpstr>
      <vt:lpstr>keluar b</vt:lpstr>
      <vt:lpstr>keluar c</vt:lpstr>
      <vt:lpstr>keluar d</vt:lpstr>
      <vt:lpstr>keluar e</vt:lpstr>
      <vt:lpstr>keluar f</vt:lpstr>
      <vt:lpstr>keluar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SMPSM</dc:creator>
  <cp:lastModifiedBy>Dyazprasraya</cp:lastModifiedBy>
  <cp:lastPrinted>2025-07-25T00:13:18Z</cp:lastPrinted>
  <dcterms:created xsi:type="dcterms:W3CDTF">2021-01-20T03:06:59Z</dcterms:created>
  <dcterms:modified xsi:type="dcterms:W3CDTF">2025-08-23T14:17:28Z</dcterms:modified>
</cp:coreProperties>
</file>